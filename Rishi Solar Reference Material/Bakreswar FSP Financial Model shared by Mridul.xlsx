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7.xml" ContentType="application/vnd.openxmlformats-officedocument.spreadsheetml.worksheet+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66925"/>
  <mc:AlternateContent xmlns:mc="http://schemas.openxmlformats.org/markup-compatibility/2006">
    <mc:Choice Requires="x15">
      <x15ac:absPath xmlns:x15ac="http://schemas.microsoft.com/office/spreadsheetml/2010/11/ac" url="https://indeloitte-my.sharepoint.com/personal/shomukherjee_deloitte_com/Documents/Desktop/Shouvik misc/Rishi Solar Reference Material/"/>
    </mc:Choice>
  </mc:AlternateContent>
  <xr:revisionPtr revIDLastSave="19" documentId="8_{31299CAF-336C-4228-9247-9D332FABB2B7}" xr6:coauthVersionLast="47" xr6:coauthVersionMax="47" xr10:uidLastSave="{04720092-CBC4-46EF-B9FE-4472D9BF25DE}"/>
  <bookViews>
    <workbookView minimized="1" xWindow="2880" yWindow="2880" windowWidth="11210" windowHeight="6910" tabRatio="795" firstSheet="4" activeTab="12" xr2:uid="{8E2A2A4A-F57C-4AF7-850A-EEE1F0616C1D}"/>
  </bookViews>
  <sheets>
    <sheet name="Cover Page" sheetId="37" r:id="rId1"/>
    <sheet name="RA" sheetId="17" r:id="rId2"/>
    <sheet name="Input" sheetId="1" r:id="rId3"/>
    <sheet name="BOQ_G" sheetId="21" r:id="rId4"/>
    <sheet name="BOQ_T" sheetId="15" r:id="rId5"/>
    <sheet name="BOQ_I" sheetId="22" r:id="rId6"/>
    <sheet name="Working" sheetId="5" r:id="rId7"/>
    <sheet name="Output" sheetId="13" r:id="rId8"/>
    <sheet name="Tables" sheetId="27" r:id="rId9"/>
    <sheet name="Assumptions" sheetId="38" r:id="rId10"/>
    <sheet name="Tariff" sheetId="32" r:id="rId11"/>
    <sheet name="IDC_Q" sheetId="26" r:id="rId12"/>
    <sheet name="FS" sheetId="33" r:id="rId13"/>
    <sheet name="IDC Schedule" sheetId="35" r:id="rId14"/>
    <sheet name="Schedule" sheetId="34" r:id="rId15"/>
    <sheet name="Sheet1" sheetId="39" state="hidden" r:id="rId16"/>
  </sheets>
  <definedNames>
    <definedName name="\" localSheetId="3" hidden="1">#REF!</definedName>
    <definedName name="\" hidden="1">#REF!</definedName>
    <definedName name="\0" localSheetId="3">#REF!</definedName>
    <definedName name="\0">#REF!</definedName>
    <definedName name="\1" localSheetId="3">#REF!</definedName>
    <definedName name="\1">#REF!</definedName>
    <definedName name="\a" localSheetId="3">#REF!</definedName>
    <definedName name="\a">#REF!</definedName>
    <definedName name="\AA">#REF!</definedName>
    <definedName name="\b">#REF!</definedName>
    <definedName name="\C">#REF!</definedName>
    <definedName name="\d">#N/A</definedName>
    <definedName name="\e">#N/A</definedName>
    <definedName name="\f">#N/A</definedName>
    <definedName name="\g">#N/A</definedName>
    <definedName name="\H" localSheetId="3">#REF!</definedName>
    <definedName name="\H">#REF!</definedName>
    <definedName name="\i">#N/A</definedName>
    <definedName name="\j">#N/A</definedName>
    <definedName name="\k">#N/A</definedName>
    <definedName name="\KWS123">#N/A</definedName>
    <definedName name="\M" localSheetId="3">#REF!</definedName>
    <definedName name="\M">#REF!</definedName>
    <definedName name="\N" localSheetId="3">#REF!</definedName>
    <definedName name="\N">#REF!</definedName>
    <definedName name="\nbvf">#REF!</definedName>
    <definedName name="\P" localSheetId="3">#REF!</definedName>
    <definedName name="\P">#REF!</definedName>
    <definedName name="\R" localSheetId="3">#REF!</definedName>
    <definedName name="\R">#REF!</definedName>
    <definedName name="\s" localSheetId="3">#REF!</definedName>
    <definedName name="\s">#REF!</definedName>
    <definedName name="\t">#N/A</definedName>
    <definedName name="\U">#REF!</definedName>
    <definedName name="\V">#REF!</definedName>
    <definedName name="\x" localSheetId="3">#REF!</definedName>
    <definedName name="\x">#REF!</definedName>
    <definedName name="\z">#REF!</definedName>
    <definedName name="_" localSheetId="3">#REF!</definedName>
    <definedName name="_">#REF!</definedName>
    <definedName name="____________________________________________________________________sw1" localSheetId="3">#REF!</definedName>
    <definedName name="____________________________________________________________________sw1">#REF!</definedName>
    <definedName name="____________________________________________________________________sw2" localSheetId="3">#REF!</definedName>
    <definedName name="____________________________________________________________________sw2">#REF!</definedName>
    <definedName name="____________________________________________________________________sw3" localSheetId="3">#REF!</definedName>
    <definedName name="____________________________________________________________________sw3">#REF!</definedName>
    <definedName name="____________________________________________________________________sw4">#REF!</definedName>
    <definedName name="____________________________________________________________________sw5">#REF!</definedName>
    <definedName name="____________________________________________________________________sw6">#REF!</definedName>
    <definedName name="____________________________________________________________________sw7">#REF!</definedName>
    <definedName name="____________________________________________________________________sw8">#REF!</definedName>
    <definedName name="___________________________________________________________________sw1">#REF!</definedName>
    <definedName name="___________________________________________________________________sw2">#REF!</definedName>
    <definedName name="___________________________________________________________________sw3">#REF!</definedName>
    <definedName name="___________________________________________________________________sw4">#REF!</definedName>
    <definedName name="___________________________________________________________________sw5">#REF!</definedName>
    <definedName name="___________________________________________________________________sw6">#REF!</definedName>
    <definedName name="___________________________________________________________________sw7">#REF!</definedName>
    <definedName name="___________________________________________________________________sw8">#REF!</definedName>
    <definedName name="__________________________________________________________________sw1">#REF!</definedName>
    <definedName name="__________________________________________________________________sw2">#REF!</definedName>
    <definedName name="__________________________________________________________________sw3">#REF!</definedName>
    <definedName name="__________________________________________________________________sw4">#REF!</definedName>
    <definedName name="__________________________________________________________________sw5">#REF!</definedName>
    <definedName name="__________________________________________________________________sw6">#REF!</definedName>
    <definedName name="__________________________________________________________________sw7">#REF!</definedName>
    <definedName name="__________________________________________________________________sw8">#REF!</definedName>
    <definedName name="________________________________________________________________sw1">#REF!</definedName>
    <definedName name="________________________________________________________________sw2">#REF!</definedName>
    <definedName name="________________________________________________________________sw3">#REF!</definedName>
    <definedName name="________________________________________________________________sw4">#REF!</definedName>
    <definedName name="________________________________________________________________sw5">#REF!</definedName>
    <definedName name="________________________________________________________________sw6">#REF!</definedName>
    <definedName name="________________________________________________________________sw7">#REF!</definedName>
    <definedName name="________________________________________________________________sw8">#REF!</definedName>
    <definedName name="_______________________________________________________________sw1">#REF!</definedName>
    <definedName name="_______________________________________________________________sw2">#REF!</definedName>
    <definedName name="_______________________________________________________________sw3">#REF!</definedName>
    <definedName name="_______________________________________________________________sw4">#REF!</definedName>
    <definedName name="_______________________________________________________________sw5">#REF!</definedName>
    <definedName name="_______________________________________________________________sw6">#REF!</definedName>
    <definedName name="_______________________________________________________________sw7">#REF!</definedName>
    <definedName name="_______________________________________________________________sw8">#REF!</definedName>
    <definedName name="______________________________________________________________sw1">#REF!</definedName>
    <definedName name="______________________________________________________________sw2">#REF!</definedName>
    <definedName name="______________________________________________________________sw3">#REF!</definedName>
    <definedName name="______________________________________________________________sw4">#REF!</definedName>
    <definedName name="______________________________________________________________sw5">#REF!</definedName>
    <definedName name="______________________________________________________________sw6">#REF!</definedName>
    <definedName name="______________________________________________________________sw7">#REF!</definedName>
    <definedName name="______________________________________________________________sw8">#REF!</definedName>
    <definedName name="___________________________________________________________sw1">#REF!</definedName>
    <definedName name="___________________________________________________________sw2">#REF!</definedName>
    <definedName name="___________________________________________________________sw3">#REF!</definedName>
    <definedName name="___________________________________________________________sw4">#REF!</definedName>
    <definedName name="___________________________________________________________sw5">#REF!</definedName>
    <definedName name="___________________________________________________________sw6">#REF!</definedName>
    <definedName name="___________________________________________________________sw7">#REF!</definedName>
    <definedName name="___________________________________________________________sw8">#REF!</definedName>
    <definedName name="________________________________________________________sw1">#REF!</definedName>
    <definedName name="________________________________________________________sw2">#REF!</definedName>
    <definedName name="________________________________________________________sw3">#REF!</definedName>
    <definedName name="________________________________________________________sw4">#REF!</definedName>
    <definedName name="________________________________________________________sw5">#REF!</definedName>
    <definedName name="________________________________________________________sw6">#REF!</definedName>
    <definedName name="________________________________________________________sw7">#REF!</definedName>
    <definedName name="________________________________________________________sw8">#REF!</definedName>
    <definedName name="______________________________________________________sw1">#REF!</definedName>
    <definedName name="______________________________________________________sw2">#REF!</definedName>
    <definedName name="______________________________________________________sw3">#REF!</definedName>
    <definedName name="______________________________________________________sw4">#REF!</definedName>
    <definedName name="______________________________________________________sw5">#REF!</definedName>
    <definedName name="______________________________________________________sw6">#REF!</definedName>
    <definedName name="______________________________________________________sw7">#REF!</definedName>
    <definedName name="______________________________________________________sw8">#REF!</definedName>
    <definedName name="_____________________________________________________sw1">#REF!</definedName>
    <definedName name="_____________________________________________________sw2">#REF!</definedName>
    <definedName name="_____________________________________________________sw3">#REF!</definedName>
    <definedName name="_____________________________________________________sw4">#REF!</definedName>
    <definedName name="_____________________________________________________sw5">#REF!</definedName>
    <definedName name="_____________________________________________________sw6">#REF!</definedName>
    <definedName name="_____________________________________________________sw7">#REF!</definedName>
    <definedName name="_____________________________________________________sw8">#REF!</definedName>
    <definedName name="____________________________________________________sw1">#REF!</definedName>
    <definedName name="____________________________________________________sw2">#REF!</definedName>
    <definedName name="____________________________________________________sw3">#REF!</definedName>
    <definedName name="____________________________________________________sw4">#REF!</definedName>
    <definedName name="____________________________________________________sw5">#REF!</definedName>
    <definedName name="____________________________________________________sw6">#REF!</definedName>
    <definedName name="____________________________________________________sw7">#REF!</definedName>
    <definedName name="____________________________________________________sw8">#REF!</definedName>
    <definedName name="___________________________________________________sw1">#REF!</definedName>
    <definedName name="___________________________________________________sw2">#REF!</definedName>
    <definedName name="___________________________________________________sw3">#REF!</definedName>
    <definedName name="___________________________________________________sw4">#REF!</definedName>
    <definedName name="___________________________________________________sw5">#REF!</definedName>
    <definedName name="___________________________________________________sw6">#REF!</definedName>
    <definedName name="___________________________________________________sw7">#REF!</definedName>
    <definedName name="___________________________________________________sw8">#REF!</definedName>
    <definedName name="__________________________________________________sw1">#REF!</definedName>
    <definedName name="__________________________________________________sw2">#REF!</definedName>
    <definedName name="__________________________________________________sw3">#REF!</definedName>
    <definedName name="__________________________________________________sw4">#REF!</definedName>
    <definedName name="__________________________________________________sw5">#REF!</definedName>
    <definedName name="__________________________________________________sw6">#REF!</definedName>
    <definedName name="__________________________________________________sw7">#REF!</definedName>
    <definedName name="__________________________________________________sw8">#REF!</definedName>
    <definedName name="_________________________________________________sw1">#REF!</definedName>
    <definedName name="_________________________________________________sw2">#REF!</definedName>
    <definedName name="_________________________________________________sw3">#REF!</definedName>
    <definedName name="_________________________________________________sw4">#REF!</definedName>
    <definedName name="_________________________________________________sw5">#REF!</definedName>
    <definedName name="_________________________________________________sw6">#REF!</definedName>
    <definedName name="_________________________________________________sw7">#REF!</definedName>
    <definedName name="_________________________________________________sw8">#REF!</definedName>
    <definedName name="________________________________________________sw1">#REF!</definedName>
    <definedName name="________________________________________________sw2">#REF!</definedName>
    <definedName name="________________________________________________sw3">#REF!</definedName>
    <definedName name="________________________________________________sw4">#REF!</definedName>
    <definedName name="________________________________________________sw5">#REF!</definedName>
    <definedName name="________________________________________________sw6">#REF!</definedName>
    <definedName name="________________________________________________sw7">#REF!</definedName>
    <definedName name="________________________________________________sw8">#REF!</definedName>
    <definedName name="_______________________________________________sw1">#REF!</definedName>
    <definedName name="_______________________________________________sw2">#REF!</definedName>
    <definedName name="_______________________________________________sw3">#REF!</definedName>
    <definedName name="_______________________________________________sw4">#REF!</definedName>
    <definedName name="_______________________________________________sw5">#REF!</definedName>
    <definedName name="_______________________________________________sw6">#REF!</definedName>
    <definedName name="_______________________________________________sw7">#REF!</definedName>
    <definedName name="_______________________________________________sw8">#REF!</definedName>
    <definedName name="______________________________________________sw1">#REF!</definedName>
    <definedName name="______________________________________________sw2">#REF!</definedName>
    <definedName name="______________________________________________sw3">#REF!</definedName>
    <definedName name="______________________________________________sw4">#REF!</definedName>
    <definedName name="______________________________________________sw5">#REF!</definedName>
    <definedName name="______________________________________________sw6">#REF!</definedName>
    <definedName name="______________________________________________sw7">#REF!</definedName>
    <definedName name="______________________________________________sw8">#REF!</definedName>
    <definedName name="_____________________________________________sw1">#REF!</definedName>
    <definedName name="_____________________________________________sw2">#REF!</definedName>
    <definedName name="_____________________________________________sw3">#REF!</definedName>
    <definedName name="_____________________________________________sw4">#REF!</definedName>
    <definedName name="_____________________________________________sw5">#REF!</definedName>
    <definedName name="_____________________________________________sw6">#REF!</definedName>
    <definedName name="_____________________________________________sw7">#REF!</definedName>
    <definedName name="_____________________________________________sw8">#REF!</definedName>
    <definedName name="____________________________________________sw1">#REF!</definedName>
    <definedName name="____________________________________________sw2">#REF!</definedName>
    <definedName name="____________________________________________sw3">#REF!</definedName>
    <definedName name="____________________________________________sw4">#REF!</definedName>
    <definedName name="____________________________________________sw5">#REF!</definedName>
    <definedName name="____________________________________________sw6">#REF!</definedName>
    <definedName name="____________________________________________sw7">#REF!</definedName>
    <definedName name="____________________________________________sw8">#REF!</definedName>
    <definedName name="___________________________________________sw1">#REF!</definedName>
    <definedName name="___________________________________________sw2">#REF!</definedName>
    <definedName name="___________________________________________sw3">#REF!</definedName>
    <definedName name="___________________________________________sw4">#REF!</definedName>
    <definedName name="___________________________________________sw5">#REF!</definedName>
    <definedName name="___________________________________________sw6">#REF!</definedName>
    <definedName name="___________________________________________sw7">#REF!</definedName>
    <definedName name="___________________________________________sw8">#REF!</definedName>
    <definedName name="__________________________________________sw1">#REF!</definedName>
    <definedName name="__________________________________________sw2">#REF!</definedName>
    <definedName name="__________________________________________sw3">#REF!</definedName>
    <definedName name="__________________________________________sw4">#REF!</definedName>
    <definedName name="__________________________________________sw5">#REF!</definedName>
    <definedName name="__________________________________________sw6">#REF!</definedName>
    <definedName name="__________________________________________sw7">#REF!</definedName>
    <definedName name="__________________________________________sw8">#REF!</definedName>
    <definedName name="_________________________________________BVS4">#REF!</definedName>
    <definedName name="_________________________________________sw1" localSheetId="3">#REF!</definedName>
    <definedName name="_________________________________________sw1">#REF!</definedName>
    <definedName name="_________________________________________sw2" localSheetId="3">#REF!</definedName>
    <definedName name="_________________________________________sw2">#REF!</definedName>
    <definedName name="_________________________________________sw3" localSheetId="3">#REF!</definedName>
    <definedName name="_________________________________________sw3">#REF!</definedName>
    <definedName name="_________________________________________sw4">#REF!</definedName>
    <definedName name="_________________________________________sw5">#REF!</definedName>
    <definedName name="_________________________________________sw6">#REF!</definedName>
    <definedName name="_________________________________________sw7">#REF!</definedName>
    <definedName name="_________________________________________sw8">#REF!</definedName>
    <definedName name="________________________________________sw1">#REF!</definedName>
    <definedName name="________________________________________sw2">#REF!</definedName>
    <definedName name="________________________________________sw3">#REF!</definedName>
    <definedName name="________________________________________sw4">#REF!</definedName>
    <definedName name="________________________________________sw5">#REF!</definedName>
    <definedName name="________________________________________sw6">#REF!</definedName>
    <definedName name="________________________________________sw7">#REF!</definedName>
    <definedName name="________________________________________sw8">#REF!</definedName>
    <definedName name="_______________________________________BVS4">#REF!</definedName>
    <definedName name="_______________________________________sw1" localSheetId="3">#REF!</definedName>
    <definedName name="_______________________________________sw1">#REF!</definedName>
    <definedName name="_______________________________________sw2" localSheetId="3">#REF!</definedName>
    <definedName name="_______________________________________sw2">#REF!</definedName>
    <definedName name="_______________________________________sw3" localSheetId="3">#REF!</definedName>
    <definedName name="_______________________________________sw3">#REF!</definedName>
    <definedName name="_______________________________________sw4">#REF!</definedName>
    <definedName name="_______________________________________sw5">#REF!</definedName>
    <definedName name="_______________________________________sw6">#REF!</definedName>
    <definedName name="_______________________________________sw7">#REF!</definedName>
    <definedName name="_______________________________________sw8">#REF!</definedName>
    <definedName name="______________________________________sw1">#REF!</definedName>
    <definedName name="______________________________________sw2">#REF!</definedName>
    <definedName name="______________________________________sw3">#REF!</definedName>
    <definedName name="______________________________________sw4">#REF!</definedName>
    <definedName name="______________________________________sw5">#REF!</definedName>
    <definedName name="______________________________________sw6">#REF!</definedName>
    <definedName name="______________________________________sw7">#REF!</definedName>
    <definedName name="______________________________________sw8">#REF!</definedName>
    <definedName name="_____________________________________BVS4">#REF!</definedName>
    <definedName name="_____________________________________sw1" localSheetId="3">#REF!</definedName>
    <definedName name="_____________________________________sw1">#REF!</definedName>
    <definedName name="_____________________________________sw2" localSheetId="3">#REF!</definedName>
    <definedName name="_____________________________________sw2">#REF!</definedName>
    <definedName name="_____________________________________sw3" localSheetId="3">#REF!</definedName>
    <definedName name="_____________________________________sw3">#REF!</definedName>
    <definedName name="_____________________________________sw4">#REF!</definedName>
    <definedName name="_____________________________________sw5">#REF!</definedName>
    <definedName name="_____________________________________sw6">#REF!</definedName>
    <definedName name="_____________________________________sw7">#REF!</definedName>
    <definedName name="_____________________________________sw8">#REF!</definedName>
    <definedName name="____________________________________sw1">#REF!</definedName>
    <definedName name="____________________________________sw2">#REF!</definedName>
    <definedName name="____________________________________sw3">#REF!</definedName>
    <definedName name="____________________________________sw4">#REF!</definedName>
    <definedName name="____________________________________sw5">#REF!</definedName>
    <definedName name="____________________________________sw6">#REF!</definedName>
    <definedName name="____________________________________sw7">#REF!</definedName>
    <definedName name="____________________________________sw8">#REF!</definedName>
    <definedName name="___________________________________BVS4">#REF!</definedName>
    <definedName name="___________________________________sw1" localSheetId="3">#REF!</definedName>
    <definedName name="___________________________________sw1">#REF!</definedName>
    <definedName name="___________________________________sw2" localSheetId="3">#REF!</definedName>
    <definedName name="___________________________________sw2">#REF!</definedName>
    <definedName name="___________________________________sw3" localSheetId="3">#REF!</definedName>
    <definedName name="___________________________________sw3">#REF!</definedName>
    <definedName name="___________________________________sw4">#REF!</definedName>
    <definedName name="___________________________________sw5">#REF!</definedName>
    <definedName name="___________________________________sw6">#REF!</definedName>
    <definedName name="___________________________________sw7">#REF!</definedName>
    <definedName name="___________________________________sw8">#REF!</definedName>
    <definedName name="__________________________________REM1">#REF!</definedName>
    <definedName name="__________________________________REM2">#REF!</definedName>
    <definedName name="__________________________________sw1">#REF!</definedName>
    <definedName name="__________________________________sw2">#REF!</definedName>
    <definedName name="__________________________________sw3">#REF!</definedName>
    <definedName name="__________________________________sw4">#REF!</definedName>
    <definedName name="__________________________________sw5">#REF!</definedName>
    <definedName name="__________________________________sw6">#REF!</definedName>
    <definedName name="__________________________________sw7">#REF!</definedName>
    <definedName name="__________________________________sw8">#REF!</definedName>
    <definedName name="_________________________________REM1">#REF!</definedName>
    <definedName name="_________________________________REM2">#REF!</definedName>
    <definedName name="_________________________________sw1">#REF!</definedName>
    <definedName name="_________________________________sw2">#REF!</definedName>
    <definedName name="_________________________________sw3">#REF!</definedName>
    <definedName name="_________________________________sw4">#REF!</definedName>
    <definedName name="_________________________________sw5">#REF!</definedName>
    <definedName name="_________________________________sw6">#REF!</definedName>
    <definedName name="_________________________________sw7">#REF!</definedName>
    <definedName name="_________________________________sw8">#REF!</definedName>
    <definedName name="________________________________BVS4">#REF!</definedName>
    <definedName name="________________________________REM1" localSheetId="3">#REF!</definedName>
    <definedName name="________________________________REM1">#REF!</definedName>
    <definedName name="________________________________REM2" localSheetId="3">#REF!</definedName>
    <definedName name="________________________________REM2">#REF!</definedName>
    <definedName name="________________________________sw1" localSheetId="3">#REF!</definedName>
    <definedName name="________________________________sw1">#REF!</definedName>
    <definedName name="________________________________sw2">#REF!</definedName>
    <definedName name="________________________________sw3">#REF!</definedName>
    <definedName name="________________________________sw4">#REF!</definedName>
    <definedName name="________________________________sw5">#REF!</definedName>
    <definedName name="________________________________sw6">#REF!</definedName>
    <definedName name="________________________________sw7">#REF!</definedName>
    <definedName name="________________________________sw8">#REF!</definedName>
    <definedName name="_______________________________REM1">#REF!</definedName>
    <definedName name="_______________________________REM2">#REF!</definedName>
    <definedName name="_______________________________sw1">#REF!</definedName>
    <definedName name="_______________________________sw2">#REF!</definedName>
    <definedName name="_______________________________sw3">#REF!</definedName>
    <definedName name="_______________________________sw4">#REF!</definedName>
    <definedName name="_______________________________sw5">#REF!</definedName>
    <definedName name="_______________________________sw6">#REF!</definedName>
    <definedName name="_______________________________sw7">#REF!</definedName>
    <definedName name="_______________________________sw8">#REF!</definedName>
    <definedName name="______________________________BVS4">#REF!</definedName>
    <definedName name="______________________________REM1" localSheetId="3">#REF!</definedName>
    <definedName name="______________________________REM1">#REF!</definedName>
    <definedName name="______________________________REM2" localSheetId="3">#REF!</definedName>
    <definedName name="______________________________REM2">#REF!</definedName>
    <definedName name="______________________________sw1" localSheetId="3">#REF!</definedName>
    <definedName name="______________________________sw1">#REF!</definedName>
    <definedName name="______________________________sw2">#REF!</definedName>
    <definedName name="______________________________sw3">#REF!</definedName>
    <definedName name="______________________________sw4">#REF!</definedName>
    <definedName name="______________________________sw5">#REF!</definedName>
    <definedName name="______________________________sw6">#REF!</definedName>
    <definedName name="______________________________sw7">#REF!</definedName>
    <definedName name="______________________________sw8">#REF!</definedName>
    <definedName name="_____________________________REM1">#REF!</definedName>
    <definedName name="_____________________________REM2">#REF!</definedName>
    <definedName name="_____________________________sw1">#REF!</definedName>
    <definedName name="_____________________________sw2">#REF!</definedName>
    <definedName name="_____________________________sw3">#REF!</definedName>
    <definedName name="_____________________________sw4">#REF!</definedName>
    <definedName name="_____________________________sw5">#REF!</definedName>
    <definedName name="_____________________________sw6">#REF!</definedName>
    <definedName name="_____________________________sw7">#REF!</definedName>
    <definedName name="_____________________________sw8">#REF!</definedName>
    <definedName name="____________________________BVS4">#REF!</definedName>
    <definedName name="____________________________REM1" localSheetId="3">#REF!</definedName>
    <definedName name="____________________________REM1">#REF!</definedName>
    <definedName name="____________________________REM2" localSheetId="3">#REF!</definedName>
    <definedName name="____________________________REM2">#REF!</definedName>
    <definedName name="____________________________sw1" localSheetId="3">#REF!</definedName>
    <definedName name="____________________________sw1">#REF!</definedName>
    <definedName name="____________________________sw2">#REF!</definedName>
    <definedName name="____________________________sw3">#REF!</definedName>
    <definedName name="____________________________sw4">#REF!</definedName>
    <definedName name="____________________________sw5">#REF!</definedName>
    <definedName name="____________________________sw6">#REF!</definedName>
    <definedName name="____________________________sw7">#REF!</definedName>
    <definedName name="____________________________sw8">#REF!</definedName>
    <definedName name="___________________________REM1">#REF!</definedName>
    <definedName name="___________________________REM2">#REF!</definedName>
    <definedName name="___________________________sw1">#REF!</definedName>
    <definedName name="___________________________sw2">#REF!</definedName>
    <definedName name="___________________________sw3">#REF!</definedName>
    <definedName name="___________________________sw4">#REF!</definedName>
    <definedName name="___________________________sw5">#REF!</definedName>
    <definedName name="___________________________sw6">#REF!</definedName>
    <definedName name="___________________________sw7">#REF!</definedName>
    <definedName name="___________________________sw8">#REF!</definedName>
    <definedName name="__________________________REM1">#REF!</definedName>
    <definedName name="__________________________REM2">#REF!</definedName>
    <definedName name="__________________________sw1">#REF!</definedName>
    <definedName name="__________________________sw2">#REF!</definedName>
    <definedName name="__________________________sw3">#REF!</definedName>
    <definedName name="__________________________sw4">#REF!</definedName>
    <definedName name="__________________________sw5">#REF!</definedName>
    <definedName name="__________________________sw6">#REF!</definedName>
    <definedName name="__________________________sw7">#REF!</definedName>
    <definedName name="__________________________sw8">#REF!</definedName>
    <definedName name="_________________________BVS4">#REF!</definedName>
    <definedName name="_________________________REM1" localSheetId="3">#REF!</definedName>
    <definedName name="_________________________REM1">#REF!</definedName>
    <definedName name="_________________________REM2" localSheetId="3">#REF!</definedName>
    <definedName name="_________________________REM2">#REF!</definedName>
    <definedName name="_________________________sw1" localSheetId="3">#REF!</definedName>
    <definedName name="_________________________sw1">#REF!</definedName>
    <definedName name="_________________________sw2">#REF!</definedName>
    <definedName name="_________________________sw3">#REF!</definedName>
    <definedName name="_________________________sw4">#REF!</definedName>
    <definedName name="_________________________sw5">#REF!</definedName>
    <definedName name="_________________________sw6">#REF!</definedName>
    <definedName name="_________________________sw7">#REF!</definedName>
    <definedName name="_________________________sw8">#REF!</definedName>
    <definedName name="________________________REM1">#REF!</definedName>
    <definedName name="________________________REM2">#REF!</definedName>
    <definedName name="________________________sw1">#REF!</definedName>
    <definedName name="________________________sw2">#REF!</definedName>
    <definedName name="________________________sw3">#REF!</definedName>
    <definedName name="________________________sw4">#REF!</definedName>
    <definedName name="________________________sw5">#REF!</definedName>
    <definedName name="________________________sw6">#REF!</definedName>
    <definedName name="________________________sw7">#REF!</definedName>
    <definedName name="________________________sw8">#REF!</definedName>
    <definedName name="________________________xx1" localSheetId="3" hidden="1">{"'Typical Costs Estimates'!$C$158:$H$161"}</definedName>
    <definedName name="________________________xx1" hidden="1">{"'Typical Costs Estimates'!$C$158:$H$161"}</definedName>
    <definedName name="_______________________A1">#REF!</definedName>
    <definedName name="_______________________BVS4">#REF!</definedName>
    <definedName name="_______________________REM1" localSheetId="3">#REF!</definedName>
    <definedName name="_______________________REM1">#REF!</definedName>
    <definedName name="_______________________REM2" localSheetId="3">#REF!</definedName>
    <definedName name="_______________________REM2">#REF!</definedName>
    <definedName name="_______________________sw1" localSheetId="3">#REF!</definedName>
    <definedName name="_______________________sw1">#REF!</definedName>
    <definedName name="_______________________sw2">#REF!</definedName>
    <definedName name="_______________________sw3">#REF!</definedName>
    <definedName name="_______________________sw4">#REF!</definedName>
    <definedName name="_______________________sw5">#REF!</definedName>
    <definedName name="_______________________sw6">#REF!</definedName>
    <definedName name="_______________________sw7">#REF!</definedName>
    <definedName name="_______________________sw8">#REF!</definedName>
    <definedName name="_______________________xx1" localSheetId="3" hidden="1">{"'Typical Costs Estimates'!$C$158:$H$161"}</definedName>
    <definedName name="_______________________xx1" hidden="1">{"'Typical Costs Estimates'!$C$158:$H$161"}</definedName>
    <definedName name="______________________A1">#REF!</definedName>
    <definedName name="______________________REM1">#REF!</definedName>
    <definedName name="______________________REM2">#REF!</definedName>
    <definedName name="______________________sw1">#REF!</definedName>
    <definedName name="______________________sw2">#REF!</definedName>
    <definedName name="______________________sw3">#REF!</definedName>
    <definedName name="______________________sw4">#REF!</definedName>
    <definedName name="______________________sw5">#REF!</definedName>
    <definedName name="______________________sw6">#REF!</definedName>
    <definedName name="______________________sw7">#REF!</definedName>
    <definedName name="______________________sw8">#REF!</definedName>
    <definedName name="______________________xx1" localSheetId="3" hidden="1">{"'Typical Costs Estimates'!$C$158:$H$161"}</definedName>
    <definedName name="______________________xx1" hidden="1">{"'Typical Costs Estimates'!$C$158:$H$161"}</definedName>
    <definedName name="_____________________A1">#REF!</definedName>
    <definedName name="_____________________BVS4">#REF!</definedName>
    <definedName name="_____________________CAN112">13.42</definedName>
    <definedName name="_____________________CAN113">12.98</definedName>
    <definedName name="_____________________CAN117">12.7</definedName>
    <definedName name="_____________________CAN118">13.27</definedName>
    <definedName name="_____________________CAN120">11.72</definedName>
    <definedName name="_____________________CAN210">10.38</definedName>
    <definedName name="_____________________CAN211">10.58</definedName>
    <definedName name="_____________________CAN213">10.56</definedName>
    <definedName name="_____________________CAN215">10.22</definedName>
    <definedName name="_____________________CAN216">9.61</definedName>
    <definedName name="_____________________CAN217">10.47</definedName>
    <definedName name="_____________________CAN219">10.91</definedName>
    <definedName name="_____________________CAN220">11.09</definedName>
    <definedName name="_____________________CAN221">11.25</definedName>
    <definedName name="_____________________CAN222">10.17</definedName>
    <definedName name="_____________________CAN223">9.89</definedName>
    <definedName name="_____________________CAN230">10.79</definedName>
    <definedName name="_____________________can421">40.2</definedName>
    <definedName name="_____________________can422">41.57</definedName>
    <definedName name="_____________________can423">43.9</definedName>
    <definedName name="_____________________can424">41.19</definedName>
    <definedName name="_____________________can425">42.81</definedName>
    <definedName name="_____________________can426">40.77</definedName>
    <definedName name="_____________________can427">40.92</definedName>
    <definedName name="_____________________can428">39.29</definedName>
    <definedName name="_____________________can429">45.19</definedName>
    <definedName name="_____________________can430">40.73</definedName>
    <definedName name="_____________________can431">42.52</definedName>
    <definedName name="_____________________can432">42.53</definedName>
    <definedName name="_____________________can433">43.69</definedName>
    <definedName name="_____________________can434">40.43</definedName>
    <definedName name="_____________________can435">43.3</definedName>
    <definedName name="_____________________REM1">#REF!</definedName>
    <definedName name="_____________________REM2">#REF!</definedName>
    <definedName name="_____________________sw1">#REF!</definedName>
    <definedName name="_____________________sw2">#REF!</definedName>
    <definedName name="_____________________sw3">#REF!</definedName>
    <definedName name="_____________________sw4">#REF!</definedName>
    <definedName name="_____________________sw5">#REF!</definedName>
    <definedName name="_____________________sw6">#REF!</definedName>
    <definedName name="_____________________sw7">#REF!</definedName>
    <definedName name="_____________________sw8">#REF!</definedName>
    <definedName name="____________________A1">#REF!</definedName>
    <definedName name="____________________CAN112">13.42</definedName>
    <definedName name="____________________CAN113">12.98</definedName>
    <definedName name="____________________CAN117">12.7</definedName>
    <definedName name="____________________CAN118">13.27</definedName>
    <definedName name="____________________CAN120">11.72</definedName>
    <definedName name="____________________CAN210">10.38</definedName>
    <definedName name="____________________CAN211">10.58</definedName>
    <definedName name="____________________CAN213">10.56</definedName>
    <definedName name="____________________CAN215">10.22</definedName>
    <definedName name="____________________CAN216">9.61</definedName>
    <definedName name="____________________CAN217">10.47</definedName>
    <definedName name="____________________CAN219">10.91</definedName>
    <definedName name="____________________CAN220">11.09</definedName>
    <definedName name="____________________CAN221">11.25</definedName>
    <definedName name="____________________CAN222">10.17</definedName>
    <definedName name="____________________CAN223">9.89</definedName>
    <definedName name="____________________CAN230">10.79</definedName>
    <definedName name="____________________can421">40.2</definedName>
    <definedName name="____________________can422">41.57</definedName>
    <definedName name="____________________can423">43.9</definedName>
    <definedName name="____________________can424">41.19</definedName>
    <definedName name="____________________can425">42.81</definedName>
    <definedName name="____________________can426">40.77</definedName>
    <definedName name="____________________can427">40.92</definedName>
    <definedName name="____________________can428">39.29</definedName>
    <definedName name="____________________can429">45.19</definedName>
    <definedName name="____________________can430">40.73</definedName>
    <definedName name="____________________can431">42.52</definedName>
    <definedName name="____________________can432">42.53</definedName>
    <definedName name="____________________can433">43.69</definedName>
    <definedName name="____________________can434">40.43</definedName>
    <definedName name="____________________can435">43.3</definedName>
    <definedName name="____________________sw1">#REF!</definedName>
    <definedName name="____________________sw2">#REF!</definedName>
    <definedName name="____________________sw3">#REF!</definedName>
    <definedName name="____________________sw4">#REF!</definedName>
    <definedName name="____________________sw5">#REF!</definedName>
    <definedName name="____________________sw6">#REF!</definedName>
    <definedName name="____________________sw7">#REF!</definedName>
    <definedName name="____________________sw8">#REF!</definedName>
    <definedName name="____________________xx1" localSheetId="3" hidden="1">{"'Typical Costs Estimates'!$C$158:$H$161"}</definedName>
    <definedName name="____________________xx1" hidden="1">{"'Typical Costs Estimates'!$C$158:$H$161"}</definedName>
    <definedName name="___________________BVS4">#REF!</definedName>
    <definedName name="___________________CAN112">13.42</definedName>
    <definedName name="___________________CAN113">12.98</definedName>
    <definedName name="___________________CAN117">12.7</definedName>
    <definedName name="___________________CAN118">13.27</definedName>
    <definedName name="___________________CAN120">11.72</definedName>
    <definedName name="___________________CAN210">10.38</definedName>
    <definedName name="___________________CAN211">10.58</definedName>
    <definedName name="___________________CAN213">10.56</definedName>
    <definedName name="___________________CAN215">10.22</definedName>
    <definedName name="___________________CAN216">9.61</definedName>
    <definedName name="___________________CAN217">10.47</definedName>
    <definedName name="___________________CAN219">10.91</definedName>
    <definedName name="___________________CAN220">11.09</definedName>
    <definedName name="___________________CAN221">11.25</definedName>
    <definedName name="___________________CAN222">10.17</definedName>
    <definedName name="___________________CAN223">9.89</definedName>
    <definedName name="___________________CAN230">10.79</definedName>
    <definedName name="___________________can421">40.2</definedName>
    <definedName name="___________________can422">41.57</definedName>
    <definedName name="___________________can423">43.9</definedName>
    <definedName name="___________________can424">41.19</definedName>
    <definedName name="___________________can425">42.81</definedName>
    <definedName name="___________________can426">40.77</definedName>
    <definedName name="___________________can427">40.92</definedName>
    <definedName name="___________________can428">39.29</definedName>
    <definedName name="___________________can429">45.19</definedName>
    <definedName name="___________________can430">40.73</definedName>
    <definedName name="___________________can431">42.52</definedName>
    <definedName name="___________________can432">42.53</definedName>
    <definedName name="___________________can433">43.69</definedName>
    <definedName name="___________________can434">40.43</definedName>
    <definedName name="___________________can435">43.3</definedName>
    <definedName name="___________________REM1">#REF!</definedName>
    <definedName name="___________________REM2">#REF!</definedName>
    <definedName name="___________________sw1">#REF!</definedName>
    <definedName name="___________________sw2">#REF!</definedName>
    <definedName name="___________________sw3">#REF!</definedName>
    <definedName name="___________________sw4">#REF!</definedName>
    <definedName name="___________________sw5">#REF!</definedName>
    <definedName name="___________________sw6">#REF!</definedName>
    <definedName name="___________________sw7">#REF!</definedName>
    <definedName name="___________________sw8">#REF!</definedName>
    <definedName name="___________________xx1" localSheetId="3" hidden="1">{"'Typical Costs Estimates'!$C$158:$H$161"}</definedName>
    <definedName name="___________________xx1" hidden="1">{"'Typical Costs Estimates'!$C$158:$H$161"}</definedName>
    <definedName name="__________________A1">#REF!</definedName>
    <definedName name="__________________CAN112">13.42</definedName>
    <definedName name="__________________CAN113">12.98</definedName>
    <definedName name="__________________CAN117">12.7</definedName>
    <definedName name="__________________CAN118">13.27</definedName>
    <definedName name="__________________CAN120">11.72</definedName>
    <definedName name="__________________CAN210">10.38</definedName>
    <definedName name="__________________CAN211">10.58</definedName>
    <definedName name="__________________CAN213">10.56</definedName>
    <definedName name="__________________CAN215">10.22</definedName>
    <definedName name="__________________CAN216">9.61</definedName>
    <definedName name="__________________CAN217">10.47</definedName>
    <definedName name="__________________CAN219">10.91</definedName>
    <definedName name="__________________CAN220">11.09</definedName>
    <definedName name="__________________CAN221">11.25</definedName>
    <definedName name="__________________CAN222">10.17</definedName>
    <definedName name="__________________CAN223">9.89</definedName>
    <definedName name="__________________CAN230">10.79</definedName>
    <definedName name="__________________can421">40.2</definedName>
    <definedName name="__________________can422">41.57</definedName>
    <definedName name="__________________can423">43.9</definedName>
    <definedName name="__________________can424">41.19</definedName>
    <definedName name="__________________can425">42.81</definedName>
    <definedName name="__________________can426">40.77</definedName>
    <definedName name="__________________can427">40.92</definedName>
    <definedName name="__________________can428">39.29</definedName>
    <definedName name="__________________can429">45.19</definedName>
    <definedName name="__________________can430">40.73</definedName>
    <definedName name="__________________can431">42.52</definedName>
    <definedName name="__________________can432">42.53</definedName>
    <definedName name="__________________can433">43.69</definedName>
    <definedName name="__________________can434">40.43</definedName>
    <definedName name="__________________can435">43.3</definedName>
    <definedName name="__________________sw1">#REF!</definedName>
    <definedName name="__________________sw2">#REF!</definedName>
    <definedName name="__________________sw3">#REF!</definedName>
    <definedName name="__________________sw4">#REF!</definedName>
    <definedName name="__________________sw5">#REF!</definedName>
    <definedName name="__________________sw6">#REF!</definedName>
    <definedName name="__________________sw7">#REF!</definedName>
    <definedName name="__________________sw8">#REF!</definedName>
    <definedName name="__________________xx1" localSheetId="3" hidden="1">{"'Typical Costs Estimates'!$C$158:$H$161"}</definedName>
    <definedName name="__________________xx1" hidden="1">{"'Typical Costs Estimates'!$C$158:$H$161"}</definedName>
    <definedName name="_________________BVS4">#REF!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REM1">#REF!</definedName>
    <definedName name="_________________REM2">#REF!</definedName>
    <definedName name="_________________sw1">#REF!</definedName>
    <definedName name="_________________sw2">#REF!</definedName>
    <definedName name="_________________sw3">#REF!</definedName>
    <definedName name="_________________sw4">#REF!</definedName>
    <definedName name="_________________sw5">#REF!</definedName>
    <definedName name="_________________sw6">#REF!</definedName>
    <definedName name="_________________sw7">#REF!</definedName>
    <definedName name="_________________sw8">#REF!</definedName>
    <definedName name="_________________xx1" localSheetId="3" hidden="1">{"'Typical Costs Estimates'!$C$158:$H$161"}</definedName>
    <definedName name="_________________xx1" hidden="1">{"'Typical Costs Estimates'!$C$158:$H$161"}</definedName>
    <definedName name="________________A1">#REF!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sw1">#REF!</definedName>
    <definedName name="________________sw2">#REF!</definedName>
    <definedName name="________________sw3">#REF!</definedName>
    <definedName name="________________sw4">#REF!</definedName>
    <definedName name="________________sw5">#REF!</definedName>
    <definedName name="________________sw6">#REF!</definedName>
    <definedName name="________________sw7">#REF!</definedName>
    <definedName name="________________sw8">#REF!</definedName>
    <definedName name="________________xx1" localSheetId="3" hidden="1">{"'Typical Costs Estimates'!$C$158:$H$161"}</definedName>
    <definedName name="________________xx1" hidden="1">{"'Typical Costs Estimates'!$C$158:$H$161"}</definedName>
    <definedName name="_______________BVS4">#REF!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REM1">#REF!</definedName>
    <definedName name="_______________REM2">#REF!</definedName>
    <definedName name="_______________sw1">#REF!</definedName>
    <definedName name="_______________sw2">#REF!</definedName>
    <definedName name="_______________sw3">#REF!</definedName>
    <definedName name="_______________sw4">#REF!</definedName>
    <definedName name="_______________sw5">#REF!</definedName>
    <definedName name="_______________sw6">#REF!</definedName>
    <definedName name="_______________sw7">#REF!</definedName>
    <definedName name="_______________sw8">#REF!</definedName>
    <definedName name="_______________xx1" localSheetId="3" hidden="1">{"'Typical Costs Estimates'!$C$158:$H$161"}</definedName>
    <definedName name="_______________xx1" hidden="1">{"'Typical Costs Estimates'!$C$158:$H$161"}</definedName>
    <definedName name="______________A1">#REF!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sw1">#REF!</definedName>
    <definedName name="______________sw2">#REF!</definedName>
    <definedName name="______________sw3">#REF!</definedName>
    <definedName name="______________sw4">#REF!</definedName>
    <definedName name="______________sw5">#REF!</definedName>
    <definedName name="______________sw6">#REF!</definedName>
    <definedName name="______________sw7">#REF!</definedName>
    <definedName name="______________sw8">#REF!</definedName>
    <definedName name="______________xx1" localSheetId="3" hidden="1">{"'Typical Costs Estimates'!$C$158:$H$161"}</definedName>
    <definedName name="______________xx1" hidden="1">{"'Typical Costs Estimates'!$C$158:$H$161"}</definedName>
    <definedName name="_____________BVS4">#REF!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lb1">#REF!</definedName>
    <definedName name="_____________lb2">#REF!</definedName>
    <definedName name="_____________mm1">#REF!</definedName>
    <definedName name="_____________mm2">#REF!</definedName>
    <definedName name="_____________mm3">#REF!</definedName>
    <definedName name="_____________REM1">#REF!</definedName>
    <definedName name="_____________REM2">#REF!</definedName>
    <definedName name="_____________sw1">#REF!</definedName>
    <definedName name="_____________sw2">#REF!</definedName>
    <definedName name="_____________sw3">#REF!</definedName>
    <definedName name="_____________sw4">#REF!</definedName>
    <definedName name="_____________sw5">#REF!</definedName>
    <definedName name="_____________sw6">#REF!</definedName>
    <definedName name="_____________sw7">#REF!</definedName>
    <definedName name="_____________sw8">#REF!</definedName>
    <definedName name="_____________xx1" localSheetId="3" hidden="1">{"'Typical Costs Estimates'!$C$158:$H$161"}</definedName>
    <definedName name="_____________xx1" hidden="1">{"'Typical Costs Estimates'!$C$158:$H$161"}</definedName>
    <definedName name="____________A1">#REF!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Ki1" localSheetId="3">#REF!</definedName>
    <definedName name="____________Ki1">#REF!</definedName>
    <definedName name="____________Ki2" localSheetId="3">#REF!</definedName>
    <definedName name="____________Ki2">#REF!</definedName>
    <definedName name="____________lb1" localSheetId="3">#REF!</definedName>
    <definedName name="____________lb1">#REF!</definedName>
    <definedName name="____________lb2">#REF!</definedName>
    <definedName name="____________mm1">#REF!</definedName>
    <definedName name="____________mm2">#REF!</definedName>
    <definedName name="____________mm3">#REF!</definedName>
    <definedName name="____________REM1">#REF!</definedName>
    <definedName name="____________REM2">#REF!</definedName>
    <definedName name="____________sw1">#REF!</definedName>
    <definedName name="____________sw2">#REF!</definedName>
    <definedName name="____________sw3">#REF!</definedName>
    <definedName name="____________sw4">#REF!</definedName>
    <definedName name="____________sw5">#REF!</definedName>
    <definedName name="____________sw6">#REF!</definedName>
    <definedName name="____________sw7">#REF!</definedName>
    <definedName name="____________sw8">#REF!</definedName>
    <definedName name="____________TCS1">#REF!</definedName>
    <definedName name="____________xx1" localSheetId="3" hidden="1">{"'Typical Costs Estimates'!$C$158:$H$161"}</definedName>
    <definedName name="____________xx1" hidden="1">{"'Typical Costs Estimates'!$C$158:$H$161"}</definedName>
    <definedName name="___________A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Ki1" localSheetId="3">#REF!</definedName>
    <definedName name="___________Ki1">#REF!</definedName>
    <definedName name="___________Ki2" localSheetId="3">#REF!</definedName>
    <definedName name="___________Ki2">#REF!</definedName>
    <definedName name="___________lb1" localSheetId="3">#REF!</definedName>
    <definedName name="___________lb1">#REF!</definedName>
    <definedName name="___________lb2">#REF!</definedName>
    <definedName name="___________mm1">#REF!</definedName>
    <definedName name="___________mm2">#REF!</definedName>
    <definedName name="___________mm3">#REF!</definedName>
    <definedName name="___________sw1">#REF!</definedName>
    <definedName name="___________sw2">#REF!</definedName>
    <definedName name="___________sw3">#REF!</definedName>
    <definedName name="___________sw4">#REF!</definedName>
    <definedName name="___________sw5">#REF!</definedName>
    <definedName name="___________sw6">#REF!</definedName>
    <definedName name="___________sw7">#REF!</definedName>
    <definedName name="___________sw8">#REF!</definedName>
    <definedName name="___________xx1" localSheetId="3" hidden="1">{"'Typical Costs Estimates'!$C$158:$H$161"}</definedName>
    <definedName name="___________xx1" hidden="1">{"'Typical Costs Estimates'!$C$158:$H$161"}</definedName>
    <definedName name="__________BVS4">#REF!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Ki1" localSheetId="3">#REF!</definedName>
    <definedName name="__________Ki1">#REF!</definedName>
    <definedName name="__________Ki2" localSheetId="3">#REF!</definedName>
    <definedName name="__________Ki2">#REF!</definedName>
    <definedName name="__________lb1" localSheetId="3">#REF!</definedName>
    <definedName name="__________lb1">#REF!</definedName>
    <definedName name="__________lb2">#REF!</definedName>
    <definedName name="__________mm1">#REF!</definedName>
    <definedName name="__________mm2">#REF!</definedName>
    <definedName name="__________mm3">#REF!</definedName>
    <definedName name="__________REM1">#REF!</definedName>
    <definedName name="__________REM2">#REF!</definedName>
    <definedName name="__________sw1">#REF!</definedName>
    <definedName name="__________sw2">#REF!</definedName>
    <definedName name="__________sw3">#REF!</definedName>
    <definedName name="__________sw4">#REF!</definedName>
    <definedName name="__________sw5">#REF!</definedName>
    <definedName name="__________sw6">#REF!</definedName>
    <definedName name="__________sw7">#REF!</definedName>
    <definedName name="__________sw8">#REF!</definedName>
    <definedName name="__________TCS1">#REF!</definedName>
    <definedName name="__________xx1" localSheetId="3" hidden="1">{"'Typical Costs Estimates'!$C$158:$H$161"}</definedName>
    <definedName name="__________xx1" hidden="1">{"'Typical Costs Estimates'!$C$158:$H$161"}</definedName>
    <definedName name="_________A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Ki1" localSheetId="3">#REF!</definedName>
    <definedName name="_________Ki1">#REF!</definedName>
    <definedName name="_________Ki2" localSheetId="3">#REF!</definedName>
    <definedName name="_________Ki2">#REF!</definedName>
    <definedName name="_________lb1" localSheetId="3">#REF!</definedName>
    <definedName name="_________lb1">#REF!</definedName>
    <definedName name="_________lb2">#REF!</definedName>
    <definedName name="_________mm1">#REF!</definedName>
    <definedName name="_________mm2">#REF!</definedName>
    <definedName name="_________mm3">#REF!</definedName>
    <definedName name="_________sw1">#REF!</definedName>
    <definedName name="_________sw2">#REF!</definedName>
    <definedName name="_________sw3">#REF!</definedName>
    <definedName name="_________sw4">#REF!</definedName>
    <definedName name="_________sw5">#REF!</definedName>
    <definedName name="_________sw6">#REF!</definedName>
    <definedName name="_________sw7">#REF!</definedName>
    <definedName name="_________sw8">#REF!</definedName>
    <definedName name="_________TCS1">#REF!</definedName>
    <definedName name="_________XX1" localSheetId="3" hidden="1">{"'Typical Costs Estimates'!$C$158:$H$161"}</definedName>
    <definedName name="_________XX1" hidden="1">{"'Typical Costs Estimates'!$C$158:$H$161"}</definedName>
    <definedName name="________BVS4">#REF!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f1">#REF!</definedName>
    <definedName name="________Ki1" localSheetId="3">#REF!</definedName>
    <definedName name="________Ki1">#REF!</definedName>
    <definedName name="________Ki2" localSheetId="3">#REF!</definedName>
    <definedName name="________Ki2">#REF!</definedName>
    <definedName name="________KI9">#REF!</definedName>
    <definedName name="________lb1">#REF!</definedName>
    <definedName name="________lb2">#REF!</definedName>
    <definedName name="________mm1">#REF!</definedName>
    <definedName name="________mm2">#REF!</definedName>
    <definedName name="________mm3">#REF!</definedName>
    <definedName name="________Mzd1">#REF!</definedName>
    <definedName name="________PO7" localSheetId="3">#REF!</definedName>
    <definedName name="________PO7">#REF!</definedName>
    <definedName name="________PO8" localSheetId="3">#REF!</definedName>
    <definedName name="________PO8">#REF!</definedName>
    <definedName name="________PO9" localSheetId="3">#REF!</definedName>
    <definedName name="________PO9">#REF!</definedName>
    <definedName name="________POP3">#REF!</definedName>
    <definedName name="________REM1">#REF!</definedName>
    <definedName name="________REM2">#REF!</definedName>
    <definedName name="________sw1">#REF!</definedName>
    <definedName name="________sw2">#REF!</definedName>
    <definedName name="________sw3">#REF!</definedName>
    <definedName name="________sw4">#REF!</definedName>
    <definedName name="________sw5">#REF!</definedName>
    <definedName name="________sw6">#REF!</definedName>
    <definedName name="________sw7">#REF!</definedName>
    <definedName name="________sw8">#REF!</definedName>
    <definedName name="________tab1">#REF!</definedName>
    <definedName name="________tab2">#REF!</definedName>
    <definedName name="________TCS1">#REF!</definedName>
    <definedName name="________xx1" localSheetId="3" hidden="1">{"'Typical Costs Estimates'!$C$158:$H$161"}</definedName>
    <definedName name="________xx1" hidden="1">{"'Typical Costs Estimates'!$C$158:$H$161"}</definedName>
    <definedName name="_______A1">#REF!</definedName>
    <definedName name="_______BVS4">#REF!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dep2">#REF!</definedName>
    <definedName name="_______dep3">#REF!</definedName>
    <definedName name="_______ext2">#REF!</definedName>
    <definedName name="_______ext3">#REF!</definedName>
    <definedName name="_______f1">#REF!</definedName>
    <definedName name="_______jj300">#REF!</definedName>
    <definedName name="_______Ki1">#REF!</definedName>
    <definedName name="_______Ki2">#REF!</definedName>
    <definedName name="_______len2">#REF!</definedName>
    <definedName name="_______len3">#REF!</definedName>
    <definedName name="_______Mzd1">#REF!</definedName>
    <definedName name="_______pc1" localSheetId="3">#REF!</definedName>
    <definedName name="_______pc1">#REF!</definedName>
    <definedName name="_______pc2" localSheetId="3">#REF!</definedName>
    <definedName name="_______pc2">#REF!</definedName>
    <definedName name="_______pc3" localSheetId="3">#REF!</definedName>
    <definedName name="_______pc3">#REF!</definedName>
    <definedName name="_______PO8">#REF!</definedName>
    <definedName name="_______PO9">#REF!</definedName>
    <definedName name="_______POP3">#REF!</definedName>
    <definedName name="_______sw1">#REF!</definedName>
    <definedName name="_______sw2">#REF!</definedName>
    <definedName name="_______sw3">#REF!</definedName>
    <definedName name="_______sw4">#REF!</definedName>
    <definedName name="_______sw5">#REF!</definedName>
    <definedName name="_______sw6">#REF!</definedName>
    <definedName name="_______sw7">#REF!</definedName>
    <definedName name="_______sw8">#REF!</definedName>
    <definedName name="_______tab1">#REF!</definedName>
    <definedName name="_______tab2">#REF!</definedName>
    <definedName name="_______tbc2">#REF!</definedName>
    <definedName name="_______tbc3">#REF!</definedName>
    <definedName name="_______TCS1">#REF!</definedName>
    <definedName name="_______wid2">#REF!</definedName>
    <definedName name="_______wid3">#REF!</definedName>
    <definedName name="_______xx1" localSheetId="3" hidden="1">{"'Typical Costs Estimates'!$C$158:$H$161"}</definedName>
    <definedName name="_______xx1" hidden="1">{"'Typical Costs Estimates'!$C$158:$H$161"}</definedName>
    <definedName name="______A1">#REF!</definedName>
    <definedName name="______A33">#N/A</definedName>
    <definedName name="______a441">#REF!</definedName>
    <definedName name="______A8">#REF!</definedName>
    <definedName name="______BVS4">#REF!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as1">#REF!</definedName>
    <definedName name="______cas10">#REF!</definedName>
    <definedName name="______cas11">#REF!</definedName>
    <definedName name="______cas2">#REF!</definedName>
    <definedName name="______cas3">#REF!</definedName>
    <definedName name="______cas4">#REF!</definedName>
    <definedName name="______cas5">#REF!</definedName>
    <definedName name="______cas6">#REF!</definedName>
    <definedName name="______cas7">#REF!</definedName>
    <definedName name="______cas8">#REF!</definedName>
    <definedName name="______cas9">#REF!</definedName>
    <definedName name="______cra10">#REF!</definedName>
    <definedName name="______cra11">#REF!</definedName>
    <definedName name="______cra12">#REF!</definedName>
    <definedName name="______cra13">#REF!</definedName>
    <definedName name="______cra20">#REF!</definedName>
    <definedName name="______cra22">#REF!</definedName>
    <definedName name="______cra25">#REF!</definedName>
    <definedName name="______cra26">#REF!</definedName>
    <definedName name="______cra40">#REF!</definedName>
    <definedName name="______cra45">#REF!</definedName>
    <definedName name="______cra50">#REF!</definedName>
    <definedName name="______cra6">#REF!</definedName>
    <definedName name="______dec05" localSheetId="3" hidden="1">{"'Sheet1'!$A$4386:$N$4591"}</definedName>
    <definedName name="______dec05" hidden="1">{"'Sheet1'!$A$4386:$N$4591"}</definedName>
    <definedName name="______dep2">#REF!</definedName>
    <definedName name="______dep3">#REF!</definedName>
    <definedName name="______DIN217">#REF!</definedName>
    <definedName name="______ext2">#REF!</definedName>
    <definedName name="______ext3">#REF!</definedName>
    <definedName name="______f1">#REF!</definedName>
    <definedName name="______jj300">#REF!</definedName>
    <definedName name="______Ki1">#REF!</definedName>
    <definedName name="______Ki2">#REF!</definedName>
    <definedName name="______KI9">#REF!</definedName>
    <definedName name="______lb1">#REF!</definedName>
    <definedName name="______lb2">#REF!</definedName>
    <definedName name="______len2">#REF!</definedName>
    <definedName name="______len3">#REF!</definedName>
    <definedName name="______mm1">#REF!</definedName>
    <definedName name="______mm2">#REF!</definedName>
    <definedName name="______mm3">#REF!</definedName>
    <definedName name="______Mzd1">#REF!</definedName>
    <definedName name="______pc1" localSheetId="3">#REF!</definedName>
    <definedName name="______pc1">#REF!</definedName>
    <definedName name="______pc2" localSheetId="3">#REF!</definedName>
    <definedName name="______pc2">#REF!</definedName>
    <definedName name="______pc3" localSheetId="3">#REF!</definedName>
    <definedName name="______pc3">#REF!</definedName>
    <definedName name="______PO7">#REF!</definedName>
    <definedName name="______PO8">#REF!</definedName>
    <definedName name="______PO9">#REF!</definedName>
    <definedName name="______POP3">#REF!</definedName>
    <definedName name="______REM1">#REF!</definedName>
    <definedName name="______REM2">#REF!</definedName>
    <definedName name="______sw1">#REF!</definedName>
    <definedName name="______sw2">#REF!</definedName>
    <definedName name="______sw3">#REF!</definedName>
    <definedName name="______sw4">#REF!</definedName>
    <definedName name="______sw5">#REF!</definedName>
    <definedName name="______sw6">#REF!</definedName>
    <definedName name="______sw7">#REF!</definedName>
    <definedName name="______sw8">#REF!</definedName>
    <definedName name="______tab1">#REF!</definedName>
    <definedName name="______tab2">#REF!</definedName>
    <definedName name="______tbc2">#REF!</definedName>
    <definedName name="______tbc3">#REF!</definedName>
    <definedName name="______TCS1">#REF!</definedName>
    <definedName name="______tr1800">#REF!</definedName>
    <definedName name="______tr6001">#REF!</definedName>
    <definedName name="______tr900">#REF!</definedName>
    <definedName name="______wid2" localSheetId="3">#REF!</definedName>
    <definedName name="______wid2">#REF!</definedName>
    <definedName name="______wid3" localSheetId="3">#REF!</definedName>
    <definedName name="______wid3">#REF!</definedName>
    <definedName name="______xx1" localSheetId="3" hidden="1">{"'Typical Costs Estimates'!$C$158:$H$161"}</definedName>
    <definedName name="______xx1" hidden="1">{"'Typical Costs Estimates'!$C$158:$H$161"}</definedName>
    <definedName name="_____A1">#REF!</definedName>
    <definedName name="_____A33">#N/A</definedName>
    <definedName name="_____a441">#REF!</definedName>
    <definedName name="_____A8">#REF!</definedName>
    <definedName name="_____BVS4">#REF!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AN458">#REF!</definedName>
    <definedName name="_____CAN486">#REF!</definedName>
    <definedName name="_____CAN487">#REF!</definedName>
    <definedName name="_____CAN488">#REF!</definedName>
    <definedName name="_____CAN489">#REF!</definedName>
    <definedName name="_____CAN490">#REF!</definedName>
    <definedName name="_____CAN491">#REF!</definedName>
    <definedName name="_____CAN492">#REF!</definedName>
    <definedName name="_____CAN493">#REF!</definedName>
    <definedName name="_____CAN494">#REF!</definedName>
    <definedName name="_____CAN495">#REF!</definedName>
    <definedName name="_____CAN496">#REF!</definedName>
    <definedName name="_____CAN497">#REF!</definedName>
    <definedName name="_____CAN498">#REF!</definedName>
    <definedName name="_____CAN499">#REF!</definedName>
    <definedName name="_____CAN500">#REF!</definedName>
    <definedName name="_____cas1" localSheetId="3">#REF!</definedName>
    <definedName name="_____cas1">#REF!</definedName>
    <definedName name="_____cas10" localSheetId="3">#REF!</definedName>
    <definedName name="_____cas10">#REF!</definedName>
    <definedName name="_____cas11" localSheetId="3">#REF!</definedName>
    <definedName name="_____cas11">#REF!</definedName>
    <definedName name="_____cas2">#REF!</definedName>
    <definedName name="_____cas3">#REF!</definedName>
    <definedName name="_____cas4">#REF!</definedName>
    <definedName name="_____cas5">#REF!</definedName>
    <definedName name="_____cas6">#REF!</definedName>
    <definedName name="_____cas7">#REF!</definedName>
    <definedName name="_____cas8">#REF!</definedName>
    <definedName name="_____cas9">#REF!</definedName>
    <definedName name="_____cra10">#REF!</definedName>
    <definedName name="_____cra11">#REF!</definedName>
    <definedName name="_____cra12">#REF!</definedName>
    <definedName name="_____cra13">#REF!</definedName>
    <definedName name="_____cra20">#REF!</definedName>
    <definedName name="_____cra22">#REF!</definedName>
    <definedName name="_____cra25">#REF!</definedName>
    <definedName name="_____cra26">#REF!</definedName>
    <definedName name="_____cra40">#REF!</definedName>
    <definedName name="_____cra45">#REF!</definedName>
    <definedName name="_____cra50">#REF!</definedName>
    <definedName name="_____cra6">#REF!</definedName>
    <definedName name="_____dec05" localSheetId="3" hidden="1">{"'Sheet1'!$A$4386:$N$4591"}</definedName>
    <definedName name="_____dec05" hidden="1">{"'Sheet1'!$A$4386:$N$4591"}</definedName>
    <definedName name="_____dep2">#REF!</definedName>
    <definedName name="_____dep3">#REF!</definedName>
    <definedName name="_____DIN217">#REF!</definedName>
    <definedName name="_____dk1" localSheetId="3" hidden="1">{#N/A,#N/A,FALSE,"COVER.XLS";#N/A,#N/A,FALSE,"RACT1.XLS";#N/A,#N/A,FALSE,"RACT2.XLS";#N/A,#N/A,FALSE,"ECCMP";#N/A,#N/A,FALSE,"WELDER.XLS"}</definedName>
    <definedName name="_____dk1" hidden="1">{#N/A,#N/A,FALSE,"COVER.XLS";#N/A,#N/A,FALSE,"RACT1.XLS";#N/A,#N/A,FALSE,"RACT2.XLS";#N/A,#N/A,FALSE,"ECCMP";#N/A,#N/A,FALSE,"WELDER.XLS"}</definedName>
    <definedName name="_____ext2">#REF!</definedName>
    <definedName name="_____ext3">#REF!</definedName>
    <definedName name="_____f1">#REF!</definedName>
    <definedName name="_____jj300">#REF!</definedName>
    <definedName name="_____Ki1">#REF!</definedName>
    <definedName name="_____Ki2">#REF!</definedName>
    <definedName name="_____KI9">#REF!</definedName>
    <definedName name="_____kvs1" localSheetId="3" hidden="1">{#N/A,#N/A,FALSE,"COVER1.XLS ";#N/A,#N/A,FALSE,"RACT1.XLS";#N/A,#N/A,FALSE,"RACT2.XLS";#N/A,#N/A,FALSE,"ECCMP";#N/A,#N/A,FALSE,"WELDER.XLS"}</definedName>
    <definedName name="_____kvs1" hidden="1">{#N/A,#N/A,FALSE,"COVER1.XLS ";#N/A,#N/A,FALSE,"RACT1.XLS";#N/A,#N/A,FALSE,"RACT2.XLS";#N/A,#N/A,FALSE,"ECCMP";#N/A,#N/A,FALSE,"WELDER.XLS"}</definedName>
    <definedName name="_____kvs2" localSheetId="3" hidden="1">{#N/A,#N/A,FALSE,"COVER1.XLS ";#N/A,#N/A,FALSE,"RACT1.XLS";#N/A,#N/A,FALSE,"RACT2.XLS";#N/A,#N/A,FALSE,"ECCMP";#N/A,#N/A,FALSE,"WELDER.XLS"}</definedName>
    <definedName name="_____kvs2" hidden="1">{#N/A,#N/A,FALSE,"COVER1.XLS ";#N/A,#N/A,FALSE,"RACT1.XLS";#N/A,#N/A,FALSE,"RACT2.XLS";#N/A,#N/A,FALSE,"ECCMP";#N/A,#N/A,FALSE,"WELDER.XLS"}</definedName>
    <definedName name="_____kvs5" localSheetId="3" hidden="1">{#N/A,#N/A,FALSE,"COVER.XLS";#N/A,#N/A,FALSE,"RACT1.XLS";#N/A,#N/A,FALSE,"RACT2.XLS";#N/A,#N/A,FALSE,"ECCMP";#N/A,#N/A,FALSE,"WELDER.XLS"}</definedName>
    <definedName name="_____kvs5" hidden="1">{#N/A,#N/A,FALSE,"COVER.XLS";#N/A,#N/A,FALSE,"RACT1.XLS";#N/A,#N/A,FALSE,"RACT2.XLS";#N/A,#N/A,FALSE,"ECCMP";#N/A,#N/A,FALSE,"WELDER.XLS"}</definedName>
    <definedName name="_____kvs8" localSheetId="3" hidden="1">{#N/A,#N/A,FALSE,"COVER1.XLS ";#N/A,#N/A,FALSE,"RACT1.XLS";#N/A,#N/A,FALSE,"RACT2.XLS";#N/A,#N/A,FALSE,"ECCMP";#N/A,#N/A,FALSE,"WELDER.XLS"}</definedName>
    <definedName name="_____kvs8" hidden="1">{#N/A,#N/A,FALSE,"COVER1.XLS ";#N/A,#N/A,FALSE,"RACT1.XLS";#N/A,#N/A,FALSE,"RACT2.XLS";#N/A,#N/A,FALSE,"ECCMP";#N/A,#N/A,FALSE,"WELDER.XLS"}</definedName>
    <definedName name="_____lb1">#REF!</definedName>
    <definedName name="_____lb2">#REF!</definedName>
    <definedName name="_____len2">#REF!</definedName>
    <definedName name="_____len3">#REF!</definedName>
    <definedName name="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1" localSheetId="3" hidden="1">{"form-D1",#N/A,FALSE,"FORM-D1";"form-D1_amt",#N/A,FALSE,"FORM-D1"}</definedName>
    <definedName name="_____m1" hidden="1">{"form-D1",#N/A,FALSE,"FORM-D1";"form-D1_amt",#N/A,FALSE,"FORM-D1"}</definedName>
    <definedName name="_____mm1">#REF!</definedName>
    <definedName name="_____mm2">#REF!</definedName>
    <definedName name="_____mm3">#REF!</definedName>
    <definedName name="_____Mzd1">#REF!</definedName>
    <definedName name="_____ns1" localSheetId="3" hidden="1">{#N/A,#N/A,FALSE,"COVER1.XLS ";#N/A,#N/A,FALSE,"RACT1.XLS";#N/A,#N/A,FALSE,"RACT2.XLS";#N/A,#N/A,FALSE,"ECCMP";#N/A,#N/A,FALSE,"WELDER.XLS"}</definedName>
    <definedName name="_____ns1" hidden="1">{#N/A,#N/A,FALSE,"COVER1.XLS ";#N/A,#N/A,FALSE,"RACT1.XLS";#N/A,#N/A,FALSE,"RACT2.XLS";#N/A,#N/A,FALSE,"ECCMP";#N/A,#N/A,FALSE,"WELDER.XLS"}</definedName>
    <definedName name="_____pc1">#REF!</definedName>
    <definedName name="_____pc2">#REF!</definedName>
    <definedName name="_____pc3">#REF!</definedName>
    <definedName name="_____PO7">#REF!</definedName>
    <definedName name="_____PO8">#REF!</definedName>
    <definedName name="_____PO9">#REF!</definedName>
    <definedName name="_____POP3">#REF!</definedName>
    <definedName name="_____PRN1" localSheetId="3" hidden="1">{#N/A,#N/A,FALSE,"COVER.XLS";#N/A,#N/A,FALSE,"RACT1.XLS";#N/A,#N/A,FALSE,"RACT2.XLS";#N/A,#N/A,FALSE,"ECCMP";#N/A,#N/A,FALSE,"WELDER.XLS"}</definedName>
    <definedName name="_____PRN1" hidden="1">{#N/A,#N/A,FALSE,"COVER.XLS";#N/A,#N/A,FALSE,"RACT1.XLS";#N/A,#N/A,FALSE,"RACT2.XLS";#N/A,#N/A,FALSE,"ECCMP";#N/A,#N/A,FALSE,"WELDER.XLS"}</definedName>
    <definedName name="_____REM1">#REF!</definedName>
    <definedName name="_____REM2">#REF!</definedName>
    <definedName name="_____sw1">#REF!</definedName>
    <definedName name="_____sw2">#REF!</definedName>
    <definedName name="_____sw3">#REF!</definedName>
    <definedName name="_____sw4">#REF!</definedName>
    <definedName name="_____sw5">#REF!</definedName>
    <definedName name="_____sw6">#REF!</definedName>
    <definedName name="_____sw7">#REF!</definedName>
    <definedName name="_____sw8">#REF!</definedName>
    <definedName name="_____tab1">#REF!</definedName>
    <definedName name="_____tab2">#REF!</definedName>
    <definedName name="_____tbc2">#REF!</definedName>
    <definedName name="_____tbc3">#REF!</definedName>
    <definedName name="_____TCS1">#REF!</definedName>
    <definedName name="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800">#REF!</definedName>
    <definedName name="_____tr6001">#REF!</definedName>
    <definedName name="_____tr900">#REF!</definedName>
    <definedName name="_____wid2" localSheetId="3">#REF!</definedName>
    <definedName name="_____wid2">#REF!</definedName>
    <definedName name="_____wid3" localSheetId="3">#REF!</definedName>
    <definedName name="_____wid3">#REF!</definedName>
    <definedName name="_____WRN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RN2" localSheetId="3" hidden="1">{#N/A,#N/A,FALSE,"COVER1.XLS ";#N/A,#N/A,FALSE,"RACT1.XLS";#N/A,#N/A,FALSE,"RACT2.XLS";#N/A,#N/A,FALSE,"ECCMP";#N/A,#N/A,FALSE,"WELDER.XLS"}</definedName>
    <definedName name="_____WRN2" hidden="1">{#N/A,#N/A,FALSE,"COVER1.XLS ";#N/A,#N/A,FALSE,"RACT1.XLS";#N/A,#N/A,FALSE,"RACT2.XLS";#N/A,#N/A,FALSE,"ECCMP";#N/A,#N/A,FALSE,"WELDER.XLS"}</definedName>
    <definedName name="_____WRN3" localSheetId="3" hidden="1">{#N/A,#N/A,FALSE,"consu_cover";#N/A,#N/A,FALSE,"consu_strategy";#N/A,#N/A,FALSE,"consu_flow";#N/A,#N/A,FALSE,"Summary_reqmt";#N/A,#N/A,FALSE,"field_ppg";#N/A,#N/A,FALSE,"ppg_shop";#N/A,#N/A,FALSE,"strl";#N/A,#N/A,FALSE,"tankages";#N/A,#N/A,FALSE,"gases"}</definedName>
    <definedName name="_____WRN3" hidden="1">{#N/A,#N/A,FALSE,"consu_cover";#N/A,#N/A,FALSE,"consu_strategy";#N/A,#N/A,FALSE,"consu_flow";#N/A,#N/A,FALSE,"Summary_reqmt";#N/A,#N/A,FALSE,"field_ppg";#N/A,#N/A,FALSE,"ppg_shop";#N/A,#N/A,FALSE,"strl";#N/A,#N/A,FALSE,"tankages";#N/A,#N/A,FALSE,"gases"}</definedName>
    <definedName name="_____x1">#REF!</definedName>
    <definedName name="_____xlnm.Print_Area" localSheetId="3">#REF!</definedName>
    <definedName name="_____xlnm.Print_Area">#REF!</definedName>
    <definedName name="_____xlnm.Print_Area_1" localSheetId="3">#REF!</definedName>
    <definedName name="_____xlnm.Print_Area_1">#REF!</definedName>
    <definedName name="_____xlnm.Print_Area_2" localSheetId="3">#REF!</definedName>
    <definedName name="_____xlnm.Print_Area_2">#REF!</definedName>
    <definedName name="_____xlnm.Print_Titles">#REF!</definedName>
    <definedName name="_____xx1" localSheetId="3" hidden="1">{"'Typical Costs Estimates'!$C$158:$H$161"}</definedName>
    <definedName name="_____xx1" hidden="1">{"'Typical Costs Estimates'!$C$158:$H$161"}</definedName>
    <definedName name="____A1">#REF!</definedName>
    <definedName name="____A33">#N/A</definedName>
    <definedName name="____a441">#REF!</definedName>
    <definedName name="____A8">#REF!</definedName>
    <definedName name="____as1" localSheetId="3"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BVS4">#REF!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AN458">#REF!</definedName>
    <definedName name="____CAN486">#REF!</definedName>
    <definedName name="____CAN487">#REF!</definedName>
    <definedName name="____CAN488">#REF!</definedName>
    <definedName name="____CAN489">#REF!</definedName>
    <definedName name="____CAN490">#REF!</definedName>
    <definedName name="____CAN491">#REF!</definedName>
    <definedName name="____CAN492">#REF!</definedName>
    <definedName name="____CAN493">#REF!</definedName>
    <definedName name="____CAN494">#REF!</definedName>
    <definedName name="____CAN495">#REF!</definedName>
    <definedName name="____CAN496">#REF!</definedName>
    <definedName name="____CAN497">#REF!</definedName>
    <definedName name="____CAN498">#REF!</definedName>
    <definedName name="____CAN499">#REF!</definedName>
    <definedName name="____CAN500">#REF!</definedName>
    <definedName name="____cas1" localSheetId="3">#REF!</definedName>
    <definedName name="____cas1">#REF!</definedName>
    <definedName name="____cas10" localSheetId="3">#REF!</definedName>
    <definedName name="____cas10">#REF!</definedName>
    <definedName name="____cas11" localSheetId="3">#REF!</definedName>
    <definedName name="____cas11">#REF!</definedName>
    <definedName name="____cas2">#REF!</definedName>
    <definedName name="____cas3">#REF!</definedName>
    <definedName name="____cas4">#REF!</definedName>
    <definedName name="____cas5">#REF!</definedName>
    <definedName name="____cas6">#REF!</definedName>
    <definedName name="____cas7">#REF!</definedName>
    <definedName name="____cas8">#REF!</definedName>
    <definedName name="____cas9">#REF!</definedName>
    <definedName name="____cra10">#REF!</definedName>
    <definedName name="____cra11">#REF!</definedName>
    <definedName name="____cra12">#REF!</definedName>
    <definedName name="____cra13">#REF!</definedName>
    <definedName name="____cra20">#REF!</definedName>
    <definedName name="____cra22">#REF!</definedName>
    <definedName name="____cra25">#REF!</definedName>
    <definedName name="____cra26">#REF!</definedName>
    <definedName name="____cra40">#REF!</definedName>
    <definedName name="____cra45">#REF!</definedName>
    <definedName name="____cra50">#REF!</definedName>
    <definedName name="____cra6">#REF!</definedName>
    <definedName name="____dec05" localSheetId="3" hidden="1">{"'Sheet1'!$A$4386:$N$4591"}</definedName>
    <definedName name="____dec05" hidden="1">{"'Sheet1'!$A$4386:$N$4591"}</definedName>
    <definedName name="____dep2">#REF!</definedName>
    <definedName name="____dep3">#REF!</definedName>
    <definedName name="____DIN217">#REF!</definedName>
    <definedName name="____dk1" localSheetId="3" hidden="1">{#N/A,#N/A,FALSE,"COVER.XLS";#N/A,#N/A,FALSE,"RACT1.XLS";#N/A,#N/A,FALSE,"RACT2.XLS";#N/A,#N/A,FALSE,"ECCMP";#N/A,#N/A,FALSE,"WELDER.XLS"}</definedName>
    <definedName name="____dk1" hidden="1">{#N/A,#N/A,FALSE,"COVER.XLS";#N/A,#N/A,FALSE,"RACT1.XLS";#N/A,#N/A,FALSE,"RACT2.XLS";#N/A,#N/A,FALSE,"ECCMP";#N/A,#N/A,FALSE,"WELDER.XLS"}</definedName>
    <definedName name="____ext2">#REF!</definedName>
    <definedName name="____ext3">#REF!</definedName>
    <definedName name="____f1">#REF!</definedName>
    <definedName name="____jj300">#REF!</definedName>
    <definedName name="____Ki1">#REF!</definedName>
    <definedName name="____Ki2">#REF!</definedName>
    <definedName name="____KI9">#REF!</definedName>
    <definedName name="____kvs1" localSheetId="3" hidden="1">{#N/A,#N/A,FALSE,"COVER1.XLS ";#N/A,#N/A,FALSE,"RACT1.XLS";#N/A,#N/A,FALSE,"RACT2.XLS";#N/A,#N/A,FALSE,"ECCMP";#N/A,#N/A,FALSE,"WELDER.XLS"}</definedName>
    <definedName name="____kvs1" hidden="1">{#N/A,#N/A,FALSE,"COVER1.XLS ";#N/A,#N/A,FALSE,"RACT1.XLS";#N/A,#N/A,FALSE,"RACT2.XLS";#N/A,#N/A,FALSE,"ECCMP";#N/A,#N/A,FALSE,"WELDER.XLS"}</definedName>
    <definedName name="____kvs2" localSheetId="3" hidden="1">{#N/A,#N/A,FALSE,"COVER1.XLS ";#N/A,#N/A,FALSE,"RACT1.XLS";#N/A,#N/A,FALSE,"RACT2.XLS";#N/A,#N/A,FALSE,"ECCMP";#N/A,#N/A,FALSE,"WELDER.XLS"}</definedName>
    <definedName name="____kvs2" hidden="1">{#N/A,#N/A,FALSE,"COVER1.XLS ";#N/A,#N/A,FALSE,"RACT1.XLS";#N/A,#N/A,FALSE,"RACT2.XLS";#N/A,#N/A,FALSE,"ECCMP";#N/A,#N/A,FALSE,"WELDER.XLS"}</definedName>
    <definedName name="____kvs5" localSheetId="3" hidden="1">{#N/A,#N/A,FALSE,"COVER.XLS";#N/A,#N/A,FALSE,"RACT1.XLS";#N/A,#N/A,FALSE,"RACT2.XLS";#N/A,#N/A,FALSE,"ECCMP";#N/A,#N/A,FALSE,"WELDER.XLS"}</definedName>
    <definedName name="____kvs5" hidden="1">{#N/A,#N/A,FALSE,"COVER.XLS";#N/A,#N/A,FALSE,"RACT1.XLS";#N/A,#N/A,FALSE,"RACT2.XLS";#N/A,#N/A,FALSE,"ECCMP";#N/A,#N/A,FALSE,"WELDER.XLS"}</definedName>
    <definedName name="____kvs8" localSheetId="3" hidden="1">{#N/A,#N/A,FALSE,"COVER1.XLS ";#N/A,#N/A,FALSE,"RACT1.XLS";#N/A,#N/A,FALSE,"RACT2.XLS";#N/A,#N/A,FALSE,"ECCMP";#N/A,#N/A,FALSE,"WELDER.XLS"}</definedName>
    <definedName name="____kvs8" hidden="1">{#N/A,#N/A,FALSE,"COVER1.XLS ";#N/A,#N/A,FALSE,"RACT1.XLS";#N/A,#N/A,FALSE,"RACT2.XLS";#N/A,#N/A,FALSE,"ECCMP";#N/A,#N/A,FALSE,"WELDER.XLS"}</definedName>
    <definedName name="____lb1">#REF!</definedName>
    <definedName name="____lb2">#REF!</definedName>
    <definedName name="____len2">#REF!</definedName>
    <definedName name="____len3">#REF!</definedName>
    <definedName name="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1" localSheetId="3" hidden="1">{"form-D1",#N/A,FALSE,"FORM-D1";"form-D1_amt",#N/A,FALSE,"FORM-D1"}</definedName>
    <definedName name="____m1" hidden="1">{"form-D1",#N/A,FALSE,"FORM-D1";"form-D1_amt",#N/A,FALSE,"FORM-D1"}</definedName>
    <definedName name="____mm1">#REF!</definedName>
    <definedName name="____mm2">#REF!</definedName>
    <definedName name="____mm3">#REF!</definedName>
    <definedName name="____msy1">#REF!</definedName>
    <definedName name="____msy2">#REF!</definedName>
    <definedName name="____msy3">#REF!</definedName>
    <definedName name="____msy4">#REF!</definedName>
    <definedName name="____Mzd1">#REF!</definedName>
    <definedName name="____ns1" localSheetId="3" hidden="1">{#N/A,#N/A,FALSE,"COVER1.XLS ";#N/A,#N/A,FALSE,"RACT1.XLS";#N/A,#N/A,FALSE,"RACT2.XLS";#N/A,#N/A,FALSE,"ECCMP";#N/A,#N/A,FALSE,"WELDER.XLS"}</definedName>
    <definedName name="____ns1" hidden="1">{#N/A,#N/A,FALSE,"COVER1.XLS ";#N/A,#N/A,FALSE,"RACT1.XLS";#N/A,#N/A,FALSE,"RACT2.XLS";#N/A,#N/A,FALSE,"ECCMP";#N/A,#N/A,FALSE,"WELDER.XLS"}</definedName>
    <definedName name="____pc1">#REF!</definedName>
    <definedName name="____pc2">#REF!</definedName>
    <definedName name="____pc3">#REF!</definedName>
    <definedName name="____PG2">#REF!</definedName>
    <definedName name="____PG3">#REF!</definedName>
    <definedName name="____pg4">#REF!</definedName>
    <definedName name="____pg5">#REF!</definedName>
    <definedName name="____PG6">#REF!</definedName>
    <definedName name="____PG7">#REF!</definedName>
    <definedName name="____PO7">#REF!</definedName>
    <definedName name="____PO8">#REF!</definedName>
    <definedName name="____PO9">#REF!</definedName>
    <definedName name="____POP3">#REF!</definedName>
    <definedName name="____PRN1" localSheetId="3" hidden="1">{#N/A,#N/A,FALSE,"COVER.XLS";#N/A,#N/A,FALSE,"RACT1.XLS";#N/A,#N/A,FALSE,"RACT2.XLS";#N/A,#N/A,FALSE,"ECCMP";#N/A,#N/A,FALSE,"WELDER.XLS"}</definedName>
    <definedName name="____PRN1" hidden="1">{#N/A,#N/A,FALSE,"COVER.XLS";#N/A,#N/A,FALSE,"RACT1.XLS";#N/A,#N/A,FALSE,"RACT2.XLS";#N/A,#N/A,FALSE,"ECCMP";#N/A,#N/A,FALSE,"WELDER.XLS"}</definedName>
    <definedName name="____REM1">#REF!</definedName>
    <definedName name="____REM2">#REF!</definedName>
    <definedName name="____sw1">#REF!</definedName>
    <definedName name="____sw2">#REF!</definedName>
    <definedName name="____sw3">#REF!</definedName>
    <definedName name="____sw4">#REF!</definedName>
    <definedName name="____sw5">#REF!</definedName>
    <definedName name="____sw6">#REF!</definedName>
    <definedName name="____sw7">#REF!</definedName>
    <definedName name="____sw8">#REF!</definedName>
    <definedName name="____tab1">#REF!</definedName>
    <definedName name="____tab2">#REF!</definedName>
    <definedName name="____tbc2">#REF!</definedName>
    <definedName name="____tbc3">#REF!</definedName>
    <definedName name="____TCS1">#REF!</definedName>
    <definedName name="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800">#REF!</definedName>
    <definedName name="____tr6001">#REF!</definedName>
    <definedName name="____tr900">#REF!</definedName>
    <definedName name="____wid2" localSheetId="3">#REF!</definedName>
    <definedName name="____wid2">#REF!</definedName>
    <definedName name="____wid3" localSheetId="3">#REF!</definedName>
    <definedName name="____wid3">#REF!</definedName>
    <definedName name="____WRN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RN2" localSheetId="3" hidden="1">{#N/A,#N/A,FALSE,"COVER1.XLS ";#N/A,#N/A,FALSE,"RACT1.XLS";#N/A,#N/A,FALSE,"RACT2.XLS";#N/A,#N/A,FALSE,"ECCMP";#N/A,#N/A,FALSE,"WELDER.XLS"}</definedName>
    <definedName name="____WRN2" hidden="1">{#N/A,#N/A,FALSE,"COVER1.XLS ";#N/A,#N/A,FALSE,"RACT1.XLS";#N/A,#N/A,FALSE,"RACT2.XLS";#N/A,#N/A,FALSE,"ECCMP";#N/A,#N/A,FALSE,"WELDER.XLS"}</definedName>
    <definedName name="____WRN3" localSheetId="3" hidden="1">{#N/A,#N/A,FALSE,"consu_cover";#N/A,#N/A,FALSE,"consu_strategy";#N/A,#N/A,FALSE,"consu_flow";#N/A,#N/A,FALSE,"Summary_reqmt";#N/A,#N/A,FALSE,"field_ppg";#N/A,#N/A,FALSE,"ppg_shop";#N/A,#N/A,FALSE,"strl";#N/A,#N/A,FALSE,"tankages";#N/A,#N/A,FALSE,"gases"}</definedName>
    <definedName name="____WRN3" hidden="1">{#N/A,#N/A,FALSE,"consu_cover";#N/A,#N/A,FALSE,"consu_strategy";#N/A,#N/A,FALSE,"consu_flow";#N/A,#N/A,FALSE,"Summary_reqmt";#N/A,#N/A,FALSE,"field_ppg";#N/A,#N/A,FALSE,"ppg_shop";#N/A,#N/A,FALSE,"strl";#N/A,#N/A,FALSE,"tankages";#N/A,#N/A,FALSE,"gases"}</definedName>
    <definedName name="____x1">#REF!</definedName>
    <definedName name="____xlnm.Print_Area" localSheetId="3">#REF!</definedName>
    <definedName name="____xlnm.Print_Area">#REF!</definedName>
    <definedName name="____xlnm.Print_Area_1" localSheetId="3">#REF!</definedName>
    <definedName name="____xlnm.Print_Area_1">#REF!</definedName>
    <definedName name="____xlnm.Print_Area_2" localSheetId="3">#REF!</definedName>
    <definedName name="____xlnm.Print_Area_2">#REF!</definedName>
    <definedName name="____xlnm.Print_Titles">#REF!</definedName>
    <definedName name="____xx1" localSheetId="3" hidden="1">{"'Typical Costs Estimates'!$C$158:$H$161"}</definedName>
    <definedName name="____xx1" hidden="1">{"'Typical Costs Estimates'!$C$158:$H$161"}</definedName>
    <definedName name="___1_">#REF!</definedName>
    <definedName name="___A1">#REF!</definedName>
    <definedName name="___A33">#N/A</definedName>
    <definedName name="___a441">#REF!</definedName>
    <definedName name="___A8">#REF!</definedName>
    <definedName name="___ab1" localSheetId="3"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3"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B19000">#REF!</definedName>
    <definedName name="___B19999">#REF!</definedName>
    <definedName name="___B20000">#REF!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AN458">#REF!</definedName>
    <definedName name="___CAN486">#REF!</definedName>
    <definedName name="___CAN487">#REF!</definedName>
    <definedName name="___CAN488">#REF!</definedName>
    <definedName name="___CAN489">#REF!</definedName>
    <definedName name="___CAN490">#REF!</definedName>
    <definedName name="___CAN491">#REF!</definedName>
    <definedName name="___CAN492">#REF!</definedName>
    <definedName name="___CAN493">#REF!</definedName>
    <definedName name="___CAN494">#REF!</definedName>
    <definedName name="___CAN495">#REF!</definedName>
    <definedName name="___CAN496">#REF!</definedName>
    <definedName name="___CAN497">#REF!</definedName>
    <definedName name="___CAN498">#REF!</definedName>
    <definedName name="___CAN499">#REF!</definedName>
    <definedName name="___CAN500">#REF!</definedName>
    <definedName name="___cas1" localSheetId="3">#REF!</definedName>
    <definedName name="___cas1">#REF!</definedName>
    <definedName name="___cas10" localSheetId="3">#REF!</definedName>
    <definedName name="___cas10">#REF!</definedName>
    <definedName name="___cas11" localSheetId="3">#REF!</definedName>
    <definedName name="___cas11">#REF!</definedName>
    <definedName name="___cas2">#REF!</definedName>
    <definedName name="___cas3">#REF!</definedName>
    <definedName name="___cas4">#REF!</definedName>
    <definedName name="___cas5">#REF!</definedName>
    <definedName name="___cas6">#REF!</definedName>
    <definedName name="___cas7">#REF!</definedName>
    <definedName name="___cas8">#REF!</definedName>
    <definedName name="___cas9">#REF!</definedName>
    <definedName name="___cra10">#REF!</definedName>
    <definedName name="___cra11">#REF!</definedName>
    <definedName name="___cra12">#REF!</definedName>
    <definedName name="___cra13">#REF!</definedName>
    <definedName name="___cra20">#REF!</definedName>
    <definedName name="___cra22">#REF!</definedName>
    <definedName name="___cra25">#REF!</definedName>
    <definedName name="___cra26">#REF!</definedName>
    <definedName name="___cra40">#REF!</definedName>
    <definedName name="___cra45">#REF!</definedName>
    <definedName name="___cra50">#REF!</definedName>
    <definedName name="___cra6">#REF!</definedName>
    <definedName name="___dec05" localSheetId="3" hidden="1">{"'Sheet1'!$A$4386:$N$4591"}</definedName>
    <definedName name="___dec05" hidden="1">{"'Sheet1'!$A$4386:$N$4591"}</definedName>
    <definedName name="___dep2">#REF!</definedName>
    <definedName name="___dep3">#REF!</definedName>
    <definedName name="___DIN217">#REF!</definedName>
    <definedName name="___e20000">#REF!</definedName>
    <definedName name="___ext2">#REF!</definedName>
    <definedName name="___ext3">#REF!</definedName>
    <definedName name="___F1">#REF!</definedName>
    <definedName name="___F3">#REF!</definedName>
    <definedName name="___FF3">#REF!</definedName>
    <definedName name="___INDEX_SHEET___ASAP_Utilities">#REF!</definedName>
    <definedName name="___jj300">#REF!</definedName>
    <definedName name="___Ki1">#REF!</definedName>
    <definedName name="___Ki2">#REF!</definedName>
    <definedName name="___KI9">#REF!</definedName>
    <definedName name="___KZi2">#REF!</definedName>
    <definedName name="___lb1">#REF!</definedName>
    <definedName name="___lb2">#REF!</definedName>
    <definedName name="___len2">#REF!</definedName>
    <definedName name="___len3">#REF!</definedName>
    <definedName name="___mm1">#REF!</definedName>
    <definedName name="___mm2">#REF!</definedName>
    <definedName name="___mm3">#REF!</definedName>
    <definedName name="___msy1">#REF!</definedName>
    <definedName name="___msy2">#REF!</definedName>
    <definedName name="___msy3">#REF!</definedName>
    <definedName name="___msy4">#REF!</definedName>
    <definedName name="___Mzd1">#REF!</definedName>
    <definedName name="___pc1" localSheetId="3">#REF!</definedName>
    <definedName name="___pc1">#REF!</definedName>
    <definedName name="___pc2" localSheetId="3">#REF!</definedName>
    <definedName name="___pc2">#REF!</definedName>
    <definedName name="___pc3" localSheetId="3">#REF!</definedName>
    <definedName name="___pc3">#REF!</definedName>
    <definedName name="___PG2">#REF!</definedName>
    <definedName name="___PG3">#REF!</definedName>
    <definedName name="___pg4">#REF!</definedName>
    <definedName name="___pg5">#REF!</definedName>
    <definedName name="___PG6">#REF!</definedName>
    <definedName name="___PG7">#REF!</definedName>
    <definedName name="___PO7">#REF!</definedName>
    <definedName name="___PO8">#REF!</definedName>
    <definedName name="___PO9">#REF!</definedName>
    <definedName name="___POP3">#REF!</definedName>
    <definedName name="___REM1">#REF!</definedName>
    <definedName name="___REM2">#REF!</definedName>
    <definedName name="___sw1">#REF!</definedName>
    <definedName name="___sw2">#REF!</definedName>
    <definedName name="___sw3">#REF!</definedName>
    <definedName name="___sw4">#REF!</definedName>
    <definedName name="___sw5">#REF!</definedName>
    <definedName name="___sw6">#REF!</definedName>
    <definedName name="___sw7">#REF!</definedName>
    <definedName name="___sw8">#REF!</definedName>
    <definedName name="___tab1">#REF!</definedName>
    <definedName name="___tab2">#REF!</definedName>
    <definedName name="___tbc2">#REF!</definedName>
    <definedName name="___tbc3">#REF!</definedName>
    <definedName name="___TCS1">#REF!</definedName>
    <definedName name="___wid2">#REF!</definedName>
    <definedName name="___wid3">#REF!</definedName>
    <definedName name="___x1">#REF!</definedName>
    <definedName name="___xlnm.Print_Area" localSheetId="3">#REF!</definedName>
    <definedName name="___xlnm.Print_Area">#REF!</definedName>
    <definedName name="___xlnm.Print_Area_1" localSheetId="3">#REF!</definedName>
    <definedName name="___xlnm.Print_Area_1">#REF!</definedName>
    <definedName name="___xlnm.Print_Area_2" localSheetId="3">#REF!</definedName>
    <definedName name="___xlnm.Print_Area_2">#REF!</definedName>
    <definedName name="___xlnm.Print_Titles">#REF!</definedName>
    <definedName name="___xx1" localSheetId="3" hidden="1">{"'Typical Costs Estimates'!$C$158:$H$161"}</definedName>
    <definedName name="___xx1" hidden="1">{"'Typical Costs Estimates'!$C$158:$H$161"}</definedName>
    <definedName name="__1_">#REF!</definedName>
    <definedName name="__1__123Graph_ACHART_1" hidden="1">#REF!</definedName>
    <definedName name="__10________formula_2_1" localSheetId="3">__7________NAME()</definedName>
    <definedName name="__10________formula_2_1" localSheetId="11">__7________NAME()</definedName>
    <definedName name="__10________formula_2_1">__7________NAME()</definedName>
    <definedName name="__11_______Excel_BuiltIn__FilterDatabase_2_1" localSheetId="3">#REF!</definedName>
    <definedName name="__11_______Excel_BuiltIn__FilterDatabase_2_1">#REF!</definedName>
    <definedName name="__12_______formula_1_1" localSheetId="3">__6_______NAME()</definedName>
    <definedName name="__12_______formula_1_1" localSheetId="11">__6_______NAME()</definedName>
    <definedName name="__12_______formula_1_1">__6_______NAME()</definedName>
    <definedName name="__123Graph_A" localSheetId="3" hidden="1">#REF!</definedName>
    <definedName name="__123Graph_A" hidden="1">#REF!</definedName>
    <definedName name="__123Graph_ACHART1" localSheetId="3" hidden="1">#REF!</definedName>
    <definedName name="__123Graph_ACHART1" hidden="1">#REF!</definedName>
    <definedName name="__123Graph_ACURRENT" localSheetId="3" hidden="1">#REF!</definedName>
    <definedName name="__123Graph_ACURRENT" hidden="1">#REF!</definedName>
    <definedName name="__123Graph_ASTATPROG" localSheetId="3" hidden="1">#REF!</definedName>
    <definedName name="__123Graph_ASTATPROG" hidden="1">#REF!</definedName>
    <definedName name="__123Graph_B" localSheetId="3" hidden="1">#REF!</definedName>
    <definedName name="__123Graph_B" hidden="1">#REF!</definedName>
    <definedName name="__123Graph_E" localSheetId="3" hidden="1">#REF!</definedName>
    <definedName name="__123Graph_E" hidden="1">#REF!</definedName>
    <definedName name="__123Graph_X" localSheetId="3" hidden="1">#REF!</definedName>
    <definedName name="__123Graph_X" hidden="1">#REF!</definedName>
    <definedName name="__123Graph_XCHART1" localSheetId="3" hidden="1">#REF!</definedName>
    <definedName name="__123Graph_XCHART1" hidden="1">#REF!</definedName>
    <definedName name="__123Graph_XCURRENT" hidden="1">#REF!</definedName>
    <definedName name="__123Graph_XSTATPROG" hidden="1">#REF!</definedName>
    <definedName name="__13_______formula_2_1" localSheetId="3">__6_______NAME()</definedName>
    <definedName name="__13_______formula_2_1" localSheetId="11">__6_______NAME()</definedName>
    <definedName name="__13_______formula_2_1">__6_______NAME()</definedName>
    <definedName name="__14______Excel_BuiltIn__FilterDatabase_2_1" localSheetId="3">#REF!</definedName>
    <definedName name="__14______Excel_BuiltIn__FilterDatabase_2_1">#REF!</definedName>
    <definedName name="__15______formula_1_1" localSheetId="3">__5______NAME()</definedName>
    <definedName name="__15______formula_1_1" localSheetId="11">__5______NAME()</definedName>
    <definedName name="__15______formula_1_1">__5______NAME()</definedName>
    <definedName name="__16______formula_2_1" localSheetId="3">__5______NAME()</definedName>
    <definedName name="__16______formula_2_1" localSheetId="11">__5______NAME()</definedName>
    <definedName name="__16______formula_2_1">__5______NAME()</definedName>
    <definedName name="__17_____Excel_BuiltIn__FilterDatabase_2_1" localSheetId="3">#REF!</definedName>
    <definedName name="__17_____Excel_BuiltIn__FilterDatabase_2_1">#REF!</definedName>
    <definedName name="__18_____formula_1_1" localSheetId="3">__4_____NAME()</definedName>
    <definedName name="__18_____formula_1_1" localSheetId="11">__4_____NAME()</definedName>
    <definedName name="__18_____formula_1_1">__4_____NAME()</definedName>
    <definedName name="__19_____formula_2_1" localSheetId="3">__4_____NAME()</definedName>
    <definedName name="__19_____formula_2_1" localSheetId="11">__4_____NAME()</definedName>
    <definedName name="__19_____formula_2_1">__4_____NAME()</definedName>
    <definedName name="__20____Excel_BuiltIn__FilterDatabase_2_1" localSheetId="3">#REF!</definedName>
    <definedName name="__20____Excel_BuiltIn__FilterDatabase_2_1">#REF!</definedName>
    <definedName name="__21____formula_1_1" localSheetId="3">__3____NAME()</definedName>
    <definedName name="__21____formula_1_1" localSheetId="11">__3____NAME()</definedName>
    <definedName name="__21____formula_1_1">__3____NAME()</definedName>
    <definedName name="__22____formula_2_1" localSheetId="3">__3____NAME()</definedName>
    <definedName name="__22____formula_2_1" localSheetId="11">__3____NAME()</definedName>
    <definedName name="__22____formula_2_1">__3____NAME()</definedName>
    <definedName name="__3__123Graph_BCHART_2" hidden="1">#REF!</definedName>
    <definedName name="__4__123Graph_CCHART_1" hidden="1">#REF!</definedName>
    <definedName name="__5__123Graph_DCHART_1" hidden="1">#REF!</definedName>
    <definedName name="__8________Excel_BuiltIn__FilterDatabase_2_1" localSheetId="3">#REF!</definedName>
    <definedName name="__8________Excel_BuiltIn__FilterDatabase_2_1">#REF!</definedName>
    <definedName name="__9________formula_1_1" localSheetId="3">__7________NAME()</definedName>
    <definedName name="__9________formula_1_1" localSheetId="11">__7________NAME()</definedName>
    <definedName name="__9________formula_1_1">__7________NAME()</definedName>
    <definedName name="__A1" localSheetId="3">#REF!</definedName>
    <definedName name="__A1">#REF!</definedName>
    <definedName name="__A33">#N/A</definedName>
    <definedName name="__a441" localSheetId="3">#REF!</definedName>
    <definedName name="__a441">#REF!</definedName>
    <definedName name="__A8" localSheetId="3">#REF!</definedName>
    <definedName name="__A8">#REF!</definedName>
    <definedName name="__agg10">#REF!</definedName>
    <definedName name="__agg20">#REF!</definedName>
    <definedName name="__AXX4" localSheetId="3">#REF!</definedName>
    <definedName name="__AXX4">#REF!</definedName>
    <definedName name="__axx5" localSheetId="3">#REF!</definedName>
    <definedName name="__axx5">#REF!</definedName>
    <definedName name="__axx6" localSheetId="3">#REF!</definedName>
    <definedName name="__axx6">#REF!</definedName>
    <definedName name="__AXX7" localSheetId="3">#REF!</definedName>
    <definedName name="__AXX7">#REF!</definedName>
    <definedName name="__axx8">#REF!</definedName>
    <definedName name="__b17000" localSheetId="3">#REF!</definedName>
    <definedName name="__b17000">#REF!</definedName>
    <definedName name="__b18000" localSheetId="3">#REF!</definedName>
    <definedName name="__b18000">#REF!</definedName>
    <definedName name="__b19536" localSheetId="3">#REF!</definedName>
    <definedName name="__b19536">#REF!</definedName>
    <definedName name="__blg4" localSheetId="3">#REF!</definedName>
    <definedName name="__blg4">#REF!</definedName>
    <definedName name="__BVS4" localSheetId="3">#REF!</definedName>
    <definedName name="__BVS4">#REF!</definedName>
    <definedName name="__C_D_2___D_2__" localSheetId="3">#REF!</definedName>
    <definedName name="__C_D_2___D_2__">#REF!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AN458">#REF!</definedName>
    <definedName name="__CAN486">#REF!</definedName>
    <definedName name="__CAN487">#REF!</definedName>
    <definedName name="__CAN488">#REF!</definedName>
    <definedName name="__CAN489">#REF!</definedName>
    <definedName name="__CAN490">#REF!</definedName>
    <definedName name="__CAN491">#REF!</definedName>
    <definedName name="__CAN492">#REF!</definedName>
    <definedName name="__CAN493">#REF!</definedName>
    <definedName name="__CAN494">#REF!</definedName>
    <definedName name="__CAN495">#REF!</definedName>
    <definedName name="__CAN496">#REF!</definedName>
    <definedName name="__CAN497">#REF!</definedName>
    <definedName name="__CAN498">#REF!</definedName>
    <definedName name="__CAN499">#REF!</definedName>
    <definedName name="__CAN500">#REF!</definedName>
    <definedName name="__car2" localSheetId="3">#REF!</definedName>
    <definedName name="__car2">#REF!</definedName>
    <definedName name="__cas1" localSheetId="3">#REF!</definedName>
    <definedName name="__cas1">#REF!</definedName>
    <definedName name="__cas10" localSheetId="3">#REF!</definedName>
    <definedName name="__cas10">#REF!</definedName>
    <definedName name="__cas11">#REF!</definedName>
    <definedName name="__cas2">#REF!</definedName>
    <definedName name="__cas3">#REF!</definedName>
    <definedName name="__cas4">#REF!</definedName>
    <definedName name="__cas5">#REF!</definedName>
    <definedName name="__cas6">#REF!</definedName>
    <definedName name="__cas7">#REF!</definedName>
    <definedName name="__cas8">#REF!</definedName>
    <definedName name="__cas9">#REF!</definedName>
    <definedName name="__csa40">#REF!</definedName>
    <definedName name="__csb40">#REF!</definedName>
    <definedName name="__dec05" localSheetId="3" hidden="1">{"'Sheet1'!$A$4386:$N$4591"}</definedName>
    <definedName name="__dec05" hidden="1">{"'Sheet1'!$A$4386:$N$4591"}</definedName>
    <definedName name="__dep2">#REF!</definedName>
    <definedName name="__dep3">#REF!</definedName>
    <definedName name="__DIN217">#REF!</definedName>
    <definedName name="__dk1" localSheetId="3" hidden="1">{#N/A,#N/A,FALSE,"COVER.XLS";#N/A,#N/A,FALSE,"RACT1.XLS";#N/A,#N/A,FALSE,"RACT2.XLS";#N/A,#N/A,FALSE,"ECCMP";#N/A,#N/A,FALSE,"WELDER.XLS"}</definedName>
    <definedName name="__dk1" hidden="1">{#N/A,#N/A,FALSE,"COVER.XLS";#N/A,#N/A,FALSE,"RACT1.XLS";#N/A,#N/A,FALSE,"RACT2.XLS";#N/A,#N/A,FALSE,"ECCMP";#N/A,#N/A,FALSE,"WELDER.XLS"}</definedName>
    <definedName name="__ext2">#REF!</definedName>
    <definedName name="__ext3">#REF!</definedName>
    <definedName name="__f1">#REF!</definedName>
    <definedName name="__fcl1" localSheetId="3">#REF!</definedName>
    <definedName name="__fcl1">#REF!</definedName>
    <definedName name="__hfi2" localSheetId="3">#REF!</definedName>
    <definedName name="__hfi2">#REF!</definedName>
    <definedName name="__hfi4" localSheetId="3">#REF!</definedName>
    <definedName name="__hfi4">#REF!</definedName>
    <definedName name="__hfi5" localSheetId="3">#REF!</definedName>
    <definedName name="__hfi5">#REF!</definedName>
    <definedName name="__hfi6">#REF!</definedName>
    <definedName name="__HFI7">#REF!</definedName>
    <definedName name="__hfi8">#REF!</definedName>
    <definedName name="__HND1">#REF!</definedName>
    <definedName name="__HND2">#REF!</definedName>
    <definedName name="__HNW1">#REF!</definedName>
    <definedName name="__HNW2">#REF!</definedName>
    <definedName name="__Ind1" localSheetId="3">#REF!</definedName>
    <definedName name="__Ind1">#REF!</definedName>
    <definedName name="__Ind3" localSheetId="3">#REF!</definedName>
    <definedName name="__Ind3">#REF!</definedName>
    <definedName name="__Ind4" localSheetId="3">#REF!</definedName>
    <definedName name="__Ind4">#REF!</definedName>
    <definedName name="__IntlFixup" hidden="1">TRUE</definedName>
    <definedName name="__Iri2">#REF!</definedName>
    <definedName name="__Iro2">#REF!</definedName>
    <definedName name="__iv66666">#REF!</definedName>
    <definedName name="__jj300">#REF!</definedName>
    <definedName name="__Ki1">#REF!</definedName>
    <definedName name="__Ki2">#REF!</definedName>
    <definedName name="__KI9">#REF!</definedName>
    <definedName name="__ku2">#REF!</definedName>
    <definedName name="__kvs1" localSheetId="3" hidden="1">{#N/A,#N/A,FALSE,"COVER1.XLS ";#N/A,#N/A,FALSE,"RACT1.XLS";#N/A,#N/A,FALSE,"RACT2.XLS";#N/A,#N/A,FALSE,"ECCMP";#N/A,#N/A,FALSE,"WELDER.XLS"}</definedName>
    <definedName name="__kvs1" hidden="1">{#N/A,#N/A,FALSE,"COVER1.XLS ";#N/A,#N/A,FALSE,"RACT1.XLS";#N/A,#N/A,FALSE,"RACT2.XLS";#N/A,#N/A,FALSE,"ECCMP";#N/A,#N/A,FALSE,"WELDER.XLS"}</definedName>
    <definedName name="__kvs2" localSheetId="3" hidden="1">{#N/A,#N/A,FALSE,"COVER1.XLS ";#N/A,#N/A,FALSE,"RACT1.XLS";#N/A,#N/A,FALSE,"RACT2.XLS";#N/A,#N/A,FALSE,"ECCMP";#N/A,#N/A,FALSE,"WELDER.XLS"}</definedName>
    <definedName name="__kvs2" hidden="1">{#N/A,#N/A,FALSE,"COVER1.XLS ";#N/A,#N/A,FALSE,"RACT1.XLS";#N/A,#N/A,FALSE,"RACT2.XLS";#N/A,#N/A,FALSE,"ECCMP";#N/A,#N/A,FALSE,"WELDER.XLS"}</definedName>
    <definedName name="__kvs5" localSheetId="3" hidden="1">{#N/A,#N/A,FALSE,"COVER.XLS";#N/A,#N/A,FALSE,"RACT1.XLS";#N/A,#N/A,FALSE,"RACT2.XLS";#N/A,#N/A,FALSE,"ECCMP";#N/A,#N/A,FALSE,"WELDER.XLS"}</definedName>
    <definedName name="__kvs5" hidden="1">{#N/A,#N/A,FALSE,"COVER.XLS";#N/A,#N/A,FALSE,"RACT1.XLS";#N/A,#N/A,FALSE,"RACT2.XLS";#N/A,#N/A,FALSE,"ECCMP";#N/A,#N/A,FALSE,"WELDER.XLS"}</definedName>
    <definedName name="__kvs8" localSheetId="3" hidden="1">{#N/A,#N/A,FALSE,"COVER1.XLS ";#N/A,#N/A,FALSE,"RACT1.XLS";#N/A,#N/A,FALSE,"RACT2.XLS";#N/A,#N/A,FALSE,"ECCMP";#N/A,#N/A,FALSE,"WELDER.XLS"}</definedName>
    <definedName name="__kvs8" hidden="1">{#N/A,#N/A,FALSE,"COVER1.XLS ";#N/A,#N/A,FALSE,"RACT1.XLS";#N/A,#N/A,FALSE,"RACT2.XLS";#N/A,#N/A,FALSE,"ECCMP";#N/A,#N/A,FALSE,"WELDER.XLS"}</definedName>
    <definedName name="__KZi2">#REF!</definedName>
    <definedName name="__lb1">#REF!</definedName>
    <definedName name="__lb2">#REF!</definedName>
    <definedName name="__len2">#REF!</definedName>
    <definedName name="__len3">#REF!</definedName>
    <definedName name="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m1" localSheetId="3">#REF!</definedName>
    <definedName name="__lm1">#REF!</definedName>
    <definedName name="__LNK1" localSheetId="3">#REF!</definedName>
    <definedName name="__LNK1">#REF!</definedName>
    <definedName name="__LNK10" localSheetId="3">#REF!</definedName>
    <definedName name="__LNK10">#REF!</definedName>
    <definedName name="__LNK11">#REF!</definedName>
    <definedName name="__LNK12">#REF!</definedName>
    <definedName name="__LNK13">#REF!</definedName>
    <definedName name="__LNK136">#REF!</definedName>
    <definedName name="__LNK137">#REF!</definedName>
    <definedName name="__LNK14" localSheetId="3">#REF!</definedName>
    <definedName name="__LNK14">#REF!</definedName>
    <definedName name="__LNK15" localSheetId="3">#REF!</definedName>
    <definedName name="__LNK15">#REF!</definedName>
    <definedName name="__LNK16" localSheetId="3">#REF!</definedName>
    <definedName name="__LNK16">#REF!</definedName>
    <definedName name="__LNK17">#REF!</definedName>
    <definedName name="__LNK18">#REF!</definedName>
    <definedName name="__LNK19">#REF!</definedName>
    <definedName name="__LNK2">#REF!</definedName>
    <definedName name="__LNK20">#REF!</definedName>
    <definedName name="__LNK21">#REF!</definedName>
    <definedName name="__LNK22">#REF!</definedName>
    <definedName name="__LNK23">#REF!</definedName>
    <definedName name="__LNK24">#REF!</definedName>
    <definedName name="__LNK25">#REF!</definedName>
    <definedName name="__LNK26">#REF!</definedName>
    <definedName name="__LNK27">#REF!</definedName>
    <definedName name="__LNK28">#REF!</definedName>
    <definedName name="__LNK29">#REF!</definedName>
    <definedName name="__LNK3">#REF!</definedName>
    <definedName name="__LNK30">#REF!</definedName>
    <definedName name="__LNK31">#REF!</definedName>
    <definedName name="__LNK32">#REF!</definedName>
    <definedName name="__LNK33">#REF!</definedName>
    <definedName name="__LNK34">#REF!</definedName>
    <definedName name="__LNK35">#REF!</definedName>
    <definedName name="__LNK36">#REF!</definedName>
    <definedName name="__LNK37">#REF!</definedName>
    <definedName name="__LNK38">#REF!</definedName>
    <definedName name="__LNK39">#REF!</definedName>
    <definedName name="__LNK4">#REF!</definedName>
    <definedName name="__LNK40">#REF!</definedName>
    <definedName name="__LNK41">#REF!</definedName>
    <definedName name="__LNK42">#REF!</definedName>
    <definedName name="__LNK43">#REF!</definedName>
    <definedName name="__LNK44">#REF!</definedName>
    <definedName name="__LNK45">#REF!</definedName>
    <definedName name="__LNK46">#REF!</definedName>
    <definedName name="__LNK47">#REF!</definedName>
    <definedName name="__LNK48">#REF!</definedName>
    <definedName name="__LNK49">#REF!</definedName>
    <definedName name="__LNK5">#REF!</definedName>
    <definedName name="__LNK50">#REF!</definedName>
    <definedName name="__LNK51">#REF!</definedName>
    <definedName name="__LNK52">#REF!</definedName>
    <definedName name="__LNK53">#REF!</definedName>
    <definedName name="__LNK54">#REF!</definedName>
    <definedName name="__LNK55">#REF!</definedName>
    <definedName name="__LNK56">#REF!</definedName>
    <definedName name="__LNK57">#REF!</definedName>
    <definedName name="__LNK6">#REF!</definedName>
    <definedName name="__LNK7">#REF!</definedName>
    <definedName name="__LNK8">#REF!</definedName>
    <definedName name="__LNK9">#REF!</definedName>
    <definedName name="__m1" localSheetId="3" hidden="1">{"form-D1",#N/A,FALSE,"FORM-D1";"form-D1_amt",#N/A,FALSE,"FORM-D1"}</definedName>
    <definedName name="__m1" hidden="1">{"form-D1",#N/A,FALSE,"FORM-D1";"form-D1_amt",#N/A,FALSE,"FORM-D1"}</definedName>
    <definedName name="__ma1" localSheetId="3">#REF!</definedName>
    <definedName name="__ma1">#REF!</definedName>
    <definedName name="__ma2" localSheetId="3">#REF!</definedName>
    <definedName name="__ma2">#REF!</definedName>
    <definedName name="__mas1" localSheetId="3">#REF!</definedName>
    <definedName name="__mas1">#REF!</definedName>
    <definedName name="__mm1">#REF!</definedName>
    <definedName name="__mm2">#REF!</definedName>
    <definedName name="__mm3">#REF!</definedName>
    <definedName name="__ms20">#REF!</definedName>
    <definedName name="__ms6">#REF!</definedName>
    <definedName name="__ms8">#REF!</definedName>
    <definedName name="__msy1">#REF!</definedName>
    <definedName name="__msy2">#REF!</definedName>
    <definedName name="__msy3">#REF!</definedName>
    <definedName name="__msy4">#REF!</definedName>
    <definedName name="__mz1" localSheetId="3">#REF!</definedName>
    <definedName name="__mz1">#REF!</definedName>
    <definedName name="__mz2" localSheetId="3">#REF!</definedName>
    <definedName name="__mz2">#REF!</definedName>
    <definedName name="__Mzd1">#REF!</definedName>
    <definedName name="__nb1" localSheetId="3">#REF!</definedName>
    <definedName name="__nb1">#REF!</definedName>
    <definedName name="__nb2" localSheetId="3">#REF!</definedName>
    <definedName name="__nb2">#REF!</definedName>
    <definedName name="__ns1" localSheetId="3" hidden="1">{#N/A,#N/A,FALSE,"COVER1.XLS ";#N/A,#N/A,FALSE,"RACT1.XLS";#N/A,#N/A,FALSE,"RACT2.XLS";#N/A,#N/A,FALSE,"ECCMP";#N/A,#N/A,FALSE,"WELDER.XLS"}</definedName>
    <definedName name="__ns1" hidden="1">{#N/A,#N/A,FALSE,"COVER1.XLS ";#N/A,#N/A,FALSE,"RACT1.XLS";#N/A,#N/A,FALSE,"RACT2.XLS";#N/A,#N/A,FALSE,"ECCMP";#N/A,#N/A,FALSE,"WELDER.XLS"}</definedName>
    <definedName name="__obm1" localSheetId="3">#REF!</definedName>
    <definedName name="__obm1">#REF!</definedName>
    <definedName name="__obm2" localSheetId="3">#REF!</definedName>
    <definedName name="__obm2">#REF!</definedName>
    <definedName name="__obm3" localSheetId="3">#REF!</definedName>
    <definedName name="__obm3">#REF!</definedName>
    <definedName name="__obm4">#REF!</definedName>
    <definedName name="__Od1">#REF!</definedName>
    <definedName name="__Od3">#REF!</definedName>
    <definedName name="__Od4">#REF!</definedName>
    <definedName name="__ohp1">#REF!</definedName>
    <definedName name="__osf1">#REF!</definedName>
    <definedName name="__osf2">#REF!</definedName>
    <definedName name="__osf3">#REF!</definedName>
    <definedName name="__osf4">#REF!</definedName>
    <definedName name="__pc1">#REF!</definedName>
    <definedName name="__pc2">#REF!</definedName>
    <definedName name="__pc3">#REF!</definedName>
    <definedName name="__pcc148">#REF!</definedName>
    <definedName name="__PG2">#REF!</definedName>
    <definedName name="__PG3">#REF!</definedName>
    <definedName name="__pg4">#REF!</definedName>
    <definedName name="__pg5">#REF!</definedName>
    <definedName name="__PG6">#REF!</definedName>
    <definedName name="__PG7">#REF!</definedName>
    <definedName name="__PO7">#REF!</definedName>
    <definedName name="__PO8">#REF!</definedName>
    <definedName name="__PO9">#REF!</definedName>
    <definedName name="__POP3">#REF!</definedName>
    <definedName name="__PRN1" localSheetId="3" hidden="1">{#N/A,#N/A,FALSE,"COVER.XLS";#N/A,#N/A,FALSE,"RACT1.XLS";#N/A,#N/A,FALSE,"RACT2.XLS";#N/A,#N/A,FALSE,"ECCMP";#N/A,#N/A,FALSE,"WELDER.XLS"}</definedName>
    <definedName name="__PRN1" hidden="1">{#N/A,#N/A,FALSE,"COVER.XLS";#N/A,#N/A,FALSE,"RACT1.XLS";#N/A,#N/A,FALSE,"RACT2.XLS";#N/A,#N/A,FALSE,"ECCMP";#N/A,#N/A,FALSE,"WELDER.XLS"}</definedName>
    <definedName name="__pvc100">#REF!</definedName>
    <definedName name="__REM1" localSheetId="3">#REF!</definedName>
    <definedName name="__REM1">#REF!</definedName>
    <definedName name="__REM1_1" localSheetId="3">#REF!</definedName>
    <definedName name="__REM1_1">#REF!</definedName>
    <definedName name="__REM1_16" localSheetId="3">#REF!</definedName>
    <definedName name="__REM1_16">#REF!</definedName>
    <definedName name="__REM1_17">#REF!</definedName>
    <definedName name="__REM1_2">#REF!</definedName>
    <definedName name="__REM1_6">#REF!</definedName>
    <definedName name="__REM2">#REF!</definedName>
    <definedName name="__REM2_1">#REF!</definedName>
    <definedName name="__REM2_16">#REF!</definedName>
    <definedName name="__REM2_17">#REF!</definedName>
    <definedName name="__REM2_2">#REF!</definedName>
    <definedName name="__REM2_6">#REF!</definedName>
    <definedName name="__SA10">#REF!</definedName>
    <definedName name="__SA20">#REF!</definedName>
    <definedName name="__SA40">#REF!</definedName>
    <definedName name="__Saa40">#REF!</definedName>
    <definedName name="__Sab40">#REF!</definedName>
    <definedName name="__sbm1">#REF!</definedName>
    <definedName name="__sbm2">#REF!</definedName>
    <definedName name="__sbm3">#REF!</definedName>
    <definedName name="__sbm4">#REF!</definedName>
    <definedName name="__sd1" localSheetId="3">#REF!</definedName>
    <definedName name="__sd1">#REF!</definedName>
    <definedName name="__sd10" localSheetId="3">#REF!</definedName>
    <definedName name="__sd10">#REF!</definedName>
    <definedName name="__sd11" localSheetId="3">#REF!</definedName>
    <definedName name="__sd11">#REF!</definedName>
    <definedName name="__sd12" localSheetId="3">#REF!</definedName>
    <definedName name="__sd12">#REF!</definedName>
    <definedName name="__sd13">#REF!</definedName>
    <definedName name="__sd14">#REF!</definedName>
    <definedName name="__sd2">#REF!</definedName>
    <definedName name="__sd3">#REF!</definedName>
    <definedName name="__sd4" localSheetId="3">#REF!</definedName>
    <definedName name="__sd4">#REF!</definedName>
    <definedName name="__sd5">#REF!</definedName>
    <definedName name="__sd6">#REF!</definedName>
    <definedName name="__sd7">#REF!</definedName>
    <definedName name="__sd8">#REF!</definedName>
    <definedName name="__sd9">#REF!</definedName>
    <definedName name="__ssf1" localSheetId="3">#REF!</definedName>
    <definedName name="__ssf1">#REF!</definedName>
    <definedName name="__ssf2" localSheetId="3">#REF!</definedName>
    <definedName name="__ssf2">#REF!</definedName>
    <definedName name="__ssf3" localSheetId="3">#REF!</definedName>
    <definedName name="__ssf3">#REF!</definedName>
    <definedName name="__ssf4">#REF!</definedName>
    <definedName name="__st12">#REF!</definedName>
    <definedName name="__st2">#REF!</definedName>
    <definedName name="__st4">#REF!</definedName>
    <definedName name="__st53">#REF!</definedName>
    <definedName name="__st6">#REF!</definedName>
    <definedName name="__st63">#REF!</definedName>
    <definedName name="__st7">#REF!</definedName>
    <definedName name="__st8">#REF!</definedName>
    <definedName name="__st90">#REF!</definedName>
    <definedName name="__sw1">#REF!</definedName>
    <definedName name="__sw2">#REF!</definedName>
    <definedName name="__sw3">#REF!</definedName>
    <definedName name="__sw4">#REF!</definedName>
    <definedName name="__sw5">#REF!</definedName>
    <definedName name="__sw6">#REF!</definedName>
    <definedName name="__sw7">#REF!</definedName>
    <definedName name="__sw8">#REF!</definedName>
    <definedName name="__tab1">#REF!</definedName>
    <definedName name="__tab2">#REF!</definedName>
    <definedName name="__tbc2">#REF!</definedName>
    <definedName name="__tbc3">#REF!</definedName>
    <definedName name="__TCS1">#REF!</definedName>
    <definedName name="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800">#REF!</definedName>
    <definedName name="__tr6001">#REF!</definedName>
    <definedName name="__tr900">#REF!</definedName>
    <definedName name="__tra1" localSheetId="3">#REF!</definedName>
    <definedName name="__tra1">#REF!</definedName>
    <definedName name="__tra2" localSheetId="3">#REF!</definedName>
    <definedName name="__tra2">#REF!</definedName>
    <definedName name="__Vf1" localSheetId="3">#REF!</definedName>
    <definedName name="__Vf1">#REF!</definedName>
    <definedName name="__Vf2">#REF!</definedName>
    <definedName name="__WD2" localSheetId="3">#REF!</definedName>
    <definedName name="__WD2">#REF!</definedName>
    <definedName name="__WD3" localSheetId="3">#REF!</definedName>
    <definedName name="__WD3">#REF!</definedName>
    <definedName name="__WD4" localSheetId="3">#REF!</definedName>
    <definedName name="__WD4">#REF!</definedName>
    <definedName name="__wid2" localSheetId="3">#REF!</definedName>
    <definedName name="__wid2">#REF!</definedName>
    <definedName name="__wid3" localSheetId="3">#REF!</definedName>
    <definedName name="__wid3">#REF!</definedName>
    <definedName name="__WL1" localSheetId="3">#REF!</definedName>
    <definedName name="__WL1">#REF!</definedName>
    <definedName name="__WL2" localSheetId="3">#REF!</definedName>
    <definedName name="__WL2">#REF!</definedName>
    <definedName name="__WL3" localSheetId="3">#REF!</definedName>
    <definedName name="__WL3">#REF!</definedName>
    <definedName name="__WL4" localSheetId="3">#REF!</definedName>
    <definedName name="__WL4">#REF!</definedName>
    <definedName name="__wp1" localSheetId="3">#REF!</definedName>
    <definedName name="__wp1">#REF!</definedName>
    <definedName name="__WRN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localSheetId="3" hidden="1">{#N/A,#N/A,FALSE,"COVER1.XLS ";#N/A,#N/A,FALSE,"RACT1.XLS";#N/A,#N/A,FALSE,"RACT2.XLS";#N/A,#N/A,FALSE,"ECCMP";#N/A,#N/A,FALSE,"WELDER.XLS"}</definedName>
    <definedName name="__WRN2" hidden="1">{#N/A,#N/A,FALSE,"COVER1.XLS ";#N/A,#N/A,FALSE,"RACT1.XLS";#N/A,#N/A,FALSE,"RACT2.XLS";#N/A,#N/A,FALSE,"ECCMP";#N/A,#N/A,FALSE,"WELDER.XLS"}</definedName>
    <definedName name="__WRN3" localSheetId="3" hidden="1">{#N/A,#N/A,FALSE,"consu_cover";#N/A,#N/A,FALSE,"consu_strategy";#N/A,#N/A,FALSE,"consu_flow";#N/A,#N/A,FALSE,"Summary_reqmt";#N/A,#N/A,FALSE,"field_ppg";#N/A,#N/A,FALSE,"ppg_shop";#N/A,#N/A,FALSE,"strl";#N/A,#N/A,FALSE,"tankages";#N/A,#N/A,FALSE,"gases"}</definedName>
    <definedName name="__WRN3" hidden="1">{#N/A,#N/A,FALSE,"consu_cover";#N/A,#N/A,FALSE,"consu_strategy";#N/A,#N/A,FALSE,"consu_flow";#N/A,#N/A,FALSE,"Summary_reqmt";#N/A,#N/A,FALSE,"field_ppg";#N/A,#N/A,FALSE,"ppg_shop";#N/A,#N/A,FALSE,"strl";#N/A,#N/A,FALSE,"tankages";#N/A,#N/A,FALSE,"gases"}</definedName>
    <definedName name="__ww2" localSheetId="3">#REF!</definedName>
    <definedName name="__ww2">#REF!</definedName>
    <definedName name="__x1" localSheetId="3">#REF!</definedName>
    <definedName name="__x1">#REF!</definedName>
    <definedName name="__XH1">#REF!</definedName>
    <definedName name="__XH2">#REF!</definedName>
    <definedName name="__xlnm._FilterDatabase_4" localSheetId="3">#REF!</definedName>
    <definedName name="__xlnm._FilterDatabase_4">#REF!</definedName>
    <definedName name="__xlnm._FilterDatabase_8" localSheetId="3">#REF!</definedName>
    <definedName name="__xlnm._FilterDatabase_8">#REF!</definedName>
    <definedName name="__xlnm.Print_Area" localSheetId="3">#REF!</definedName>
    <definedName name="__xlnm.Print_Area">#REF!</definedName>
    <definedName name="__xlnm.Print_Area_1">#REF!</definedName>
    <definedName name="__xlnm.Print_Area_15">#REF!</definedName>
    <definedName name="__xlnm.Print_Area_2">#REF!</definedName>
    <definedName name="__xlnm.Print_Titles">#REF!</definedName>
    <definedName name="__xlnm.Print_Titles_1">#REF!</definedName>
    <definedName name="__xlnm.Print_Titles_15">#REF!</definedName>
    <definedName name="__xlnm.Recorder">"#REF!"</definedName>
    <definedName name="__xx1" localSheetId="3" hidden="1">{"'Typical Costs Estimates'!$C$158:$H$161"}</definedName>
    <definedName name="__xx1" hidden="1">{"'Typical Costs Estimates'!$C$158:$H$161"}</definedName>
    <definedName name="__zz93" localSheetId="3">#REF!</definedName>
    <definedName name="__zz93">#REF!</definedName>
    <definedName name="_0" localSheetId="3">#REF!</definedName>
    <definedName name="_0">#REF!</definedName>
    <definedName name="_0_1" localSheetId="3">#REF!</definedName>
    <definedName name="_0_1">#REF!</definedName>
    <definedName name="_0_17">#REF!</definedName>
    <definedName name="_0_3">#REF!</definedName>
    <definedName name="_00">#REF!</definedName>
    <definedName name="_001"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#REF!</definedName>
    <definedName name="_02">#N/A</definedName>
    <definedName name="_03">#N/A</definedName>
    <definedName name="_04">#N/A</definedName>
    <definedName name="_05">#REF!</definedName>
    <definedName name="_06">#N/A</definedName>
    <definedName name="_1">#N/A</definedName>
    <definedName name="_1_">#REF!</definedName>
    <definedName name="_1__123Graph_ACHART_1" hidden="1">#REF!</definedName>
    <definedName name="_10.0mm">#REF!</definedName>
    <definedName name="_10________formula_1_1" localSheetId="3">__7________NAME()</definedName>
    <definedName name="_10________formula_1_1" localSheetId="11">__7________NAME()</definedName>
    <definedName name="_10________formula_1_1">__7________NAME()</definedName>
    <definedName name="_10________formula_2_1">#N/A</definedName>
    <definedName name="_100_formula_2_1" localSheetId="3">BOQ_G!__8________Excel_BuiltIn__FilterDatabase_2_1()</definedName>
    <definedName name="_100_formula_2_1">[0]!__8________Excel_BuiltIn__FilterDatabase_2_1()</definedName>
    <definedName name="_1000A01">#N/A</definedName>
    <definedName name="_101_formula_2_1">#N/A</definedName>
    <definedName name="_101G_0Extr" localSheetId="3">#REF!</definedName>
    <definedName name="_101G_0Extr">#REF!</definedName>
    <definedName name="_106G_0Extract" localSheetId="3">#REF!</definedName>
    <definedName name="_106G_0Extract">#REF!</definedName>
    <definedName name="_10ASw1GMclad" localSheetId="3">#REF!</definedName>
    <definedName name="_10ASw1GMclad">#REF!</definedName>
    <definedName name="_10ASw2GMclad">#REF!</definedName>
    <definedName name="_10Excel_BuiltIn_Print_Area_4_1_1_1_1">#REF!</definedName>
    <definedName name="_10pr1.0CuPEIsOsPvcLcGswaPvc">#REF!</definedName>
    <definedName name="_11">#N/A</definedName>
    <definedName name="_11________formula_1_1" localSheetId="3">_7________NAME()</definedName>
    <definedName name="_11________formula_1_1" localSheetId="11">_7________NAME()</definedName>
    <definedName name="_11________formula_1_1">_7________NAME()</definedName>
    <definedName name="_11_______Excel_BuiltIn__FilterDatabase_2_1" localSheetId="3">#REF!</definedName>
    <definedName name="_11_______Excel_BuiltIn__FilterDatabase_2_1">#REF!</definedName>
    <definedName name="_111G__Extr" localSheetId="3">#REF!</definedName>
    <definedName name="_111G__Extr">#REF!</definedName>
    <definedName name="_116G__Extract" localSheetId="3">#REF!</definedName>
    <definedName name="_116G__Extract">#REF!</definedName>
    <definedName name="_11Excel_BuiltIn_Print_Area_4_1_1_1_1_1">#REF!</definedName>
    <definedName name="_12________formula_1_1">#N/A</definedName>
    <definedName name="_12________formula_2_1" localSheetId="3">__7________NAME()</definedName>
    <definedName name="_12________formula_2_1" localSheetId="11">__7________NAME()</definedName>
    <definedName name="_12________formula_2_1">__7________NAME()</definedName>
    <definedName name="_12_______formula_1_1">#N/A</definedName>
    <definedName name="_125" localSheetId="3">#REF!</definedName>
    <definedName name="_125">#REF!</definedName>
    <definedName name="_12Excel_BuiltIn_Print_Area_4_1_1_1_1_1_1" localSheetId="3">#REF!</definedName>
    <definedName name="_12Excel_BuiltIn_Print_Area_4_1_1_1_1_1_1">#REF!</definedName>
    <definedName name="_13.2mm">#REF!</definedName>
    <definedName name="_13_______Excel_BuiltIn__FilterDatabase_2_1" localSheetId="3">#REF!</definedName>
    <definedName name="_13_______Excel_BuiltIn__FilterDatabase_2_1">#REF!</definedName>
    <definedName name="_13_______formula_2_1">#N/A</definedName>
    <definedName name="_13Excel_BuiltIn_Print_Titles_4_1" localSheetId="3">#REF!</definedName>
    <definedName name="_13Excel_BuiltIn_Print_Titles_4_1">#REF!</definedName>
    <definedName name="_14________formula_1_1">#N/A</definedName>
    <definedName name="_14________formula_2_1" localSheetId="3">_7________NAME()</definedName>
    <definedName name="_14________formula_2_1" localSheetId="11">_7________NAME()</definedName>
    <definedName name="_14________formula_2_1">_7________NAME()</definedName>
    <definedName name="_14______Excel_BuiltIn__FilterDatabase_2_1" localSheetId="3">#REF!</definedName>
    <definedName name="_14______Excel_BuiltIn__FilterDatabase_2_1">#REF!</definedName>
    <definedName name="_14Gen_1" localSheetId="3">BOQ_G!_14Gen_1</definedName>
    <definedName name="_14Gen_1">BOQ_G!_14Gen_1</definedName>
    <definedName name="_15_______Excel_BuiltIn__FilterDatabase_2_1" localSheetId="3">#REF!</definedName>
    <definedName name="_15_______Excel_BuiltIn__FilterDatabase_2_1">#REF!</definedName>
    <definedName name="_15_______formula_1_1" localSheetId="3">__6_______NAME()</definedName>
    <definedName name="_15_______formula_1_1" localSheetId="11">__6_______NAME()</definedName>
    <definedName name="_15_______formula_1_1">__6_______NAME()</definedName>
    <definedName name="_15______formula_1_1" localSheetId="3">_6_______NAME()</definedName>
    <definedName name="_15______formula_1_1" localSheetId="11">_6_______NAME()</definedName>
    <definedName name="_15______formula_1_1">_6_______NAME()</definedName>
    <definedName name="_15Gen_1" localSheetId="3">BOQ_G!_15Gen_1</definedName>
    <definedName name="_15Gen_1">BOQ_G!_15Gen_1</definedName>
    <definedName name="_16______formula_2_1" localSheetId="3">_6_______NAME()</definedName>
    <definedName name="_16______formula_2_1" localSheetId="11">_6_______NAME()</definedName>
    <definedName name="_16______formula_2_1">_6_______NAME()</definedName>
    <definedName name="_16A3PNESwSocIP44" localSheetId="3">#REF!</definedName>
    <definedName name="_16A3PNESwSocIP44">#REF!</definedName>
    <definedName name="_16GeneralInformation_1" localSheetId="3">BOQ_G!_16GeneralInformation_1</definedName>
    <definedName name="_16GeneralInformation_1">BOQ_G!_16GeneralInformation_1</definedName>
    <definedName name="_17_______formula_2_1" localSheetId="3">__6_______NAME()</definedName>
    <definedName name="_17_______formula_2_1" localSheetId="11">__6_______NAME()</definedName>
    <definedName name="_17_______formula_2_1">__6_______NAME()</definedName>
    <definedName name="_17_____Excel_BuiltIn__FilterDatabase_2_1" localSheetId="3">#REF!</definedName>
    <definedName name="_17_____Excel_BuiltIn__FilterDatabase_2_1">#REF!</definedName>
    <definedName name="_17GeneralInformation_1" localSheetId="3">BOQ_G!_17GeneralInformation_1</definedName>
    <definedName name="_17GeneralInformation_1">BOQ_G!_17GeneralInformation_1</definedName>
    <definedName name="_18_______formula_1_1" localSheetId="3">_6_______NAME()</definedName>
    <definedName name="_18_______formula_1_1" localSheetId="11">_6_______NAME()</definedName>
    <definedName name="_18_______formula_1_1">_6_______NAME()</definedName>
    <definedName name="_18______Excel_BuiltIn__FilterDatabase_2_1" localSheetId="3">#REF!</definedName>
    <definedName name="_18______Excel_BuiltIn__FilterDatabase_2_1">#REF!</definedName>
    <definedName name="_18_____formula_1_1" localSheetId="3">[0]!_47_____Excel_BuiltIn__FilterDatabase_2_1()</definedName>
    <definedName name="_18_____formula_1_1">[0]!_47_____Excel_BuiltIn__FilterDatabase_2_1()</definedName>
    <definedName name="_18GI_1" localSheetId="3">BOQ_G!_18GI_1</definedName>
    <definedName name="_18GI_1">BOQ_G!_18GI_1</definedName>
    <definedName name="_18WIP54MirrShave" localSheetId="3">#REF!</definedName>
    <definedName name="_18WIP54MirrShave">#REF!</definedName>
    <definedName name="_18WIP65Bulkhead" localSheetId="3">#REF!</definedName>
    <definedName name="_18WIP65Bulkhead">#REF!</definedName>
    <definedName name="_19_____formula_2_1" localSheetId="3">[0]!_47_____Excel_BuiltIn__FilterDatabase_2_1()</definedName>
    <definedName name="_19_____formula_2_1">[0]!_47_____Excel_BuiltIn__FilterDatabase_2_1()</definedName>
    <definedName name="_19GI_1" localSheetId="3">BOQ_G!_19GI_1</definedName>
    <definedName name="_19GI_1">BOQ_G!_19GI_1</definedName>
    <definedName name="_1Com_Per_1" localSheetId="3">#REF!</definedName>
    <definedName name="_1Com_Per_1">#REF!</definedName>
    <definedName name="_1pr1.0CuMgtXlpeOsPvcLcPvcGswaPvc" localSheetId="3">#REF!</definedName>
    <definedName name="_1pr1.0CuMgtXlpeOsPvcLcPvcGswaPvc">#REF!</definedName>
    <definedName name="_1Quad1.0CuPvcOsPvcLcPvcGswaPvc" localSheetId="3">#REF!</definedName>
    <definedName name="_1Quad1.0CuPvcOsPvcLcPvcGswaPvc">#REF!</definedName>
    <definedName name="_1x13ASwSocMClad">#REF!</definedName>
    <definedName name="_1x13ASwSocMCladFlex">#REF!</definedName>
    <definedName name="_1x36WIP65">#REF!</definedName>
    <definedName name="_1x36WIP65E">#REF!</definedName>
    <definedName name="_1x58WIP65">#REF!</definedName>
    <definedName name="_1x58WIP65E">#REF!</definedName>
    <definedName name="_1x58WIP65EEx_d">#REF!</definedName>
    <definedName name="_1x58WIP65EEx_d_E">#REF!</definedName>
    <definedName name="_1x58WIP65EEx_e">#REF!</definedName>
    <definedName name="_1x58WIP65EEx_e_E">#REF!</definedName>
    <definedName name="_2">#N/A</definedName>
    <definedName name="_2_">#REF!</definedName>
    <definedName name="_2__123Graph_ACHART_2" hidden="1">#REF!</definedName>
    <definedName name="_2_2">#REF!</definedName>
    <definedName name="_20________formula_2_1">#N/A</definedName>
    <definedName name="_20______formula_1_1" localSheetId="3">__5______NAME()</definedName>
    <definedName name="_20______formula_1_1" localSheetId="11">__5______NAME()</definedName>
    <definedName name="_20______formula_1_1">__5______NAME()</definedName>
    <definedName name="_20____Excel_BuiltIn__FilterDatabase_2_1" localSheetId="3">#REF!</definedName>
    <definedName name="_20____Excel_BuiltIn__FilterDatabase_2_1">#REF!</definedName>
    <definedName name="_2000_Ind_Pers" localSheetId="3">#REF!</definedName>
    <definedName name="_2000_Ind_Pers">#REF!</definedName>
    <definedName name="_20GInfo_1" localSheetId="3">BOQ_G!_20GInfo_1</definedName>
    <definedName name="_20GInfo_1">BOQ_G!_20GInfo_1</definedName>
    <definedName name="_20pr1.0CuMgtXlpeOsPvcLcPvcGswaPvc" localSheetId="3">#REF!</definedName>
    <definedName name="_20pr1.0CuMgtXlpeOsPvcLcPvcGswaPvc">#REF!</definedName>
    <definedName name="_20pr1.0CuPEIsOsPvcLcGswaPvc" localSheetId="3">#REF!</definedName>
    <definedName name="_20pr1.0CuPEIsOsPvcLcGswaPvc">#REF!</definedName>
    <definedName name="_20pr1.0CuPEOsPvcLcGswaPvc" localSheetId="3">#REF!</definedName>
    <definedName name="_20pr1.0CuPEOsPvcLcGswaPvc">#REF!</definedName>
    <definedName name="_21_______Excel_BuiltIn__FilterDatabase_2_1">#REF!</definedName>
    <definedName name="_21_______formula_2_1" localSheetId="3">_6_______NAME()</definedName>
    <definedName name="_21_______formula_2_1" localSheetId="11">_6_______NAME()</definedName>
    <definedName name="_21_______formula_2_1">_6_______NAME()</definedName>
    <definedName name="_21____formula_1_1">#N/A</definedName>
    <definedName name="_21GInfo_1" localSheetId="3">BOQ_G!_21GInfo_1</definedName>
    <definedName name="_21GInfo_1">BOQ_G!_21GInfo_1</definedName>
    <definedName name="_22">#N/A</definedName>
    <definedName name="_22______Excel_BuiltIn__FilterDatabase_2_1" localSheetId="3">#REF!</definedName>
    <definedName name="_22______Excel_BuiltIn__FilterDatabase_2_1">#REF!</definedName>
    <definedName name="_22______formula_2_1" localSheetId="3">__5______NAME()</definedName>
    <definedName name="_22______formula_2_1" localSheetId="11">__5______NAME()</definedName>
    <definedName name="_22______formula_2_1">__5______NAME()</definedName>
    <definedName name="_22____formula_2_1">#N/A</definedName>
    <definedName name="_22Mandatory_1" localSheetId="3">BOQ_G!_22Mandatory_1</definedName>
    <definedName name="_22Mandatory_1">BOQ_G!_22Mandatory_1</definedName>
    <definedName name="_23_____Excel_BuiltIn__FilterDatabase_2_1" localSheetId="3">#REF!</definedName>
    <definedName name="_23_____Excel_BuiltIn__FilterDatabase_2_1">#REF!</definedName>
    <definedName name="_23__Excel_BuiltIn__FilterDatabase_2_1" localSheetId="3">#REF!</definedName>
    <definedName name="_23__Excel_BuiltIn__FilterDatabase_2_1">#REF!</definedName>
    <definedName name="_23Mandatory_1" localSheetId="3">BOQ_G!_23Mandatory_1</definedName>
    <definedName name="_23Mandatory_1">BOQ_G!_23Mandatory_1</definedName>
    <definedName name="_24__formula_1_1" localSheetId="3">_2___NAME()</definedName>
    <definedName name="_24__formula_1_1" localSheetId="11">_2___NAME()</definedName>
    <definedName name="_24__formula_1_1">_2___NAME()</definedName>
    <definedName name="_24MSTON_1" localSheetId="3">#REF!</definedName>
    <definedName name="_24MSTON_1">#REF!</definedName>
    <definedName name="_25______formula_1_1" localSheetId="3">_5______NAME()</definedName>
    <definedName name="_25______formula_1_1" localSheetId="11">_5______NAME()</definedName>
    <definedName name="_25______formula_1_1">_5______NAME()</definedName>
    <definedName name="_25_____formula_1_1" localSheetId="3">__4_____NAME()</definedName>
    <definedName name="_25_____formula_1_1" localSheetId="11">__4_____NAME()</definedName>
    <definedName name="_25_____formula_1_1">__4_____NAME()</definedName>
    <definedName name="_25__formula_2_1" localSheetId="3">_2___NAME()</definedName>
    <definedName name="_25__formula_2_1" localSheetId="11">_2___NAME()</definedName>
    <definedName name="_25__formula_2_1">_2___NAME()</definedName>
    <definedName name="_25Rise_1" localSheetId="3">#REF!</definedName>
    <definedName name="_25Rise_1">#REF!</definedName>
    <definedName name="_26__Excel_BuiltIn__FilterDatabase_2_1" localSheetId="3">#REF!</definedName>
    <definedName name="_26__Excel_BuiltIn__FilterDatabase_2_1">#REF!</definedName>
    <definedName name="_26_Excel_BuiltIn__FilterDatabase_2_1" localSheetId="3">#REF!</definedName>
    <definedName name="_26_Excel_BuiltIn__FilterDatabase_2_1">#REF!</definedName>
    <definedName name="_26xxx_1" localSheetId="3">BOQ_G!_26xxx_1</definedName>
    <definedName name="_26xxx_1">BOQ_G!_26xxx_1</definedName>
    <definedName name="_27_______formula_1_1">#N/A</definedName>
    <definedName name="_27_____formula_2_1" localSheetId="3">__4_____NAME()</definedName>
    <definedName name="_27_____formula_2_1" localSheetId="11">__4_____NAME()</definedName>
    <definedName name="_27_____formula_2_1">__4_____NAME()</definedName>
    <definedName name="_27__formula_1_1">#N/A</definedName>
    <definedName name="_27_formula_1_1" localSheetId="3">_1__NAME()</definedName>
    <definedName name="_27_formula_1_1" localSheetId="11">_1__NAME()</definedName>
    <definedName name="_27_formula_1_1">_1__NAME()</definedName>
    <definedName name="_27xxx_1" localSheetId="3">BOQ_G!_27xxx_1</definedName>
    <definedName name="_27xxx_1">BOQ_G!_27xxx_1</definedName>
    <definedName name="_28______formula_2_1" localSheetId="3">_5______NAME()</definedName>
    <definedName name="_28______formula_2_1" localSheetId="11">_5______NAME()</definedName>
    <definedName name="_28______formula_2_1">_5______NAME()</definedName>
    <definedName name="_28____Excel_BuiltIn__FilterDatabase_2_1" localSheetId="3">#REF!</definedName>
    <definedName name="_28____Excel_BuiltIn__FilterDatabase_2_1">#REF!</definedName>
    <definedName name="_28__formula_2_1">#N/A</definedName>
    <definedName name="_28_formula_2_1" localSheetId="3">_1__NAME()</definedName>
    <definedName name="_28_formula_2_1" localSheetId="11">_1__NAME()</definedName>
    <definedName name="_28_formula_2_1">_1__NAME()</definedName>
    <definedName name="_29_____Excel_BuiltIn__FilterDatabase_2_1" localSheetId="3">#REF!</definedName>
    <definedName name="_29_____Excel_BuiltIn__FilterDatabase_2_1">#REF!</definedName>
    <definedName name="_29_Excel_BuiltIn__FilterDatabase_2_1" localSheetId="3">#REF!</definedName>
    <definedName name="_29_Excel_BuiltIn__FilterDatabase_2_1">#REF!</definedName>
    <definedName name="_2cost_1" localSheetId="3">BOQ_G!_2cost_1</definedName>
    <definedName name="_2cost_1">BOQ_G!_2cost_1</definedName>
    <definedName name="_2Excel_BuiltIn__FilterDatabase_2_1" localSheetId="3">#REF!</definedName>
    <definedName name="_2Excel_BuiltIn__FilterDatabase_2_1">#REF!</definedName>
    <definedName name="_2m1_" localSheetId="3">#REF!</definedName>
    <definedName name="_2m1_">#REF!</definedName>
    <definedName name="_2x18W600x600" localSheetId="3">#REF!</definedName>
    <definedName name="_2x18W600x600">#REF!</definedName>
    <definedName name="_2x18W600x600E">#REF!</definedName>
    <definedName name="_2x36WIP65">#REF!</definedName>
    <definedName name="_2x36WIP65E">#REF!</definedName>
    <definedName name="_2x36WIP65EEx_d">#REF!</definedName>
    <definedName name="_2x36WIP65EEx_d_E">#REF!</definedName>
    <definedName name="_2x58WIP42">#REF!</definedName>
    <definedName name="_2x58WIP42E">#REF!</definedName>
    <definedName name="_2x58WIP65">#REF!</definedName>
    <definedName name="_2x58WIP65E">#REF!</definedName>
    <definedName name="_3">#N/A</definedName>
    <definedName name="_3.7">#REF!</definedName>
    <definedName name="_3__123Graph_BCHART_2" hidden="1">#REF!</definedName>
    <definedName name="_30____formula_1_1" localSheetId="3">__3____NAME()</definedName>
    <definedName name="_30____formula_1_1" localSheetId="11">__3____NAME()</definedName>
    <definedName name="_30____formula_1_1">__3____NAME()</definedName>
    <definedName name="_30_formula_1_1">#N/A</definedName>
    <definedName name="_3000_Mob_Demob" localSheetId="3">#REF!</definedName>
    <definedName name="_3000_Mob_Demob">#REF!</definedName>
    <definedName name="_31_formula_2_1">#N/A</definedName>
    <definedName name="_3100_Temp_Site" localSheetId="3">#REF!</definedName>
    <definedName name="_3100_Temp_Site">#REF!</definedName>
    <definedName name="_32_____formula_1_1" localSheetId="3">_4_____NAME()</definedName>
    <definedName name="_32_____formula_1_1" localSheetId="11">_4_____NAME()</definedName>
    <definedName name="_32_____formula_1_1">_4_____NAME()</definedName>
    <definedName name="_32____formula_2_1" localSheetId="3">__3____NAME()</definedName>
    <definedName name="_32____formula_2_1" localSheetId="11">__3____NAME()</definedName>
    <definedName name="_32____formula_2_1">__3____NAME()</definedName>
    <definedName name="_3200_Camp" localSheetId="3">#REF!</definedName>
    <definedName name="_3200_Camp">#REF!</definedName>
    <definedName name="_321" localSheetId="3" hidden="1">#REF!</definedName>
    <definedName name="_321" hidden="1">#REF!</definedName>
    <definedName name="_33_______formula_2_1">#N/A</definedName>
    <definedName name="_33__Excel_BuiltIn__FilterDatabase_2_1" localSheetId="3">#REF!</definedName>
    <definedName name="_33__Excel_BuiltIn__FilterDatabase_2_1">#REF!</definedName>
    <definedName name="_34______Excel_BuiltIn__FilterDatabase_2_1" localSheetId="3">#REF!</definedName>
    <definedName name="_34______Excel_BuiltIn__FilterDatabase_2_1">#REF!</definedName>
    <definedName name="_35_____formula_2_1" localSheetId="3">_4_____NAME()</definedName>
    <definedName name="_35_____formula_2_1" localSheetId="11">_4_____NAME()</definedName>
    <definedName name="_35_____formula_2_1">_4_____NAME()</definedName>
    <definedName name="_35__formula_1_1" localSheetId="3">__2___NAME()</definedName>
    <definedName name="_35__formula_1_1" localSheetId="11">__2___NAME()</definedName>
    <definedName name="_35__formula_1_1">__2___NAME()</definedName>
    <definedName name="_36____Excel_BuiltIn__FilterDatabase_2_1" localSheetId="3">#REF!</definedName>
    <definedName name="_36____Excel_BuiltIn__FilterDatabase_2_1">#REF!</definedName>
    <definedName name="_37__formula_2_1" localSheetId="3">__2___NAME()</definedName>
    <definedName name="_37__formula_2_1" localSheetId="11">__2___NAME()</definedName>
    <definedName name="_37__formula_2_1">__2___NAME()</definedName>
    <definedName name="_38_Excel_BuiltIn__FilterDatabase_2_1" localSheetId="3">#REF!</definedName>
    <definedName name="_38_Excel_BuiltIn__FilterDatabase_2_1">#REF!</definedName>
    <definedName name="_39____formula_1_1" localSheetId="3">_3____NAME()</definedName>
    <definedName name="_39____formula_1_1" localSheetId="11">_3____NAME()</definedName>
    <definedName name="_39____formula_1_1">_3____NAME()</definedName>
    <definedName name="_3cost_1" localSheetId="3">BOQ_G!_3cost_1</definedName>
    <definedName name="_3cost_1">BOQ_G!_3cost_1</definedName>
    <definedName name="_3formula_1_1" localSheetId="3">__1NAME()</definedName>
    <definedName name="_3formula_1_1" localSheetId="11">__1NAME()</definedName>
    <definedName name="_3formula_1_1">__1NAME()</definedName>
    <definedName name="_3N" localSheetId="3">#REF!</definedName>
    <definedName name="_3N">#REF!</definedName>
    <definedName name="_3x18W600x600" localSheetId="3">#REF!</definedName>
    <definedName name="_3x18W600x600">#REF!</definedName>
    <definedName name="_3x18W600x600E" localSheetId="3">#REF!</definedName>
    <definedName name="_3x18W600x600E">#REF!</definedName>
    <definedName name="_3x18W600x600IP54">#REF!</definedName>
    <definedName name="_3x18W600x600IP54E">#REF!</definedName>
    <definedName name="_4">#N/A</definedName>
    <definedName name="_4_">#REF!</definedName>
    <definedName name="_4__123Graph_CCHART_1" hidden="1">#REF!</definedName>
    <definedName name="_40______formula_1_1">#N/A</definedName>
    <definedName name="_40_formula_1_1" localSheetId="3">__1__NAME()</definedName>
    <definedName name="_40_formula_1_1" localSheetId="11">__1__NAME()</definedName>
    <definedName name="_40_formula_1_1">__1__NAME()</definedName>
    <definedName name="_4000_Dir_Equip" localSheetId="3">#REF!</definedName>
    <definedName name="_4000_Dir_Equip">#REF!</definedName>
    <definedName name="_40mm">#REF!</definedName>
    <definedName name="_4100_Construc_Equip" localSheetId="3">#REF!</definedName>
    <definedName name="_4100_Construc_Equip">#REF!</definedName>
    <definedName name="_42____formula_2_1" localSheetId="3">_3____NAME()</definedName>
    <definedName name="_42____formula_2_1" localSheetId="11">_3____NAME()</definedName>
    <definedName name="_42____formula_2_1">_3____NAME()</definedName>
    <definedName name="_42_formula_2_1" localSheetId="3">__1__NAME()</definedName>
    <definedName name="_42_formula_2_1" localSheetId="11">__1__NAME()</definedName>
    <definedName name="_42_formula_2_1">__1__NAME()</definedName>
    <definedName name="_4200_Vehicles" localSheetId="3">#REF!</definedName>
    <definedName name="_4200_Vehicles">#REF!</definedName>
    <definedName name="_4300_Small_C_Tools" localSheetId="3">#REF!</definedName>
    <definedName name="_4300_Small_C_Tools">#REF!</definedName>
    <definedName name="_4400_Spec_Equip" localSheetId="3">#REF!</definedName>
    <definedName name="_4400_Spec_Equip">#REF!</definedName>
    <definedName name="_4500_Works">#REF!</definedName>
    <definedName name="_46______formula_2_1">#N/A</definedName>
    <definedName name="_46__Excel_BuiltIn__FilterDatabase_2_1">#REF!</definedName>
    <definedName name="_4600_Testing">#REF!</definedName>
    <definedName name="_47_____Excel_BuiltIn__FilterDatabase_2_1">#REF!</definedName>
    <definedName name="_4800_Scaff">#REF!</definedName>
    <definedName name="_49__formula_1_1" localSheetId="3">_2___NAME()</definedName>
    <definedName name="_49__formula_1_1" localSheetId="11">_2___NAME()</definedName>
    <definedName name="_49__formula_1_1">_2___NAME()</definedName>
    <definedName name="_4cost1_1" localSheetId="3">BOQ_G!_4cost1_1</definedName>
    <definedName name="_4cost1_1">BOQ_G!_4cost1_1</definedName>
    <definedName name="_4formula_1_1" localSheetId="3">__1NAME()</definedName>
    <definedName name="_4formula_1_1" localSheetId="11">__1NAME()</definedName>
    <definedName name="_4formula_1_1">__1NAME()</definedName>
    <definedName name="_4formula_2_1" localSheetId="3">__1NAME()</definedName>
    <definedName name="_4formula_2_1" localSheetId="11">__1NAME()</definedName>
    <definedName name="_4formula_2_1">__1NAME()</definedName>
    <definedName name="_4x18W_600x600HFD" localSheetId="3">#REF!</definedName>
    <definedName name="_4x18W_600x600HFD">#REF!</definedName>
    <definedName name="_4x18W_600x600HFDE" localSheetId="3">#REF!</definedName>
    <definedName name="_4x18W_600x600HFDE">#REF!</definedName>
    <definedName name="_4x18W600x600" localSheetId="3">#REF!</definedName>
    <definedName name="_4x18W600x600">#REF!</definedName>
    <definedName name="_4x18W600x600CAT2MB">#REF!</definedName>
    <definedName name="_4x18W600x600CAT2MBE">#REF!</definedName>
    <definedName name="_4x18W600x600E">#REF!</definedName>
    <definedName name="_5">#N/A</definedName>
    <definedName name="_5.0_Hire_and_running_charges_of_winch___grab">#REF!</definedName>
    <definedName name="_5.6mm">#REF!</definedName>
    <definedName name="_5_" localSheetId="3">#REF!</definedName>
    <definedName name="_5_">#REF!</definedName>
    <definedName name="_5__123Graph_DCHART_1" hidden="1">#REF!</definedName>
    <definedName name="_52__formula_2_1" localSheetId="3">_2___NAME()</definedName>
    <definedName name="_52__formula_2_1" localSheetId="11">_2___NAME()</definedName>
    <definedName name="_52__formula_2_1">_2___NAME()</definedName>
    <definedName name="_53_____formula_1_1" localSheetId="3">_10________formula_2_1()</definedName>
    <definedName name="_53_____formula_1_1">_10________formula_2_1()</definedName>
    <definedName name="_53_Excel_BuiltIn__FilterDatabase_2_1" localSheetId="3">#REF!</definedName>
    <definedName name="_53_Excel_BuiltIn__FilterDatabase_2_1">#REF!</definedName>
    <definedName name="_56_formula_1_1" localSheetId="3">_1__NAME()</definedName>
    <definedName name="_56_formula_1_1" localSheetId="11">_1__NAME()</definedName>
    <definedName name="_56_formula_1_1">_1__NAME()</definedName>
    <definedName name="_59_____formula_2_1" localSheetId="3">_10________formula_2_1()</definedName>
    <definedName name="_59_____formula_2_1">_10________formula_2_1()</definedName>
    <definedName name="_59_formula_2_1" localSheetId="3">_1__NAME()</definedName>
    <definedName name="_59_formula_2_1" localSheetId="11">_1__NAME()</definedName>
    <definedName name="_59_formula_2_1">_1__NAME()</definedName>
    <definedName name="_5cost1_1" localSheetId="3">BOQ_G!_5cost1_1</definedName>
    <definedName name="_5cost1_1">BOQ_G!_5cost1_1</definedName>
    <definedName name="_6">#N/A</definedName>
    <definedName name="_60____Excel_BuiltIn__FilterDatabase_2_1" localSheetId="3">#REF!</definedName>
    <definedName name="_60____Excel_BuiltIn__FilterDatabase_2_1">#REF!</definedName>
    <definedName name="_66____formula_1_1">#N/A</definedName>
    <definedName name="_6Euro_to_INR_1" localSheetId="3">#REF!</definedName>
    <definedName name="_6Euro_to_INR_1">#REF!</definedName>
    <definedName name="_6formula_2_1" localSheetId="3">__1NAME()</definedName>
    <definedName name="_6formula_2_1" localSheetId="11">__1NAME()</definedName>
    <definedName name="_6formula_2_1">__1NAME()</definedName>
    <definedName name="_7">#N/A</definedName>
    <definedName name="_72____formula_2_1">#N/A</definedName>
    <definedName name="_76__Excel_BuiltIn__FilterDatabase_2_1" localSheetId="3">#REF!</definedName>
    <definedName name="_76__Excel_BuiltIn__FilterDatabase_2_1">#REF!</definedName>
    <definedName name="_7Excel_BuiltIn_Print_Area_4_1" localSheetId="3">#REF!</definedName>
    <definedName name="_7Excel_BuiltIn_Print_Area_4_1">#REF!</definedName>
    <definedName name="_8">#N/A</definedName>
    <definedName name="_8________Excel_BuiltIn__FilterDatabase_2_1" localSheetId="3">#REF!</definedName>
    <definedName name="_8________Excel_BuiltIn__FilterDatabase_2_1">#REF!</definedName>
    <definedName name="_81_3_0Crite" localSheetId="3">#REF!</definedName>
    <definedName name="_81_3_0Crite">#REF!</definedName>
    <definedName name="_82__formula_1_1">#N/A</definedName>
    <definedName name="_86_3_0Criteria" localSheetId="3">#REF!</definedName>
    <definedName name="_86_3_0Criteria">#REF!</definedName>
    <definedName name="_88__formula_2_1">#N/A</definedName>
    <definedName name="_89_Excel_BuiltIn__FilterDatabase_2_1" localSheetId="3">#REF!</definedName>
    <definedName name="_89_Excel_BuiltIn__FilterDatabase_2_1">#REF!</definedName>
    <definedName name="_8Excel_BuiltIn_Print_Area_4_1_1" localSheetId="3">#REF!</definedName>
    <definedName name="_8Excel_BuiltIn_Print_Area_4_1_1">#REF!</definedName>
    <definedName name="_9________formula_1_1">#N/A</definedName>
    <definedName name="_9_2_0OPTI" localSheetId="3">#REF!</definedName>
    <definedName name="_9_2_0OPTI">#REF!</definedName>
    <definedName name="_91_3__Crite" localSheetId="3">#REF!</definedName>
    <definedName name="_91_3__Crite">#REF!</definedName>
    <definedName name="_95_formula_1_1">#N/A</definedName>
    <definedName name="_96_3__Criteria" localSheetId="3">#REF!</definedName>
    <definedName name="_96_3__Criteria">#REF!</definedName>
    <definedName name="_9Excel_BuiltIn_Print_Area_4_1_1_1" localSheetId="3">#REF!</definedName>
    <definedName name="_9Excel_BuiltIn_Print_Area_4_1_1_1">#REF!</definedName>
    <definedName name="_A">#REF!</definedName>
    <definedName name="_A1">#REF!</definedName>
    <definedName name="_A1_1">#REF!</definedName>
    <definedName name="_A1_16">#REF!</definedName>
    <definedName name="_A1_17">#REF!</definedName>
    <definedName name="_A1_2">#REF!</definedName>
    <definedName name="_A1_6">#REF!</definedName>
    <definedName name="_A33">#N/A</definedName>
    <definedName name="_a441">#REF!</definedName>
    <definedName name="_A65537">#REF!</definedName>
    <definedName name="_A8">#REF!</definedName>
    <definedName name="_ab1" localSheetId="3"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a2">#REF!</definedName>
    <definedName name="_abb91">#REF!</definedName>
    <definedName name="_agg10">#REF!</definedName>
    <definedName name="_agg20">#REF!</definedName>
    <definedName name="_agg6">#REF!</definedName>
    <definedName name="_aoc1">#REF!</definedName>
    <definedName name="_aoc10" localSheetId="3">#REF!</definedName>
    <definedName name="_aoc10">#REF!</definedName>
    <definedName name="_aoc11" localSheetId="3">#REF!</definedName>
    <definedName name="_aoc11">#REF!</definedName>
    <definedName name="_aoc2" localSheetId="3">#REF!</definedName>
    <definedName name="_aoc2">#REF!</definedName>
    <definedName name="_aoc3" localSheetId="3">#REF!</definedName>
    <definedName name="_aoc3">#REF!</definedName>
    <definedName name="_aoc4">#REF!</definedName>
    <definedName name="_aoc7" localSheetId="3">#REF!</definedName>
    <definedName name="_aoc7">#REF!</definedName>
    <definedName name="_aoc8" localSheetId="3">#REF!</definedName>
    <definedName name="_aoc8">#REF!</definedName>
    <definedName name="_aoc9" localSheetId="3">#REF!</definedName>
    <definedName name="_aoc9">#REF!</definedName>
    <definedName name="_as1" localSheetId="3"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SS1" localSheetId="3" hidden="1">{"'Typical Costs Estimates'!$C$158:$H$161"}</definedName>
    <definedName name="_ASS1" hidden="1">{"'Typical Costs Estimates'!$C$158:$H$161"}</definedName>
    <definedName name="_Associate">#REF!</definedName>
    <definedName name="_AXX4">#REF!</definedName>
    <definedName name="_axx5">#REF!</definedName>
    <definedName name="_axx6">#REF!</definedName>
    <definedName name="_AXX7">#REF!</definedName>
    <definedName name="_axx8">#REF!</definedName>
    <definedName name="_B" localSheetId="3">#REF!</definedName>
    <definedName name="_B">#REF!</definedName>
    <definedName name="_B_1" localSheetId="3">#REF!</definedName>
    <definedName name="_B_1">#REF!</definedName>
    <definedName name="_B_17" localSheetId="3">#REF!</definedName>
    <definedName name="_B_17">#REF!</definedName>
    <definedName name="_B_3">#REF!</definedName>
    <definedName name="_b17000">#REF!</definedName>
    <definedName name="_b18000">#REF!</definedName>
    <definedName name="_B19000">#REF!</definedName>
    <definedName name="_b19536">#REF!</definedName>
    <definedName name="_B19999">#REF!</definedName>
    <definedName name="_B20000">#REF!</definedName>
    <definedName name="_BasisPrice">#REF!</definedName>
    <definedName name="_bit6070">#REF!</definedName>
    <definedName name="_bitumen6070">#REF!</definedName>
    <definedName name="_blg4" localSheetId="3">#REF!</definedName>
    <definedName name="_blg4">#REF!</definedName>
    <definedName name="_blk4" localSheetId="3">#REF!</definedName>
    <definedName name="_blk4">#REF!</definedName>
    <definedName name="_Builtin155" hidden="1">#N/A</definedName>
    <definedName name="_BVS4" localSheetId="3">#REF!</definedName>
    <definedName name="_BVS4">#REF!</definedName>
    <definedName name="_By" localSheetId="3">#REF!</definedName>
    <definedName name="_By">#REF!</definedName>
    <definedName name="_C" localSheetId="3">#REF!</definedName>
    <definedName name="_C">#REF!</definedName>
    <definedName name="_CAN02" localSheetId="3">#REF!</definedName>
    <definedName name="_CAN02">#REF!</definedName>
    <definedName name="_CAN1">#REF!</definedName>
    <definedName name="_CAN10">#REF!</definedName>
    <definedName name="_CAN11">#REF!</definedName>
    <definedName name="_CAN112">13.42</definedName>
    <definedName name="_CAN113">12.98</definedName>
    <definedName name="_CAN117">12.7</definedName>
    <definedName name="_CAN118">13.27</definedName>
    <definedName name="_CAN12">#REF!</definedName>
    <definedName name="_CAN120">11.72</definedName>
    <definedName name="_CAN13">#REF!</definedName>
    <definedName name="_CAN14">#REF!</definedName>
    <definedName name="_CAN15">#REF!</definedName>
    <definedName name="_CAN16">#REF!</definedName>
    <definedName name="_CAN17">#REF!</definedName>
    <definedName name="_CAN18">#REF!</definedName>
    <definedName name="_CAN19">#REF!</definedName>
    <definedName name="_CAN2">#REF!</definedName>
    <definedName name="_CAN20">#REF!</definedName>
    <definedName name="_CAN21">#REF!</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#REF!</definedName>
    <definedName name="_CAN220">11.09</definedName>
    <definedName name="_CAN221">11.25</definedName>
    <definedName name="_CAN222">10.17</definedName>
    <definedName name="_CAN223">9.89</definedName>
    <definedName name="_CAN23">#REF!</definedName>
    <definedName name="_CAN230">10.79</definedName>
    <definedName name="_CAN24">#REF!</definedName>
    <definedName name="_CAN25">#REF!</definedName>
    <definedName name="_CAN26">#REF!</definedName>
    <definedName name="_CAN27">#REF!</definedName>
    <definedName name="_CAN28">#REF!</definedName>
    <definedName name="_CAN3">#REF!</definedName>
    <definedName name="_CAN30">#REF!</definedName>
    <definedName name="_CAN32">#REF!</definedName>
    <definedName name="_CAN33">#REF!</definedName>
    <definedName name="_CAN34">#REF!</definedName>
    <definedName name="_CAN36">#REF!</definedName>
    <definedName name="_CAN37">#REF!</definedName>
    <definedName name="_CAN38">#REF!</definedName>
    <definedName name="_CAN39">#REF!</definedName>
    <definedName name="_CAN4">#REF!</definedName>
    <definedName name="_CAN40">#REF!</definedName>
    <definedName name="_CAN42">#REF!</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#REF!</definedName>
    <definedName name="_can430">40.73</definedName>
    <definedName name="_can431">42.52</definedName>
    <definedName name="_can432">42.53</definedName>
    <definedName name="_can433">43.69</definedName>
    <definedName name="_can434">40.43</definedName>
    <definedName name="_can435">43.3</definedName>
    <definedName name="_CAN45">#REF!</definedName>
    <definedName name="_CAN458">#REF!</definedName>
    <definedName name="_CAN46">#REF!</definedName>
    <definedName name="_CAN48">#REF!</definedName>
    <definedName name="_CAN486">#REF!</definedName>
    <definedName name="_CAN487">#REF!</definedName>
    <definedName name="_CAN488">#REF!</definedName>
    <definedName name="_CAN489">#REF!</definedName>
    <definedName name="_CAN4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#REF!</definedName>
    <definedName name="_CAN50">#REF!</definedName>
    <definedName name="_CAN500">#REF!</definedName>
    <definedName name="_CAN51">#REF!</definedName>
    <definedName name="_CAN52">#REF!</definedName>
    <definedName name="_CAN53">#REF!</definedName>
    <definedName name="_CAN54">#REF!</definedName>
    <definedName name="_CAN55">#REF!</definedName>
    <definedName name="_CAN6">#REF!</definedName>
    <definedName name="_CAN7">#REF!</definedName>
    <definedName name="_CAN8">#REF!</definedName>
    <definedName name="_CAN9">#REF!</definedName>
    <definedName name="_Capacity" localSheetId="3">#REF!</definedName>
    <definedName name="_Capacity">#REF!</definedName>
    <definedName name="_car2" localSheetId="3">#REF!</definedName>
    <definedName name="_car2">#REF!</definedName>
    <definedName name="_cas1" localSheetId="3">#REF!</definedName>
    <definedName name="_cas1">#REF!</definedName>
    <definedName name="_cas10">#REF!</definedName>
    <definedName name="_cas11">#REF!</definedName>
    <definedName name="_cas2">#REF!</definedName>
    <definedName name="_cas3">#REF!</definedName>
    <definedName name="_cas4">#REF!</definedName>
    <definedName name="_cas5">#REF!</definedName>
    <definedName name="_cas6">#REF!</definedName>
    <definedName name="_cas7">#REF!</definedName>
    <definedName name="_cas8">#REF!</definedName>
    <definedName name="_cas9">#REF!</definedName>
    <definedName name="_CE1">#REF!</definedName>
    <definedName name="_CFB1" localSheetId="3">#REF!</definedName>
    <definedName name="_CFB1">#REF!</definedName>
    <definedName name="_CFB2" localSheetId="3">#REF!</definedName>
    <definedName name="_CFB2">#REF!</definedName>
    <definedName name="_CFB3" localSheetId="3">#REF!</definedName>
    <definedName name="_CFB3">#REF!</definedName>
    <definedName name="_Client">#REF!</definedName>
    <definedName name="_cra10">#REF!</definedName>
    <definedName name="_cra11">#REF!</definedName>
    <definedName name="_cra12">#REF!</definedName>
    <definedName name="_cra13">#REF!</definedName>
    <definedName name="_cra20">#REF!</definedName>
    <definedName name="_cra22">#REF!</definedName>
    <definedName name="_cra25">#REF!</definedName>
    <definedName name="_cra26">#REF!</definedName>
    <definedName name="_cra40">#REF!</definedName>
    <definedName name="_cra45">#REF!</definedName>
    <definedName name="_cra50">#REF!</definedName>
    <definedName name="_cra6">#REF!</definedName>
    <definedName name="_CRMB">#REF!</definedName>
    <definedName name="_csa40" localSheetId="3">#REF!</definedName>
    <definedName name="_csa40">#REF!</definedName>
    <definedName name="_csb40" localSheetId="3">#REF!</definedName>
    <definedName name="_csb40">#REF!</definedName>
    <definedName name="_CT250" localSheetId="3">#REF!</definedName>
    <definedName name="_CT250">#REF!</definedName>
    <definedName name="_Currency" localSheetId="3">#REF!</definedName>
    <definedName name="_Currency">#REF!</definedName>
    <definedName name="_D" localSheetId="3">#REF!</definedName>
    <definedName name="_D">#REF!</definedName>
    <definedName name="_DAT1" localSheetId="3">#REF!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ate">#REF!</definedName>
    <definedName name="_DatePrint">#REF!</definedName>
    <definedName name="_ddn400">#REF!</definedName>
    <definedName name="_ddn600">#REF!</definedName>
    <definedName name="_dec05" localSheetId="3" hidden="1">{"'Sheet1'!$A$4386:$N$4591"}</definedName>
    <definedName name="_dec05" hidden="1">{"'Sheet1'!$A$4386:$N$4591"}</definedName>
    <definedName name="_dep2">#REF!</definedName>
    <definedName name="_dep3">#REF!</definedName>
    <definedName name="_DET1">#REF!</definedName>
    <definedName name="_DET2">#REF!</definedName>
    <definedName name="_DET3">#REF!</definedName>
    <definedName name="_DET4">#REF!</definedName>
    <definedName name="_DET5">#REF!</definedName>
    <definedName name="_DET6">#REF!</definedName>
    <definedName name="_DEV1">#REF!</definedName>
    <definedName name="_dgt100">#REF!</definedName>
    <definedName name="_dia1" localSheetId="3">#REF!</definedName>
    <definedName name="_dia1">#REF!</definedName>
    <definedName name="_DIN217" localSheetId="3">#REF!</definedName>
    <definedName name="_DIN217">#REF!</definedName>
    <definedName name="_dk1" localSheetId="3" hidden="1">{#N/A,#N/A,FALSE,"COVER.XLS";#N/A,#N/A,FALSE,"RACT1.XLS";#N/A,#N/A,FALSE,"RACT2.XLS";#N/A,#N/A,FALSE,"ECCMP";#N/A,#N/A,FALSE,"WELDER.XLS"}</definedName>
    <definedName name="_dk1" hidden="1">{#N/A,#N/A,FALSE,"COVER.XLS";#N/A,#N/A,FALSE,"RACT1.XLS";#N/A,#N/A,FALSE,"RACT2.XLS";#N/A,#N/A,FALSE,"ECCMP";#N/A,#N/A,FALSE,"WELDER.XLS"}</definedName>
    <definedName name="_DPS1">#REF!</definedName>
    <definedName name="_DPS2">#REF!</definedName>
    <definedName name="_drg1">#REF!</definedName>
    <definedName name="_drg2">#REF!</definedName>
    <definedName name="_E">#REF!</definedName>
    <definedName name="_e20000">#REF!</definedName>
    <definedName name="_ELL45">#REF!</definedName>
    <definedName name="_ELL90">#REF!</definedName>
    <definedName name="_Emulsion">#REF!</definedName>
    <definedName name="_ewk4" localSheetId="3">#REF!</definedName>
    <definedName name="_ewk4">#REF!</definedName>
    <definedName name="_ext2" localSheetId="3">#REF!</definedName>
    <definedName name="_ext2">#REF!</definedName>
    <definedName name="_ext3" localSheetId="3">#REF!</definedName>
    <definedName name="_ext3">#REF!</definedName>
    <definedName name="_F1">#REF!</definedName>
    <definedName name="_F3">#REF!</definedName>
    <definedName name="_fcl1" localSheetId="3">#REF!</definedName>
    <definedName name="_fcl1">#REF!</definedName>
    <definedName name="_FF3" localSheetId="3">#REF!</definedName>
    <definedName name="_FF3">#REF!</definedName>
    <definedName name="_Fil" localSheetId="3" hidden="1">#REF!</definedName>
    <definedName name="_Fil" hidden="1">#REF!</definedName>
    <definedName name="_File" localSheetId="3">#REF!</definedName>
    <definedName name="_File">#REF!</definedName>
    <definedName name="_Filename">#REF!</definedName>
    <definedName name="_Fill" hidden="1">#REF!</definedName>
    <definedName name="_Fill1" hidden="1">#REF!</definedName>
    <definedName name="_xlnm._FilterDatabase" localSheetId="3" hidden="1">BOQ_G!$A$1:$E$215</definedName>
    <definedName name="_xlnm._FilterDatabase" hidden="1">#REF!</definedName>
    <definedName name="_FLB_R_7___D_" localSheetId="3">#REF!</definedName>
    <definedName name="_FLB_R_7___D_">#REF!</definedName>
    <definedName name="_FLCB_" localSheetId="3">#REF!</definedName>
    <definedName name="_FLCB_">#REF!</definedName>
    <definedName name="_FW001">#REF!</definedName>
    <definedName name="_GID1">#REF!</definedName>
    <definedName name="_H" localSheetId="3">#REF!</definedName>
    <definedName name="_H">#REF!</definedName>
    <definedName name="_H_1" localSheetId="3">#REF!</definedName>
    <definedName name="_H_1">#REF!</definedName>
    <definedName name="_H_17" localSheetId="3">#REF!</definedName>
    <definedName name="_H_17">#REF!</definedName>
    <definedName name="_H_3">#REF!</definedName>
    <definedName name="_hfi2" localSheetId="3">#REF!</definedName>
    <definedName name="_hfi2">#REF!</definedName>
    <definedName name="_hfi4" localSheetId="3">#REF!</definedName>
    <definedName name="_hfi4">#REF!</definedName>
    <definedName name="_hfi5" localSheetId="3">#REF!</definedName>
    <definedName name="_hfi5">#REF!</definedName>
    <definedName name="_hfi6" localSheetId="3">#REF!</definedName>
    <definedName name="_hfi6">#REF!</definedName>
    <definedName name="_HFI7">#REF!</definedName>
    <definedName name="_hfi8">#REF!</definedName>
    <definedName name="_hgt1" localSheetId="3">#REF!</definedName>
    <definedName name="_hgt1">#REF!</definedName>
    <definedName name="_hgt2" localSheetId="3">#REF!</definedName>
    <definedName name="_hgt2">#REF!</definedName>
    <definedName name="_hmp120" localSheetId="3">#REF!</definedName>
    <definedName name="_hmp120">#REF!</definedName>
    <definedName name="_HND1">#REF!</definedName>
    <definedName name="_HND2">#REF!</definedName>
    <definedName name="_HNW1">#REF!</definedName>
    <definedName name="_HNW2">#REF!</definedName>
    <definedName name="_ice4" localSheetId="3">#REF!</definedName>
    <definedName name="_ice4">#REF!</definedName>
    <definedName name="_in18900" localSheetId="3">#REF!</definedName>
    <definedName name="_in18900">#REF!</definedName>
    <definedName name="_Ind1" localSheetId="3">#REF!</definedName>
    <definedName name="_Ind1">#REF!</definedName>
    <definedName name="_Ind3">#REF!</definedName>
    <definedName name="_Ind4">#REF!</definedName>
    <definedName name="_INS220">#REF!</definedName>
    <definedName name="_Installation" localSheetId="3">#REF!</definedName>
    <definedName name="_Installation">#REF!</definedName>
    <definedName name="_Iri1" localSheetId="3">#REF!</definedName>
    <definedName name="_Iri1">#REF!</definedName>
    <definedName name="_Iri2" localSheetId="3">#REF!</definedName>
    <definedName name="_Iri2">#REF!</definedName>
    <definedName name="_Iro1">#REF!</definedName>
    <definedName name="_Iro2">#REF!</definedName>
    <definedName name="_iv19000">#REF!</definedName>
    <definedName name="_IV65537">#REF!</definedName>
    <definedName name="_iv66666" localSheetId="3">#REF!</definedName>
    <definedName name="_iv66666">#REF!</definedName>
    <definedName name="_jay1" localSheetId="3">#REF!</definedName>
    <definedName name="_jay1">#REF!</definedName>
    <definedName name="_jj300" localSheetId="3">#REF!</definedName>
    <definedName name="_jj300">#REF!</definedName>
    <definedName name="_Job">#REF!</definedName>
    <definedName name="_JobLocation">#REF!</definedName>
    <definedName name="_Key1" hidden="1">#REF!</definedName>
    <definedName name="_Key2" hidden="1">#REF!</definedName>
    <definedName name="_Ki1">#REF!</definedName>
    <definedName name="_Ki2">#REF!</definedName>
    <definedName name="_KI9">#REF!</definedName>
    <definedName name="_kl1">#REF!</definedName>
    <definedName name="_kl2">#REF!</definedName>
    <definedName name="_ku2">#REF!</definedName>
    <definedName name="_kvs1" localSheetId="3" hidden="1">{#N/A,#N/A,FALSE,"COVER1.XLS ";#N/A,#N/A,FALSE,"RACT1.XLS";#N/A,#N/A,FALSE,"RACT2.XLS";#N/A,#N/A,FALSE,"ECCMP";#N/A,#N/A,FALSE,"WELDER.XLS"}</definedName>
    <definedName name="_kvs1" hidden="1">{#N/A,#N/A,FALSE,"COVER1.XLS ";#N/A,#N/A,FALSE,"RACT1.XLS";#N/A,#N/A,FALSE,"RACT2.XLS";#N/A,#N/A,FALSE,"ECCMP";#N/A,#N/A,FALSE,"WELDER.XLS"}</definedName>
    <definedName name="_kvs2" localSheetId="3" hidden="1">{#N/A,#N/A,FALSE,"COVER1.XLS ";#N/A,#N/A,FALSE,"RACT1.XLS";#N/A,#N/A,FALSE,"RACT2.XLS";#N/A,#N/A,FALSE,"ECCMP";#N/A,#N/A,FALSE,"WELDER.XLS"}</definedName>
    <definedName name="_kvs2" hidden="1">{#N/A,#N/A,FALSE,"COVER1.XLS ";#N/A,#N/A,FALSE,"RACT1.XLS";#N/A,#N/A,FALSE,"RACT2.XLS";#N/A,#N/A,FALSE,"ECCMP";#N/A,#N/A,FALSE,"WELDER.XLS"}</definedName>
    <definedName name="_kvs5" localSheetId="3" hidden="1">{#N/A,#N/A,FALSE,"COVER.XLS";#N/A,#N/A,FALSE,"RACT1.XLS";#N/A,#N/A,FALSE,"RACT2.XLS";#N/A,#N/A,FALSE,"ECCMP";#N/A,#N/A,FALSE,"WELDER.XLS"}</definedName>
    <definedName name="_kvs5" hidden="1">{#N/A,#N/A,FALSE,"COVER.XLS";#N/A,#N/A,FALSE,"RACT1.XLS";#N/A,#N/A,FALSE,"RACT2.XLS";#N/A,#N/A,FALSE,"ECCMP";#N/A,#N/A,FALSE,"WELDER.XLS"}</definedName>
    <definedName name="_kvs8" localSheetId="3" hidden="1">{#N/A,#N/A,FALSE,"COVER1.XLS ";#N/A,#N/A,FALSE,"RACT1.XLS";#N/A,#N/A,FALSE,"RACT2.XLS";#N/A,#N/A,FALSE,"ECCMP";#N/A,#N/A,FALSE,"WELDER.XLS"}</definedName>
    <definedName name="_kvs8" hidden="1">{#N/A,#N/A,FALSE,"COVER1.XLS ";#N/A,#N/A,FALSE,"RACT1.XLS";#N/A,#N/A,FALSE,"RACT2.XLS";#N/A,#N/A,FALSE,"ECCMP";#N/A,#N/A,FALSE,"WELDER.XLS"}</definedName>
    <definedName name="_KWS1">#N/A</definedName>
    <definedName name="_KWS2">#N/A</definedName>
    <definedName name="_KWS3">#N/A</definedName>
    <definedName name="_KY1">#REF!</definedName>
    <definedName name="_KZi2" localSheetId="3">#REF!</definedName>
    <definedName name="_KZi2">#REF!</definedName>
    <definedName name="_l" localSheetId="3">#REF!</definedName>
    <definedName name="_l">#REF!</definedName>
    <definedName name="_l1" localSheetId="3">#REF!</definedName>
    <definedName name="_l1">#REF!</definedName>
    <definedName name="_l11">#REF!</definedName>
    <definedName name="_lb1">#REF!</definedName>
    <definedName name="_lb2">#REF!</definedName>
    <definedName name="_len2">#REF!</definedName>
    <definedName name="_len3">#REF!</definedName>
    <definedName name="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l17">#REF!</definedName>
    <definedName name="_lm1" localSheetId="3">#REF!</definedName>
    <definedName name="_lm1">#REF!</definedName>
    <definedName name="_lng1" localSheetId="3">#REF!</definedName>
    <definedName name="_lng1">#REF!</definedName>
    <definedName name="_LNK1">#REF!</definedName>
    <definedName name="_LNK10">#REF!</definedName>
    <definedName name="_LNK11">#REF!</definedName>
    <definedName name="_LNK12">#REF!</definedName>
    <definedName name="_LNK13">#REF!</definedName>
    <definedName name="_LNK136">#REF!</definedName>
    <definedName name="_LNK137">#REF!</definedName>
    <definedName name="_LNK14" localSheetId="3">#REF!</definedName>
    <definedName name="_LNK14">#REF!</definedName>
    <definedName name="_LNK15" localSheetId="3">#REF!</definedName>
    <definedName name="_LNK15">#REF!</definedName>
    <definedName name="_LNK16" localSheetId="3">#REF!</definedName>
    <definedName name="_LNK16">#REF!</definedName>
    <definedName name="_LNK17">#REF!</definedName>
    <definedName name="_LNK18">#REF!</definedName>
    <definedName name="_LNK19">#REF!</definedName>
    <definedName name="_LNK2">#REF!</definedName>
    <definedName name="_LNK20">#REF!</definedName>
    <definedName name="_LNK21">#REF!</definedName>
    <definedName name="_LNK22">#REF!</definedName>
    <definedName name="_LNK23">#REF!</definedName>
    <definedName name="_LNK24">#REF!</definedName>
    <definedName name="_LNK25">#REF!</definedName>
    <definedName name="_LNK26">#REF!</definedName>
    <definedName name="_LNK27">#REF!</definedName>
    <definedName name="_LNK28">#REF!</definedName>
    <definedName name="_LNK29">#REF!</definedName>
    <definedName name="_LNK3">#REF!</definedName>
    <definedName name="_LNK30">#REF!</definedName>
    <definedName name="_LNK31">#REF!</definedName>
    <definedName name="_LNK32">#REF!</definedName>
    <definedName name="_LNK33">#REF!</definedName>
    <definedName name="_LNK34">#REF!</definedName>
    <definedName name="_LNK35">#REF!</definedName>
    <definedName name="_LNK36">#REF!</definedName>
    <definedName name="_LNK37">#REF!</definedName>
    <definedName name="_LNK38">#REF!</definedName>
    <definedName name="_LNK39">#REF!</definedName>
    <definedName name="_LNK4">#REF!</definedName>
    <definedName name="_LNK40">#REF!</definedName>
    <definedName name="_LNK41">#REF!</definedName>
    <definedName name="_LNK42">#REF!</definedName>
    <definedName name="_LNK43">#REF!</definedName>
    <definedName name="_LNK44">#REF!</definedName>
    <definedName name="_LNK45">#REF!</definedName>
    <definedName name="_LNK46">#REF!</definedName>
    <definedName name="_LNK47">#REF!</definedName>
    <definedName name="_LNK48">#REF!</definedName>
    <definedName name="_LNK49">#REF!</definedName>
    <definedName name="_LNK5">#REF!</definedName>
    <definedName name="_LNK50">#REF!</definedName>
    <definedName name="_LNK51">#REF!</definedName>
    <definedName name="_LNK52">#REF!</definedName>
    <definedName name="_LNK53">#REF!</definedName>
    <definedName name="_LNK54">#REF!</definedName>
    <definedName name="_LNK55">#REF!</definedName>
    <definedName name="_LNK56">#REF!</definedName>
    <definedName name="_LNK57">#REF!</definedName>
    <definedName name="_LNK6">#REF!</definedName>
    <definedName name="_LNK7">#REF!</definedName>
    <definedName name="_LNK8">#REF!</definedName>
    <definedName name="_LNK9">#REF!</definedName>
    <definedName name="_M">#REF!</definedName>
    <definedName name="_M_1">#REF!</definedName>
    <definedName name="_M_17">#REF!</definedName>
    <definedName name="_M_3">#REF!</definedName>
    <definedName name="_m1" localSheetId="3" hidden="1">{"form-D1",#N/A,FALSE,"FORM-D1";"form-D1_amt",#N/A,FALSE,"FORM-D1"}</definedName>
    <definedName name="_m1" hidden="1">{"form-D1",#N/A,FALSE,"FORM-D1";"form-D1_amt",#N/A,FALSE,"FORM-D1"}</definedName>
    <definedName name="_ma1" localSheetId="3">#REF!</definedName>
    <definedName name="_ma1">#REF!</definedName>
    <definedName name="_ma2" localSheetId="3">#REF!</definedName>
    <definedName name="_ma2">#REF!</definedName>
    <definedName name="_MAC12" localSheetId="3">#REF!</definedName>
    <definedName name="_MAC12">#REF!</definedName>
    <definedName name="_MAC46">#REF!</definedName>
    <definedName name="_mas1">#REF!</definedName>
    <definedName name="_MCC3" localSheetId="3" hidden="1">{#N/A,#N/A,FALSE,"CCTV"}</definedName>
    <definedName name="_MCC3" hidden="1">{#N/A,#N/A,FALSE,"CCTV"}</definedName>
    <definedName name="_meu1">#REF!</definedName>
    <definedName name="_meu2">#REF!</definedName>
    <definedName name="_mht1">#REF!</definedName>
    <definedName name="_mm1">#REF!</definedName>
    <definedName name="_mm2">#REF!</definedName>
    <definedName name="_mm3">#REF!</definedName>
    <definedName name="_ms20">#REF!</definedName>
    <definedName name="_ms6">#REF!</definedName>
    <definedName name="_ms8">#REF!</definedName>
    <definedName name="_msy1">#REF!</definedName>
    <definedName name="_msy2">#REF!</definedName>
    <definedName name="_msy3">#REF!</definedName>
    <definedName name="_msy4">#REF!</definedName>
    <definedName name="_mw1" localSheetId="3">#REF!</definedName>
    <definedName name="_mw1">#REF!</definedName>
    <definedName name="_mz1" localSheetId="3">#REF!</definedName>
    <definedName name="_mz1">#REF!</definedName>
    <definedName name="_mz2" localSheetId="3">#REF!</definedName>
    <definedName name="_mz2">#REF!</definedName>
    <definedName name="_Mzd1">#REF!</definedName>
    <definedName name="_N" localSheetId="3">#REF!</definedName>
    <definedName name="_N">#REF!</definedName>
    <definedName name="_naa11" localSheetId="3">#REF!</definedName>
    <definedName name="_naa11">#REF!</definedName>
    <definedName name="_nac11" localSheetId="3">#REF!</definedName>
    <definedName name="_nac11">#REF!</definedName>
    <definedName name="_nb1">#REF!</definedName>
    <definedName name="_nb2">#REF!</definedName>
    <definedName name="_nc10">#REF!</definedName>
    <definedName name="_nc15">#REF!</definedName>
    <definedName name="_nc20">#REF!</definedName>
    <definedName name="_nc25">#REF!</definedName>
    <definedName name="_nc30">#REF!</definedName>
    <definedName name="_nc35">#REF!</definedName>
    <definedName name="_nc40">#REF!</definedName>
    <definedName name="_nc45">#REF!</definedName>
    <definedName name="_nc5">#REF!</definedName>
    <definedName name="_nc50">#REF!</definedName>
    <definedName name="_NCL100">#REF!</definedName>
    <definedName name="_NCL200">#REF!</definedName>
    <definedName name="_NCL250">#REF!</definedName>
    <definedName name="_nin190">#REF!</definedName>
    <definedName name="_np3">#REF!</definedName>
    <definedName name="_nq10" localSheetId="3">#REF!</definedName>
    <definedName name="_nq10">#REF!</definedName>
    <definedName name="_nq15" localSheetId="3">#REF!</definedName>
    <definedName name="_nq15">#REF!</definedName>
    <definedName name="_nq20" localSheetId="3">#REF!</definedName>
    <definedName name="_nq20">#REF!</definedName>
    <definedName name="_nq25">#REF!</definedName>
    <definedName name="_nq30">#REF!</definedName>
    <definedName name="_nq35">#REF!</definedName>
    <definedName name="_nq40">#REF!</definedName>
    <definedName name="_nq45">#REF!</definedName>
    <definedName name="_nq5">#REF!</definedName>
    <definedName name="_nq50">#REF!</definedName>
    <definedName name="_ns1" localSheetId="3" hidden="1">{#N/A,#N/A,FALSE,"COVER1.XLS ";#N/A,#N/A,FALSE,"RACT1.XLS";#N/A,#N/A,FALSE,"RACT2.XLS";#N/A,#N/A,FALSE,"ECCMP";#N/A,#N/A,FALSE,"WELDER.XLS"}</definedName>
    <definedName name="_ns1" hidden="1">{#N/A,#N/A,FALSE,"COVER1.XLS ";#N/A,#N/A,FALSE,"RACT1.XLS";#N/A,#N/A,FALSE,"RACT2.XLS";#N/A,#N/A,FALSE,"ECCMP";#N/A,#N/A,FALSE,"WELDER.XLS"}</definedName>
    <definedName name="_nss2">#REF!</definedName>
    <definedName name="_ny10">#REF!</definedName>
    <definedName name="_ny15">#REF!</definedName>
    <definedName name="_ny20">#REF!</definedName>
    <definedName name="_ny25">#REF!</definedName>
    <definedName name="_ny30">#REF!</definedName>
    <definedName name="_ny35">#REF!</definedName>
    <definedName name="_ny40">#REF!</definedName>
    <definedName name="_ny45">#REF!</definedName>
    <definedName name="_ny5">#REF!</definedName>
    <definedName name="_ny50">#REF!</definedName>
    <definedName name="_obm1">#REF!</definedName>
    <definedName name="_obm2">#REF!</definedName>
    <definedName name="_obm3">#REF!</definedName>
    <definedName name="_obm4">#REF!</definedName>
    <definedName name="_Od1">#REF!</definedName>
    <definedName name="_Od3">#REF!</definedName>
    <definedName name="_Od4">#REF!</definedName>
    <definedName name="_ohp1">#REF!</definedName>
    <definedName name="_Order1" hidden="1">255</definedName>
    <definedName name="_Order2" hidden="1">255</definedName>
    <definedName name="_osf1" localSheetId="3">#REF!</definedName>
    <definedName name="_osf1">#REF!</definedName>
    <definedName name="_osf2" localSheetId="3">#REF!</definedName>
    <definedName name="_osf2">#REF!</definedName>
    <definedName name="_osf3" localSheetId="3">#REF!</definedName>
    <definedName name="_osf3">#REF!</definedName>
    <definedName name="_osf4">#REF!</definedName>
    <definedName name="_out2">#REF!</definedName>
    <definedName name="_P">#REF!</definedName>
    <definedName name="_P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5">#REF!</definedName>
    <definedName name="_P6">#REF!</definedName>
    <definedName name="_P7">#REF!</definedName>
    <definedName name="_P8">#REF!</definedName>
    <definedName name="_P9">#REF!</definedName>
    <definedName name="_Parse_In" hidden="1">#REF!</definedName>
    <definedName name="_PART4">#REF!</definedName>
    <definedName name="_pc1">#REF!</definedName>
    <definedName name="_pc2">#REF!</definedName>
    <definedName name="_pc3">#REF!</definedName>
    <definedName name="_pcc148">#REF!</definedName>
    <definedName name="_pd1">#REF!</definedName>
    <definedName name="_pep99">#REF!</definedName>
    <definedName name="_PG2">#REF!</definedName>
    <definedName name="_PG3">#REF!</definedName>
    <definedName name="_pg4">#REF!</definedName>
    <definedName name="_pg5">#REF!</definedName>
    <definedName name="_PG6">#REF!</definedName>
    <definedName name="_PG7">#REF!</definedName>
    <definedName name="_PH1">#REF!</definedName>
    <definedName name="_PK2" localSheetId="3" hidden="1">{"'장비'!$A$3:$M$12"}</definedName>
    <definedName name="_PK2" hidden="1">{"'장비'!$A$3:$M$12"}</definedName>
    <definedName name="_PKG3" localSheetId="3" hidden="1">{"'장비'!$A$3:$M$12"}</definedName>
    <definedName name="_PKG3" hidden="1">{"'장비'!$A$3:$M$12"}</definedName>
    <definedName name="_pl4">#REF!</definedName>
    <definedName name="_pls4">#REF!</definedName>
    <definedName name="_PO7">#REF!</definedName>
    <definedName name="_PO8">#REF!</definedName>
    <definedName name="_PO9">#REF!</definedName>
    <definedName name="_POP3">#REF!</definedName>
    <definedName name="_PRN1" localSheetId="3" hidden="1">{#N/A,#N/A,FALSE,"COVER.XLS";#N/A,#N/A,FALSE,"RACT1.XLS";#N/A,#N/A,FALSE,"RACT2.XLS";#N/A,#N/A,FALSE,"ECCMP";#N/A,#N/A,FALSE,"WELDER.XLS"}</definedName>
    <definedName name="_PRN1" hidden="1">{#N/A,#N/A,FALSE,"COVER.XLS";#N/A,#N/A,FALSE,"RACT1.XLS";#N/A,#N/A,FALSE,"RACT2.XLS";#N/A,#N/A,FALSE,"ECCMP";#N/A,#N/A,FALSE,"WELDER.XLS"}</definedName>
    <definedName name="_Prof">#REF!</definedName>
    <definedName name="_PRT1" localSheetId="3">#REF!</definedName>
    <definedName name="_PRT1">#REF!</definedName>
    <definedName name="_PRT2" localSheetId="3">#REF!</definedName>
    <definedName name="_PRT2">#REF!</definedName>
    <definedName name="_PRT3" localSheetId="3">#REF!</definedName>
    <definedName name="_PRT3">#REF!</definedName>
    <definedName name="_PRT4">#REF!</definedName>
    <definedName name="_PRT5">#REF!</definedName>
    <definedName name="_PRT6">#REF!</definedName>
    <definedName name="_PRT7">#REF!</definedName>
    <definedName name="_PRT8">#REF!</definedName>
    <definedName name="_ps4">#REF!</definedName>
    <definedName name="_pvc100">#REF!</definedName>
    <definedName name="_qf1" localSheetId="3">#REF!</definedName>
    <definedName name="_qf1">#REF!</definedName>
    <definedName name="_qqq222" localSheetId="3" hidden="1">{"'장비'!$A$3:$M$12"}</definedName>
    <definedName name="_qqq222" hidden="1">{"'장비'!$A$3:$M$12"}</definedName>
    <definedName name="_QTY1">#REF!</definedName>
    <definedName name="_R">#REF!</definedName>
    <definedName name="_r1">#REF!</definedName>
    <definedName name="_Rate">#REF!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fFile">#REF!</definedName>
    <definedName name="_RefPrint">#REF!</definedName>
    <definedName name="_Regression_Int" hidden="1">1</definedName>
    <definedName name="_Regression_Out" hidden="1">#REF!</definedName>
    <definedName name="_Regression_X" hidden="1">#REF!</definedName>
    <definedName name="_Regression_Y" hidden="1">#REF!</definedName>
    <definedName name="_REM1">#REF!</definedName>
    <definedName name="_REM1_1">#REF!</definedName>
    <definedName name="_REM1_16">#REF!</definedName>
    <definedName name="_REM1_17">#REF!</definedName>
    <definedName name="_REM1_2">#REF!</definedName>
    <definedName name="_REM1_6">#REF!</definedName>
    <definedName name="_REM2">#REF!</definedName>
    <definedName name="_REM2_1">#REF!</definedName>
    <definedName name="_REM2_16">#REF!</definedName>
    <definedName name="_REM2_17">#REF!</definedName>
    <definedName name="_REM2_2">#REF!</definedName>
    <definedName name="_REM2_6">#REF!</definedName>
    <definedName name="_rev1">#REF!</definedName>
    <definedName name="_rev3">#REF!</definedName>
    <definedName name="_rev4">#REF!</definedName>
    <definedName name="_rev5">#REF!</definedName>
    <definedName name="_rev6">#REF!</definedName>
    <definedName name="_Revision">#REF!</definedName>
    <definedName name="_S">#REF!</definedName>
    <definedName name="_s1">#REF!</definedName>
    <definedName name="_SA10">#REF!</definedName>
    <definedName name="_SA20">#REF!</definedName>
    <definedName name="_SA40">#REF!</definedName>
    <definedName name="_Saa40">#REF!</definedName>
    <definedName name="_Sab40">#REF!</definedName>
    <definedName name="_sbm1">#REF!</definedName>
    <definedName name="_sbm2">#REF!</definedName>
    <definedName name="_sbm3">#REF!</definedName>
    <definedName name="_sbm4">#REF!</definedName>
    <definedName name="_sc1">#REF!</definedName>
    <definedName name="_SC2">#REF!</definedName>
    <definedName name="_sc3">#REF!</definedName>
    <definedName name="_sd1" localSheetId="3">#REF!</definedName>
    <definedName name="_sd1">#REF!</definedName>
    <definedName name="_sd10" localSheetId="3">#REF!</definedName>
    <definedName name="_sd10">#REF!</definedName>
    <definedName name="_sd11" localSheetId="3">#REF!</definedName>
    <definedName name="_sd11">#REF!</definedName>
    <definedName name="_sd12" localSheetId="3">#REF!</definedName>
    <definedName name="_sd12">#REF!</definedName>
    <definedName name="_sd13">#REF!</definedName>
    <definedName name="_sd14">#REF!</definedName>
    <definedName name="_sd2">#REF!</definedName>
    <definedName name="_sd3">#REF!</definedName>
    <definedName name="_sd4" localSheetId="3">#REF!</definedName>
    <definedName name="_sd4">#REF!</definedName>
    <definedName name="_sd5">#REF!</definedName>
    <definedName name="_sd6">#REF!</definedName>
    <definedName name="_sd7">#REF!</definedName>
    <definedName name="_sd8">#REF!</definedName>
    <definedName name="_sd9">#REF!</definedName>
    <definedName name="_shr28" localSheetId="3">#REF!</definedName>
    <definedName name="_shr28">#REF!</definedName>
    <definedName name="_shr56" localSheetId="3">#REF!</definedName>
    <definedName name="_shr56">#REF!</definedName>
    <definedName name="_shr7" localSheetId="3">#REF!</definedName>
    <definedName name="_shr7">#REF!</definedName>
    <definedName name="_sht1">#REF!</definedName>
    <definedName name="_SL4">#REF!</definedName>
    <definedName name="_SL5">#REF!</definedName>
    <definedName name="_SL6">#REF!</definedName>
    <definedName name="_SN3" localSheetId="3">#REF!</definedName>
    <definedName name="_SN3">#REF!</definedName>
    <definedName name="_Sort" localSheetId="3" hidden="1">#REF!</definedName>
    <definedName name="_Sort" hidden="1">#REF!</definedName>
    <definedName name="_SS402" localSheetId="3">#REF!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sf4">#REF!</definedName>
    <definedName name="_st1">#REF!</definedName>
    <definedName name="_st12">#REF!</definedName>
    <definedName name="_st2">#REF!</definedName>
    <definedName name="_st3">#REF!</definedName>
    <definedName name="_st4">#REF!</definedName>
    <definedName name="_st5">#REF!</definedName>
    <definedName name="_st53">#REF!</definedName>
    <definedName name="_st6">#REF!</definedName>
    <definedName name="_st63">#REF!</definedName>
    <definedName name="_st7">#REF!</definedName>
    <definedName name="_st8">#REF!</definedName>
    <definedName name="_st90">#REF!</definedName>
    <definedName name="_stonedust">#REF!</definedName>
    <definedName name="_str_steel">#REF!</definedName>
    <definedName name="_sub20" localSheetId="3">#REF!</definedName>
    <definedName name="_sub20">#REF!</definedName>
    <definedName name="_SUN1">#N/A</definedName>
    <definedName name="_SUN2">#N/A</definedName>
    <definedName name="_sw1" localSheetId="3">#REF!</definedName>
    <definedName name="_sw1">#REF!</definedName>
    <definedName name="_sw2" localSheetId="3">#REF!</definedName>
    <definedName name="_sw2">#REF!</definedName>
    <definedName name="_sw3">#REF!</definedName>
    <definedName name="_sw4">#REF!</definedName>
    <definedName name="_sw5">#REF!</definedName>
    <definedName name="_sw6">#REF!</definedName>
    <definedName name="_sw7">#REF!</definedName>
    <definedName name="_sw8">#REF!</definedName>
    <definedName name="_t1">#REF!</definedName>
    <definedName name="_t2">#REF!</definedName>
    <definedName name="_tab1">#REF!</definedName>
    <definedName name="_tab2">#REF!</definedName>
    <definedName name="_tbc2">#REF!</definedName>
    <definedName name="_tbc3">#REF!</definedName>
    <definedName name="_TCS1">#REF!</definedName>
    <definedName name="_TG1">#REF!</definedName>
    <definedName name="_TG2">#REF!</definedName>
    <definedName name="_tgt25">#REF!</definedName>
    <definedName name="_th100">#REF!</definedName>
    <definedName name="_TH160">#REF!</definedName>
    <definedName name="_TimePrint" localSheetId="3">#REF!</definedName>
    <definedName name="_TimePrint">#REF!</definedName>
    <definedName name="_tk1" localSheetId="3">#REF!</definedName>
    <definedName name="_tk1">#REF!</definedName>
    <definedName name="_TL1" localSheetId="3">#REF!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250">#REF!</definedName>
    <definedName name="_tr375">#REF!</definedName>
    <definedName name="_tra1" localSheetId="3">#REF!</definedName>
    <definedName name="_tra1">#REF!</definedName>
    <definedName name="_tra2" localSheetId="3">#REF!</definedName>
    <definedName name="_tra2">#REF!</definedName>
    <definedName name="_ts1" localSheetId="3">#REF!</definedName>
    <definedName name="_ts1">#REF!</definedName>
    <definedName name="_tz593">#REF!</definedName>
    <definedName name="_U">#REF!</definedName>
    <definedName name="_V">#REF!</definedName>
    <definedName name="_V1">#REF!</definedName>
    <definedName name="_V2">#REF!</definedName>
    <definedName name="_Vf1" localSheetId="3">#REF!</definedName>
    <definedName name="_Vf1">#REF!</definedName>
    <definedName name="_Vf2" localSheetId="3">#REF!</definedName>
    <definedName name="_Vf2">#REF!</definedName>
    <definedName name="_VL100" localSheetId="3">#REF!</definedName>
    <definedName name="_VL100">#REF!</definedName>
    <definedName name="_VL200">#REF!</definedName>
    <definedName name="_VL250">#REF!</definedName>
    <definedName name="_wcg1">#REF!</definedName>
    <definedName name="_WD2" localSheetId="3">#REF!</definedName>
    <definedName name="_WD2">#REF!</definedName>
    <definedName name="_WD3" localSheetId="3">#REF!</definedName>
    <definedName name="_WD3">#REF!</definedName>
    <definedName name="_WD4" localSheetId="3">#REF!</definedName>
    <definedName name="_WD4">#REF!</definedName>
    <definedName name="_wid2" localSheetId="3">#REF!</definedName>
    <definedName name="_wid2">#REF!</definedName>
    <definedName name="_wid3" localSheetId="3">#REF!</definedName>
    <definedName name="_wid3">#REF!</definedName>
    <definedName name="_WL1" localSheetId="3">#REF!</definedName>
    <definedName name="_WL1">#REF!</definedName>
    <definedName name="_WL2" localSheetId="3">#REF!</definedName>
    <definedName name="_WL2">#REF!</definedName>
    <definedName name="_WL3" localSheetId="3">#REF!</definedName>
    <definedName name="_WL3">#REF!</definedName>
    <definedName name="_WL4" localSheetId="3">#REF!</definedName>
    <definedName name="_WL4">#REF!</definedName>
    <definedName name="_wp1" localSheetId="3">#REF!</definedName>
    <definedName name="_wp1">#REF!</definedName>
    <definedName name="_WPDQ_" localSheetId="3">#REF!</definedName>
    <definedName name="_WPDQ_">#REF!</definedName>
    <definedName name="_WPRQ_" localSheetId="3">#REF!</definedName>
    <definedName name="_WPRQ_">#REF!</definedName>
    <definedName name="_WRN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 localSheetId="3" hidden="1">{#N/A,#N/A,FALSE,"COVER1.XLS ";#N/A,#N/A,FALSE,"RACT1.XLS";#N/A,#N/A,FALSE,"RACT2.XLS";#N/A,#N/A,FALSE,"ECCMP";#N/A,#N/A,FALSE,"WELDER.XLS"}</definedName>
    <definedName name="_WRN2" hidden="1">{#N/A,#N/A,FALSE,"COVER1.XLS ";#N/A,#N/A,FALSE,"RACT1.XLS";#N/A,#N/A,FALSE,"RACT2.XLS";#N/A,#N/A,FALSE,"ECCMP";#N/A,#N/A,FALSE,"WELDER.XLS"}</definedName>
    <definedName name="_WRN3" localSheetId="3" hidden="1">{#N/A,#N/A,FALSE,"consu_cover";#N/A,#N/A,FALSE,"consu_strategy";#N/A,#N/A,FALSE,"consu_flow";#N/A,#N/A,FALSE,"Summary_reqmt";#N/A,#N/A,FALSE,"field_ppg";#N/A,#N/A,FALSE,"ppg_shop";#N/A,#N/A,FALSE,"strl";#N/A,#N/A,FALSE,"tankages";#N/A,#N/A,FALSE,"gases"}</definedName>
    <definedName name="_WRN3" hidden="1">{#N/A,#N/A,FALSE,"consu_cover";#N/A,#N/A,FALSE,"consu_strategy";#N/A,#N/A,FALSE,"consu_flow";#N/A,#N/A,FALSE,"Summary_reqmt";#N/A,#N/A,FALSE,"field_ppg";#N/A,#N/A,FALSE,"ppg_shop";#N/A,#N/A,FALSE,"strl";#N/A,#N/A,FALSE,"tankages";#N/A,#N/A,FALSE,"gases"}</definedName>
    <definedName name="_ww2" localSheetId="3">#REF!</definedName>
    <definedName name="_ww2">#REF!</definedName>
    <definedName name="_X" localSheetId="3">#REF!</definedName>
    <definedName name="_X">#REF!</definedName>
    <definedName name="_XH1">#REF!</definedName>
    <definedName name="_XH2">#REF!</definedName>
    <definedName name="_xx1" localSheetId="3" hidden="1">{"'Typical Costs Estimates'!$C$158:$H$161"}</definedName>
    <definedName name="_xx1" hidden="1">{"'Typical Costs Estimates'!$C$158:$H$161"}</definedName>
    <definedName name="_Y69999">#REF!</definedName>
    <definedName name="_Y71819">#REF!</definedName>
    <definedName name="_Y79999">#REF!</definedName>
    <definedName name="_Y89999">#REF!</definedName>
    <definedName name="_Y90650">#REF!</definedName>
    <definedName name="_Y99999">#REF!</definedName>
    <definedName name="_yy10">#REF!</definedName>
    <definedName name="_yy15">#REF!</definedName>
    <definedName name="_yy5">#REF!</definedName>
    <definedName name="_ZS1" localSheetId="3">#REF!</definedName>
    <definedName name="_ZS1">#REF!</definedName>
    <definedName name="_ZS2" localSheetId="3">#REF!</definedName>
    <definedName name="_ZS2">#REF!</definedName>
    <definedName name="_zz93" localSheetId="3">#REF!</definedName>
    <definedName name="_zz93">#REF!</definedName>
    <definedName name="´cAE°eE¹" hidden="1">#REF!</definedName>
    <definedName name="￠￥cAE¡ÆeEⓒo" hidden="1">#REF!</definedName>
    <definedName name="a" localSheetId="3">#REF!</definedName>
    <definedName name="a">#REF!</definedName>
    <definedName name="a._Trimmer" localSheetId="3">#REF!</definedName>
    <definedName name="a._Trimmer">#REF!</definedName>
    <definedName name="A___0" localSheetId="3">#REF!</definedName>
    <definedName name="A___0">#REF!</definedName>
    <definedName name="A___0___0">"$#REF!.$#REF!$#REF!:$#REF!$#REF!"</definedName>
    <definedName name="A___0___3">"$#REF!.$#REF!$#REF!:$#REF!$#REF!"</definedName>
    <definedName name="A___0___4">"$#REF!.$#REF!$#REF!:$#REF!$#REF!"</definedName>
    <definedName name="A___0_1">#REF!</definedName>
    <definedName name="A___0_10">#REF!</definedName>
    <definedName name="A___0_11">#REF!</definedName>
    <definedName name="A___0_16">#REF!</definedName>
    <definedName name="A___0_17">#REF!</definedName>
    <definedName name="A___0_8">#REF!</definedName>
    <definedName name="A___2">#REF!</definedName>
    <definedName name="A___2___0">"$#REF!.$#REF!$#REF!:$#REF!$#REF!"</definedName>
    <definedName name="A___2___3">"$#REF!.$#REF!$#REF!:$#REF!$#REF!"</definedName>
    <definedName name="A___2_1">#REF!</definedName>
    <definedName name="A___2_10">#REF!</definedName>
    <definedName name="A___2_11">#REF!</definedName>
    <definedName name="A___2_16">#REF!</definedName>
    <definedName name="A___2_17">#REF!</definedName>
    <definedName name="A___2_8">#REF!</definedName>
    <definedName name="A___3">#REF!</definedName>
    <definedName name="A___3___0">"$#REF!.$#REF!$#REF!:$#REF!$#REF!"</definedName>
    <definedName name="A___3___3">"$#REF!.$#REF!$#REF!:$#REF!$#REF!"</definedName>
    <definedName name="A___3___4">"$#REF!.$#REF!$#REF!:$#REF!$#REF!"</definedName>
    <definedName name="A___3_1">#REF!</definedName>
    <definedName name="A___3_10">#REF!</definedName>
    <definedName name="A___3_11">#REF!</definedName>
    <definedName name="A___3_16">#REF!</definedName>
    <definedName name="A___3_17">#REF!</definedName>
    <definedName name="A___3_8">#REF!</definedName>
    <definedName name="A___4">#REF!</definedName>
    <definedName name="A___4___0">"$#REF!.$#REF!$#REF!:$#REF!$#REF!"</definedName>
    <definedName name="A___4___3">"$#REF!.$#REF!$#REF!:$#REF!$#REF!"</definedName>
    <definedName name="A___4_1">#REF!</definedName>
    <definedName name="A___4_10">#REF!</definedName>
    <definedName name="A___4_11">#REF!</definedName>
    <definedName name="A___4_16">#REF!</definedName>
    <definedName name="A___4_17">#REF!</definedName>
    <definedName name="A___4_8">#REF!</definedName>
    <definedName name="A___7">"$#REF!.$#REF!$#REF!:$#REF!$#REF!"</definedName>
    <definedName name="a__Labour_charges_for_cutting_bending__welding_including_materials.">#REF!</definedName>
    <definedName name="A_1" localSheetId="3">#REF!</definedName>
    <definedName name="A_1">#REF!</definedName>
    <definedName name="A_10" localSheetId="3">#REF!</definedName>
    <definedName name="A_10">#REF!</definedName>
    <definedName name="A_11" localSheetId="3">#REF!</definedName>
    <definedName name="A_11">#REF!</definedName>
    <definedName name="A_12">#REF!</definedName>
    <definedName name="A_16">#REF!</definedName>
    <definedName name="A_17">#REF!</definedName>
    <definedName name="A_2">"$#REF!.$#REF!$#REF!:$#REF!$#REF!"</definedName>
    <definedName name="A_3">#REF!</definedName>
    <definedName name="A_4">#REF!</definedName>
    <definedName name="A_5">#REF!</definedName>
    <definedName name="A_6">#REF!</definedName>
    <definedName name="A_7">#REF!</definedName>
    <definedName name="A_8">#REF!</definedName>
    <definedName name="A_9">#REF!</definedName>
    <definedName name="a_dash">#REF!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10">#REF!</definedName>
    <definedName name="A1_11">#REF!</definedName>
    <definedName name="A1_16">#REF!</definedName>
    <definedName name="A1_8">#REF!</definedName>
    <definedName name="A10_">#REF!</definedName>
    <definedName name="a1000000000000000">#REF!</definedName>
    <definedName name="A120_">#REF!</definedName>
    <definedName name="A13_">#REF!</definedName>
    <definedName name="A1HELLO">#REF!</definedName>
    <definedName name="a1o" localSheetId="3">#REF!</definedName>
    <definedName name="a1o">#REF!</definedName>
    <definedName name="A2_" localSheetId="3">#REF!</definedName>
    <definedName name="A2_">#REF!</definedName>
    <definedName name="A2hello" localSheetId="3">#REF!</definedName>
    <definedName name="A2hello">#REF!</definedName>
    <definedName name="A3_" localSheetId="3">#REF!</definedName>
    <definedName name="A3_">#REF!</definedName>
    <definedName name="A35_" localSheetId="3">#REF!</definedName>
    <definedName name="A35_">#REF!</definedName>
    <definedName name="A4_" localSheetId="3">#REF!</definedName>
    <definedName name="A4_">#REF!</definedName>
    <definedName name="A5_">#REF!</definedName>
    <definedName name="A50_">#REF!</definedName>
    <definedName name="A6_">#REF!</definedName>
    <definedName name="A7_">#REF!</definedName>
    <definedName name="A70_">#REF!</definedName>
    <definedName name="A8_">#REF!</definedName>
    <definedName name="A9_">#REF!</definedName>
    <definedName name="A95_">#REF!</definedName>
    <definedName name="aa">#REF!</definedName>
    <definedName name="AA_1">#REF!</definedName>
    <definedName name="AA_10">#REF!</definedName>
    <definedName name="AA_11">#REF!</definedName>
    <definedName name="AA_16">#REF!</definedName>
    <definedName name="AA_2">#REF!</definedName>
    <definedName name="AA_6">#REF!</definedName>
    <definedName name="AA_8">#REF!</definedName>
    <definedName name="aaa">#REF!</definedName>
    <definedName name="AAA_1">#REF!</definedName>
    <definedName name="AAA_2">#REF!</definedName>
    <definedName name="AAA_6">#REF!</definedName>
    <definedName name="aaaa" localSheetId="3" hidden="1">{#N/A,#N/A,FALSE,"CCTV"}</definedName>
    <definedName name="aaaa" hidden="1">{#N/A,#N/A,FALSE,"CCTV"}</definedName>
    <definedName name="aaaaa">#REF!</definedName>
    <definedName name="aaaaaa">#REF!</definedName>
    <definedName name="aaaaaaa" localSheetId="3"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aaa">#REF!</definedName>
    <definedName name="AAAAAAAAAAAAAAAAA" hidden="1">#REF!</definedName>
    <definedName name="aab" localSheetId="3">#REF!</definedName>
    <definedName name="aab">#REF!</definedName>
    <definedName name="aabc">#REF!</definedName>
    <definedName name="aad" localSheetId="3">#REF!</definedName>
    <definedName name="aad">#REF!</definedName>
    <definedName name="aadfdfdfdddf" localSheetId="3">#REF!</definedName>
    <definedName name="aadfdfdfdddf">#REF!</definedName>
    <definedName name="aaffa" localSheetId="3" hidden="1">{#N/A,#N/A,FALSE,"COVER.XLS";#N/A,#N/A,FALSE,"RACT1.XLS";#N/A,#N/A,FALSE,"RACT2.XLS";#N/A,#N/A,FALSE,"ECCMP";#N/A,#N/A,FALSE,"WELDER.XLS"}</definedName>
    <definedName name="aaffa" hidden="1">{#N/A,#N/A,FALSE,"COVER.XLS";#N/A,#N/A,FALSE,"RACT1.XLS";#N/A,#N/A,FALSE,"RACT2.XLS";#N/A,#N/A,FALSE,"ECCMP";#N/A,#N/A,FALSE,"WELDER.XLS"}</definedName>
    <definedName name="aag">#REF!</definedName>
    <definedName name="aag_10">#REF!</definedName>
    <definedName name="aag_11">#REF!</definedName>
    <definedName name="aag_16">#REF!</definedName>
    <definedName name="aag_8">#REF!</definedName>
    <definedName name="AAG_DT">#REF!</definedName>
    <definedName name="AAG_INI">#REF!</definedName>
    <definedName name="AAG_Q">#REF!</definedName>
    <definedName name="Aapp">#REF!</definedName>
    <definedName name="aare">#REF!</definedName>
    <definedName name="aare_16">#REF!</definedName>
    <definedName name="ab">#REF!</definedName>
    <definedName name="aba" localSheetId="3" hidden="1">{#N/A,#N/A,FALSE,"COVER1.XLS ";#N/A,#N/A,FALSE,"RACT1.XLS";#N/A,#N/A,FALSE,"RACT2.XLS";#N/A,#N/A,FALSE,"ECCMP";#N/A,#N/A,FALSE,"WELDER.XLS"}</definedName>
    <definedName name="aba" hidden="1">{#N/A,#N/A,FALSE,"COVER1.XLS ";#N/A,#N/A,FALSE,"RACT1.XLS";#N/A,#N/A,FALSE,"RACT2.XLS";#N/A,#N/A,FALSE,"ECCMP";#N/A,#N/A,FALSE,"WELDER.XLS"}</definedName>
    <definedName name="ABACUS">#REF!</definedName>
    <definedName name="abb">#REF!</definedName>
    <definedName name="abb_1">#REF!</definedName>
    <definedName name="abb_17">#REF!</definedName>
    <definedName name="abb_2">#REF!</definedName>
    <definedName name="abb_6">#REF!</definedName>
    <definedName name="abbsme" localSheetId="3">#REF!</definedName>
    <definedName name="abbsme">#REF!</definedName>
    <definedName name="abbsmen" localSheetId="3">#REF!</definedName>
    <definedName name="abbsmen">#REF!</definedName>
    <definedName name="abbsn" localSheetId="3">#REF!</definedName>
    <definedName name="abbsn">#REF!</definedName>
    <definedName name="abbtm">#REF!</definedName>
    <definedName name="abc">#REF!</definedName>
    <definedName name="abc_1">#REF!</definedName>
    <definedName name="abc_12">#REF!</definedName>
    <definedName name="abc_17">#REF!</definedName>
    <definedName name="abc_2">#REF!</definedName>
    <definedName name="abc_3">#REF!</definedName>
    <definedName name="abc_4">#REF!</definedName>
    <definedName name="abc_5">#REF!</definedName>
    <definedName name="abc_6">#REF!</definedName>
    <definedName name="abc_7">#REF!</definedName>
    <definedName name="abc_9">#REF!</definedName>
    <definedName name="abecc">#REF!</definedName>
    <definedName name="abeccn">#REF!</definedName>
    <definedName name="abg">#REF!</definedName>
    <definedName name="abht">#REF!</definedName>
    <definedName name="About">#REF!</definedName>
    <definedName name="abrar">#REF!</definedName>
    <definedName name="ABS">#REF!</definedName>
    <definedName name="absfts">#REF!</definedName>
    <definedName name="abstractEB" localSheetId="3"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bswt">#REF!</definedName>
    <definedName name="abtarea">#REF!</definedName>
    <definedName name="abtends">#REF!</definedName>
    <definedName name="abthk">#REF!</definedName>
    <definedName name="abtp">#REF!</definedName>
    <definedName name="abtpi">#REF!</definedName>
    <definedName name="abtpiledia">#REF!</definedName>
    <definedName name="abutpiles">#REF!</definedName>
    <definedName name="abwt">#REF!</definedName>
    <definedName name="Ac">#REF!</definedName>
    <definedName name="AC_Combiner_Box">#REF!</definedName>
    <definedName name="AC120_">#REF!</definedName>
    <definedName name="AC35_">#REF!</definedName>
    <definedName name="AC50_">#REF!</definedName>
    <definedName name="AC70_">#REF!</definedName>
    <definedName name="AC95_">#REF!</definedName>
    <definedName name="acable">#REF!</definedName>
    <definedName name="Acap">#REF!</definedName>
    <definedName name="acar">#REF!</definedName>
    <definedName name="acBridge">#REF!</definedName>
    <definedName name="Acc">#REF!</definedName>
    <definedName name="ACCABLESNOTINSY">#REF!</definedName>
    <definedName name="AccessDatabase" hidden="1">"C:\홍성일\주간공정\96-10142.mdb"</definedName>
    <definedName name="acr" localSheetId="3">#REF!</definedName>
    <definedName name="acr">#REF!</definedName>
    <definedName name="acs" localSheetId="3">#REF!</definedName>
    <definedName name="acs">#REF!</definedName>
    <definedName name="ACT" localSheetId="3">#REF!</definedName>
    <definedName name="ACT">#REF!</definedName>
    <definedName name="acthk">#REF!</definedName>
    <definedName name="ACTIVITY">#REF!</definedName>
    <definedName name="acwd">#REF!</definedName>
    <definedName name="AD" localSheetId="3" hidden="1">{"'Sheet1'!$A$4386:$N$4591"}</definedName>
    <definedName name="AD" hidden="1">{"'Sheet1'!$A$4386:$N$4591"}</definedName>
    <definedName name="ada" localSheetId="3"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#REF!</definedName>
    <definedName name="adadd" localSheetId="3" hidden="1">{#N/A,#N/A,FALSE,"COVER1.XLS ";#N/A,#N/A,FALSE,"RACT1.XLS";#N/A,#N/A,FALSE,"RACT2.XLS";#N/A,#N/A,FALSE,"ECCMP";#N/A,#N/A,FALSE,"WELDER.XLS"}</definedName>
    <definedName name="adadd" hidden="1">{#N/A,#N/A,FALSE,"COVER1.XLS ";#N/A,#N/A,FALSE,"RACT1.XLS";#N/A,#N/A,FALSE,"RACT2.XLS";#N/A,#N/A,FALSE,"ECCMP";#N/A,#N/A,FALSE,"WELDER.XLS"}</definedName>
    <definedName name="ADBCalculated">#REF!</definedName>
    <definedName name="ADD">#REF!</definedName>
    <definedName name="addbeam">#REF!</definedName>
    <definedName name="addresses">#REF!</definedName>
    <definedName name="Aded">#REF!</definedName>
    <definedName name="adf" localSheetId="3" hidden="1">{#N/A,#N/A,FALSE,"COVER1.XLS ";#N/A,#N/A,FALSE,"RACT1.XLS";#N/A,#N/A,FALSE,"RACT2.XLS";#N/A,#N/A,FALSE,"ECCMP";#N/A,#N/A,FALSE,"WELDER.XLS"}</definedName>
    <definedName name="adf" hidden="1">{#N/A,#N/A,FALSE,"COVER1.XLS ";#N/A,#N/A,FALSE,"RACT1.XLS";#N/A,#N/A,FALSE,"RACT2.XLS";#N/A,#N/A,FALSE,"ECCMP";#N/A,#N/A,FALSE,"WELDER.XLS"}</definedName>
    <definedName name="ADFAGDFAGDS" localSheetId="3" hidden="1">{#N/A,#N/A,FALSE,"CCTV"}</definedName>
    <definedName name="ADFAGDFAGDS" hidden="1">{#N/A,#N/A,FALSE,"CCTV"}</definedName>
    <definedName name="adfasf" localSheetId="3" hidden="1">{"Execavation",#N/A,FALSE,"furniture (employer)"}</definedName>
    <definedName name="adfasf" hidden="1">{"Execavation",#N/A,FALSE,"furniture (employer)"}</definedName>
    <definedName name="ADJUSMENT">#REF!</definedName>
    <definedName name="adjustment">#REF!</definedName>
    <definedName name="adpvol">#REF!</definedName>
    <definedName name="ads" localSheetId="3" hidden="1">{#N/A,#N/A,FALSE,"COVER1.XLS ";#N/A,#N/A,FALSE,"RACT1.XLS";#N/A,#N/A,FALSE,"RACT2.XLS";#N/A,#N/A,FALSE,"ECCMP";#N/A,#N/A,FALSE,"WELDER.XLS"}</definedName>
    <definedName name="ads" hidden="1">{#N/A,#N/A,FALSE,"COVER1.XLS ";#N/A,#N/A,FALSE,"RACT1.XLS";#N/A,#N/A,FALSE,"RACT2.XLS";#N/A,#N/A,FALSE,"ECCMP";#N/A,#N/A,FALSE,"WELDER.XLS"}</definedName>
    <definedName name="ADSasva">#REF!</definedName>
    <definedName name="adsDD" localSheetId="3">#REF!</definedName>
    <definedName name="adsDD">#REF!</definedName>
    <definedName name="ADSS" localSheetId="3">#REF!</definedName>
    <definedName name="ADSS">#REF!</definedName>
    <definedName name="advtgcost" localSheetId="3">#REF!</definedName>
    <definedName name="advtgcost">#REF!</definedName>
    <definedName name="æ76" localSheetId="3">#REF!</definedName>
    <definedName name="æ76">#REF!</definedName>
    <definedName name="AED" localSheetId="3">#REF!</definedName>
    <definedName name="AED">#REF!</definedName>
    <definedName name="aeffpl" localSheetId="3">#REF!</definedName>
    <definedName name="aeffpl">#REF!</definedName>
    <definedName name="aeffplab" localSheetId="3">#REF!</definedName>
    <definedName name="aeffplab">#REF!</definedName>
    <definedName name="Af">#REF!</definedName>
    <definedName name="afaf">#REF!</definedName>
    <definedName name="afasd" localSheetId="3" hidden="1">{#N/A,#N/A,FALSE,"단가표지"}</definedName>
    <definedName name="afasd" hidden="1">{#N/A,#N/A,FALSE,"단가표지"}</definedName>
    <definedName name="afasfaf">#REF!</definedName>
    <definedName name="afd" localSheetId="3" hidden="1">{#N/A,#N/A,FALSE,"운반시간"}</definedName>
    <definedName name="afd" hidden="1">{#N/A,#N/A,FALSE,"운반시간"}</definedName>
    <definedName name="afdad" localSheetId="3" hidden="1">{"form-D1",#N/A,FALSE,"FORM-D1";"form-D1_amt",#N/A,FALSE,"FORM-D1"}</definedName>
    <definedName name="afdad" hidden="1">{"form-D1",#N/A,FALSE,"FORM-D1";"form-D1_amt",#N/A,FALSE,"FORM-D1"}</definedName>
    <definedName name="afdasgh" localSheetId="3" hidden="1">{#N/A,#N/A,FALSE,"CCTV"}</definedName>
    <definedName name="afdasgh" hidden="1">{#N/A,#N/A,FALSE,"CCTV"}</definedName>
    <definedName name="afdna">#REF!</definedName>
    <definedName name="afdnp">#REF!</definedName>
    <definedName name="afdsfdg" localSheetId="3" hidden="1">{#N/A,#N/A,FALSE,"CCTV"}</definedName>
    <definedName name="afdsfdg" hidden="1">{#N/A,#N/A,FALSE,"CCTV"}</definedName>
    <definedName name="afffgff" localSheetId="3" hidden="1">{#N/A,#N/A,FALSE,"CCTV"}</definedName>
    <definedName name="afffgff" hidden="1">{#N/A,#N/A,FALSE,"CCTV"}</definedName>
    <definedName name="Aflar">#REF!</definedName>
    <definedName name="AFS" localSheetId="3">#REF!</definedName>
    <definedName name="AFS">#REF!</definedName>
    <definedName name="AFV">#REF!</definedName>
    <definedName name="Ag" localSheetId="3">#REF!</definedName>
    <definedName name="Ag">#REF!</definedName>
    <definedName name="ag142X42" localSheetId="3">#REF!</definedName>
    <definedName name="ag142X42">#REF!</definedName>
    <definedName name="ag15F80" localSheetId="3">#REF!</definedName>
    <definedName name="ag15F80">#REF!</definedName>
    <definedName name="ag267N59" localSheetId="3">#REF!</definedName>
    <definedName name="ag267N59">#REF!</definedName>
    <definedName name="agggaaaaa" localSheetId="3">#REF!</definedName>
    <definedName name="agggaaaaa">#REF!</definedName>
    <definedName name="aggr10" localSheetId="3">#REF!</definedName>
    <definedName name="aggr10">#REF!</definedName>
    <definedName name="aggr11" localSheetId="3">#REF!</definedName>
    <definedName name="aggr11">#REF!</definedName>
    <definedName name="aggr13">#REF!</definedName>
    <definedName name="aggr2">#REF!</definedName>
    <definedName name="aggr2.36">#REF!</definedName>
    <definedName name="aggr20">#REF!</definedName>
    <definedName name="aggr22">#REF!</definedName>
    <definedName name="aggr26">#REF!</definedName>
    <definedName name="aggr40">#REF!</definedName>
    <definedName name="aggr53">#REF!</definedName>
    <definedName name="aggr6">#REF!</definedName>
    <definedName name="aggr63">#REF!</definedName>
    <definedName name="AGGREGATE">#REF!</definedName>
    <definedName name="AGGREGATE_CRUSHING_PLANT">#REF!</definedName>
    <definedName name="aggregates20mm">#REF!</definedName>
    <definedName name="agp" localSheetId="3">#REF!</definedName>
    <definedName name="agp">#REF!</definedName>
    <definedName name="agrP" localSheetId="3">#REF!</definedName>
    <definedName name="agrP">#REF!</definedName>
    <definedName name="agrr10" localSheetId="3">#REF!</definedName>
    <definedName name="agrr10">#REF!</definedName>
    <definedName name="agrr63mm">#REF!</definedName>
    <definedName name="AGRU">#REF!</definedName>
    <definedName name="AGRU1">#REF!</definedName>
    <definedName name="agsdjfh">#REF!</definedName>
    <definedName name="agsdjfh_1">#REF!</definedName>
    <definedName name="agsdjfh_10">#REF!</definedName>
    <definedName name="agsdjfh_11">#REF!</definedName>
    <definedName name="agsdjfh_16">#REF!</definedName>
    <definedName name="agsdjfh_17">#REF!</definedName>
    <definedName name="agsdjfh_2">#REF!</definedName>
    <definedName name="agsdjfh_6">#REF!</definedName>
    <definedName name="agsdjfh_8">#REF!</definedName>
    <definedName name="ahgd">#REF!</definedName>
    <definedName name="AHUFan" hidden="1">#REF!</definedName>
    <definedName name="AIR_PIPE">#REF!</definedName>
    <definedName name="air_trap">#REF!</definedName>
    <definedName name="AirCon">#REF!</definedName>
    <definedName name="al" localSheetId="3">#REF!</definedName>
    <definedName name="al">#REF!</definedName>
    <definedName name="All_Item" localSheetId="3">#REF!</definedName>
    <definedName name="All_Item">#REF!</definedName>
    <definedName name="alldca" localSheetId="3">#REF!</definedName>
    <definedName name="alldca">#REF!</definedName>
    <definedName name="alldg">#REF!</definedName>
    <definedName name="alldga">#REF!</definedName>
    <definedName name="allowance">#REF!</definedName>
    <definedName name="alpha">#REF!</definedName>
    <definedName name="alpha0">#REF!</definedName>
    <definedName name="alphar">#REF!</definedName>
    <definedName name="ALPIN">#N/A</definedName>
    <definedName name="ALPJYOU">#N/A</definedName>
    <definedName name="Alpr" localSheetId="3">#REF!</definedName>
    <definedName name="Alpr">#REF!</definedName>
    <definedName name="ALPTOI">#N/A</definedName>
    <definedName name="Alw" localSheetId="3">#REF!</definedName>
    <definedName name="Alw">#REF!</definedName>
    <definedName name="alwarsump" localSheetId="3">#REF!</definedName>
    <definedName name="alwarsump">#REF!</definedName>
    <definedName name="AMC" localSheetId="3">#REF!</definedName>
    <definedName name="AMC">#REF!</definedName>
    <definedName name="amd">#N/A</definedName>
    <definedName name="amin" localSheetId="3">#REF!</definedName>
    <definedName name="amin">#REF!</definedName>
    <definedName name="Amortisationperiod" localSheetId="3">#REF!</definedName>
    <definedName name="Amortisationperiod">#REF!</definedName>
    <definedName name="Amount" localSheetId="3">#REF!</definedName>
    <definedName name="Amount">#REF!</definedName>
    <definedName name="amt">#REF!</definedName>
    <definedName name="Amt_prev_paid">#REF!</definedName>
    <definedName name="Amt_prev_paid_range">#REF!</definedName>
    <definedName name="Analysis" localSheetId="3">#REF!</definedName>
    <definedName name="Analysis">#REF!</definedName>
    <definedName name="anchor" localSheetId="3">#REF!</definedName>
    <definedName name="anchor">#REF!</definedName>
    <definedName name="ang" localSheetId="3">#REF!</definedName>
    <definedName name="ang">#REF!</definedName>
    <definedName name="ang_">#REF!</definedName>
    <definedName name="angle">#REF!</definedName>
    <definedName name="ANNEX1">#REF!</definedName>
    <definedName name="annex7ll" localSheetId="3">#REF!</definedName>
    <definedName name="annex7ll">#REF!</definedName>
    <definedName name="annex7llsump" localSheetId="3">#REF!</definedName>
    <definedName name="annex7llsump">#REF!</definedName>
    <definedName name="annexsump7" localSheetId="3">#REF!</definedName>
    <definedName name="annexsump7">#REF!</definedName>
    <definedName name="annexsump7.">#REF!</definedName>
    <definedName name="annexsump7.1">#REF!</definedName>
    <definedName name="ANNX18">#REF!</definedName>
    <definedName name="anscount" hidden="1">2</definedName>
    <definedName name="ansknskaNKLS" localSheetId="3">#REF!</definedName>
    <definedName name="ansknskaNKLS">#REF!</definedName>
    <definedName name="AnzAdd" localSheetId="3">#REF!</definedName>
    <definedName name="AnzAdd">#REF!</definedName>
    <definedName name="AnzAdd_1" localSheetId="3">#REF!</definedName>
    <definedName name="AnzAdd_1">#REF!</definedName>
    <definedName name="AnzAdd_17" localSheetId="3">#REF!</definedName>
    <definedName name="AnzAdd_17">#REF!</definedName>
    <definedName name="AnzAdd_2">#REF!</definedName>
    <definedName name="AnzAdd_6">#REF!</definedName>
    <definedName name="AnzInputAdd" localSheetId="3">#REF!,#REF!,#REF!,#REF!</definedName>
    <definedName name="AnzInputAdd">#REF!,#REF!,#REF!,#REF!</definedName>
    <definedName name="AnzInputAdd_1" localSheetId="3">(#REF!,#REF!,#REF!,#REF!)</definedName>
    <definedName name="AnzInputAdd_1">(#REF!,#REF!,#REF!,#REF!)</definedName>
    <definedName name="AnzInputAdd_17">#N/A</definedName>
    <definedName name="AnzInputAdd_2">#N/A</definedName>
    <definedName name="AnzInputAdd_6">NA()</definedName>
    <definedName name="AnzInputOld" localSheetId="3">#REF!,#REF!,#REF!,#REF!</definedName>
    <definedName name="AnzInputOld">#REF!,#REF!,#REF!,#REF!</definedName>
    <definedName name="AnzInputOld_1" localSheetId="3">(#REF!,#REF!,#REF!,#REF!)</definedName>
    <definedName name="AnzInputOld_1">(#REF!,#REF!,#REF!,#REF!)</definedName>
    <definedName name="AnzInputOld_17">#N/A</definedName>
    <definedName name="AnzInputOld_2">#N/A</definedName>
    <definedName name="AnzInputOld_6">NA()</definedName>
    <definedName name="AnzNew">#REF!</definedName>
    <definedName name="AnzNew_1">#REF!</definedName>
    <definedName name="AnzNew_17">#REF!</definedName>
    <definedName name="AnzNew_2">#REF!</definedName>
    <definedName name="AnzNew_6">#REF!</definedName>
    <definedName name="AnzOld">#REF!</definedName>
    <definedName name="AnzOld_1">#REF!</definedName>
    <definedName name="AnzOld_17">#REF!</definedName>
    <definedName name="AnzOld_2">#REF!</definedName>
    <definedName name="AnzOld_6">#REF!</definedName>
    <definedName name="ap">#REF!</definedName>
    <definedName name="app">#REF!</definedName>
    <definedName name="applen" localSheetId="3">#REF!</definedName>
    <definedName name="applen">#REF!</definedName>
    <definedName name="Approachslab" localSheetId="3">#REF!</definedName>
    <definedName name="Approachslab">#REF!</definedName>
    <definedName name="APR" localSheetId="3" hidden="1">{"form-D1",#N/A,FALSE,"FORM-D1";"form-D1_amt",#N/A,FALSE,"FORM-D1"}</definedName>
    <definedName name="APR" hidden="1">{"form-D1",#N/A,FALSE,"FORM-D1";"form-D1_amt",#N/A,FALSE,"FORM-D1"}</definedName>
    <definedName name="apronarea">#REF!</definedName>
    <definedName name="AQ" localSheetId="3" hidden="1">{#N/A,#N/A,FALSE,"CCTV"}</definedName>
    <definedName name="AQ" hidden="1">{#N/A,#N/A,FALSE,"CCTV"}</definedName>
    <definedName name="AQE" localSheetId="3" hidden="1">{"'장비'!$A$3:$M$12"}</definedName>
    <definedName name="AQE" hidden="1">{"'장비'!$A$3:$M$12"}</definedName>
    <definedName name="AQW" localSheetId="3" hidden="1">{#N/A,#N/A,FALSE,"CCTV"}</definedName>
    <definedName name="AQW" hidden="1">{#N/A,#N/A,FALSE,"CCTV"}</definedName>
    <definedName name="AQWS"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localSheetId="3">#REF!</definedName>
    <definedName name="ar">#REF!</definedName>
    <definedName name="arc" localSheetId="3">#REF!</definedName>
    <definedName name="arc">#REF!</definedName>
    <definedName name="arcab" localSheetId="3">#REF!</definedName>
    <definedName name="arcab">#REF!</definedName>
    <definedName name="arch">#REF!</definedName>
    <definedName name="arcmab">#REF!</definedName>
    <definedName name="arcmiab">#REF!</definedName>
    <definedName name="AREA">#REF!</definedName>
    <definedName name="Area1">#REF!</definedName>
    <definedName name="areaC">#REF!</definedName>
    <definedName name="areais">#REF!</definedName>
    <definedName name="areaM" localSheetId="3">#REF!</definedName>
    <definedName name="areaM">#REF!</definedName>
    <definedName name="areamcn" localSheetId="3">#REF!</definedName>
    <definedName name="areamcn">#REF!</definedName>
    <definedName name="areaotherpoi" localSheetId="3">#REF!</definedName>
    <definedName name="areaotherpoi">#REF!</definedName>
    <definedName name="areatop2" localSheetId="3">#REF!</definedName>
    <definedName name="areatop2">#REF!</definedName>
    <definedName name="ars" localSheetId="3">#REF!</definedName>
    <definedName name="ars">#REF!</definedName>
    <definedName name="arsab" localSheetId="3">#REF!</definedName>
    <definedName name="arsab">#REF!</definedName>
    <definedName name="arsmab">#REF!</definedName>
    <definedName name="arsmiab">#REF!</definedName>
    <definedName name="ARTDISC">#REF!</definedName>
    <definedName name="as" localSheetId="3">#REF!</definedName>
    <definedName name="as">#REF!</definedName>
    <definedName name="AS_" localSheetId="3">#REF!</definedName>
    <definedName name="AS_">#REF!</definedName>
    <definedName name="asa" localSheetId="3" hidden="1">{#N/A,#N/A,FALSE,"COVER1.XLS ";#N/A,#N/A,FALSE,"RACT1.XLS";#N/A,#N/A,FALSE,"RACT2.XLS";#N/A,#N/A,FALSE,"ECCMP";#N/A,#N/A,FALSE,"WELDER.XLS"}</definedName>
    <definedName name="asa" hidden="1">{#N/A,#N/A,FALSE,"COVER1.XLS ";#N/A,#N/A,FALSE,"RACT1.XLS";#N/A,#N/A,FALSE,"RACT2.XLS";#N/A,#N/A,FALSE,"ECCMP";#N/A,#N/A,FALSE,"WELDER.XLS"}</definedName>
    <definedName name="asad" localSheetId="3"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ADAD">#REF!</definedName>
    <definedName name="asas" localSheetId="3">#REF!</definedName>
    <definedName name="asas">#REF!</definedName>
    <definedName name="asasas" localSheetId="3">#REF!</definedName>
    <definedName name="asasas">#REF!</definedName>
    <definedName name="asbyds" localSheetId="3">#REF!</definedName>
    <definedName name="asbyds">#REF!</definedName>
    <definedName name="asd">#REF!</definedName>
    <definedName name="asd_10">#REF!</definedName>
    <definedName name="asd_11">#REF!</definedName>
    <definedName name="asd_16">#REF!</definedName>
    <definedName name="asd_8">#REF!</definedName>
    <definedName name="ASDADASD">#REF!</definedName>
    <definedName name="ASDADS" localSheetId="3">#REF!</definedName>
    <definedName name="ASDADS">#REF!</definedName>
    <definedName name="asdasadsdasdasd" localSheetId="3">#REF!</definedName>
    <definedName name="asdasadsdasdasd">#REF!</definedName>
    <definedName name="asdasd" localSheetId="3">#REF!</definedName>
    <definedName name="asdasd">#REF!</definedName>
    <definedName name="asdasdasdas" localSheetId="3">#REF!</definedName>
    <definedName name="asdasdasdas">#REF!</definedName>
    <definedName name="ASDASDDSA" localSheetId="3">#REF!</definedName>
    <definedName name="ASDASDDSA">#REF!</definedName>
    <definedName name="asdd" localSheetId="3">#REF!</definedName>
    <definedName name="asdd">#REF!</definedName>
    <definedName name="ASDDADAADASA" localSheetId="3">#REF!</definedName>
    <definedName name="ASDDADAADASA">#REF!</definedName>
    <definedName name="asdf" localSheetId="3">#REF!</definedName>
    <definedName name="asdf">#REF!</definedName>
    <definedName name="asdf_10">#REF!</definedName>
    <definedName name="asdf_11">#REF!</definedName>
    <definedName name="asdf_16">#REF!</definedName>
    <definedName name="asdf_8">#REF!</definedName>
    <definedName name="ASDFASDFSDF" localSheetId="3">#REF! = Address</definedName>
    <definedName name="ASDFASDFSDF" localSheetId="11">#REF! = Address</definedName>
    <definedName name="ASDFASDFSDF">#REF! = Address</definedName>
    <definedName name="asdf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H" localSheetId="3" hidden="1">{#N/A,#N/A,FALSE,"CCTV"}</definedName>
    <definedName name="ASDFGH" hidden="1">{#N/A,#N/A,FALSE,"CCTV"}</definedName>
    <definedName name="asdsdas">#REF!</definedName>
    <definedName name="asdsdas_10">#REF!</definedName>
    <definedName name="asdsdas_11">#REF!</definedName>
    <definedName name="asdsdas_16">#REF!</definedName>
    <definedName name="asdsdas_8">#REF!</definedName>
    <definedName name="asdsf">#REF!</definedName>
    <definedName name="ASF" localSheetId="3">#REF!</definedName>
    <definedName name="ASF">#REF!</definedName>
    <definedName name="asfas" localSheetId="3" hidden="1">{#N/A,#N/A,FALSE,"표지목차"}</definedName>
    <definedName name="asfas" hidden="1">{#N/A,#N/A,FALSE,"표지목차"}</definedName>
    <definedName name="ASFG" hidden="1">#REF!</definedName>
    <definedName name="asfs" localSheetId="3" hidden="1">{"Execavation",#N/A,FALSE,"furniture (employer)"}</definedName>
    <definedName name="asfs" hidden="1">{"Execavation",#N/A,FALSE,"furniture (employer)"}</definedName>
    <definedName name="ASG" hidden="1">#REF!</definedName>
    <definedName name="ash" localSheetId="3">#REF!</definedName>
    <definedName name="ash">#REF!</definedName>
    <definedName name="ASIF" localSheetId="3">#REF!</definedName>
    <definedName name="ASIF">#REF!</definedName>
    <definedName name="asim" localSheetId="3">#REF!</definedName>
    <definedName name="asim">#REF!</definedName>
    <definedName name="AsnBs" localSheetId="3">#REF!</definedName>
    <definedName name="AsnBs">#REF!</definedName>
    <definedName name="AsnBs_1" localSheetId="3">#REF!</definedName>
    <definedName name="AsnBs_1">#REF!</definedName>
    <definedName name="AsnBs_17">#REF!</definedName>
    <definedName name="AsnBs_2">#REF!</definedName>
    <definedName name="AsnBs_6">#REF!</definedName>
    <definedName name="AsnBsl">#REF!</definedName>
    <definedName name="AsnBsl_1">#REF!</definedName>
    <definedName name="AsnBsl_17">#REF!</definedName>
    <definedName name="AsnBsl_2">#REF!</definedName>
    <definedName name="AsnBsl_6">#REF!</definedName>
    <definedName name="AsnBsu">#REF!</definedName>
    <definedName name="AsnBsu_1">#REF!</definedName>
    <definedName name="AsnBsu_17">#REF!</definedName>
    <definedName name="AsnBsu_2">#REF!</definedName>
    <definedName name="AsnBsu_6">#REF!</definedName>
    <definedName name="AsnBsu8">#REF!</definedName>
    <definedName name="AsnBsu8_1">#REF!</definedName>
    <definedName name="AsnBsu8_17">#REF!</definedName>
    <definedName name="AsnBsu8_2">#REF!</definedName>
    <definedName name="AsnBsu8_6">#REF!</definedName>
    <definedName name="AsnCil">#REF!</definedName>
    <definedName name="AsnCil_1">#REF!</definedName>
    <definedName name="AsnCil_17">#REF!</definedName>
    <definedName name="AsnCil_2">#REF!</definedName>
    <definedName name="AsnCil_6">#REF!</definedName>
    <definedName name="AsnCiu">#REF!</definedName>
    <definedName name="AsnCiu_1">#REF!</definedName>
    <definedName name="AsnCiu_17">#REF!</definedName>
    <definedName name="AsnCiu_2">#REF!</definedName>
    <definedName name="AsnCiu_6">#REF!</definedName>
    <definedName name="AsnGb">#REF!</definedName>
    <definedName name="AsnGb_1">#REF!</definedName>
    <definedName name="AsnGb_17">#REF!</definedName>
    <definedName name="AsnGb_2">#REF!</definedName>
    <definedName name="AsnGb_6">#REF!</definedName>
    <definedName name="AsnIlv">#REF!</definedName>
    <definedName name="AsnIlv_1">#REF!</definedName>
    <definedName name="AsnIlv_17">#REF!</definedName>
    <definedName name="AsnIlv_2">#REF!</definedName>
    <definedName name="AsnIlv_6">#REF!</definedName>
    <definedName name="AsnLsl">#REF!</definedName>
    <definedName name="AsnLsl_1">#REF!</definedName>
    <definedName name="AsnLsl_17">#REF!</definedName>
    <definedName name="AsnLsl_2">#REF!</definedName>
    <definedName name="AsnLsl_6">#REF!</definedName>
    <definedName name="AsnLsu">#REF!</definedName>
    <definedName name="AsnLsu_1">#REF!</definedName>
    <definedName name="AsnLsu_17">#REF!</definedName>
    <definedName name="AsnLsu_2">#REF!</definedName>
    <definedName name="AsnLsu_6">#REF!</definedName>
    <definedName name="AsnLv">#REF!</definedName>
    <definedName name="AsnLv_1">#REF!</definedName>
    <definedName name="AsnLv_17">#REF!</definedName>
    <definedName name="AsnLv_2">#REF!</definedName>
    <definedName name="AsnLv_6">#REF!</definedName>
    <definedName name="AsnPa">#REF!</definedName>
    <definedName name="AsnPa_1">#REF!</definedName>
    <definedName name="AsnPa_17">#REF!</definedName>
    <definedName name="AsnPa_2">#REF!</definedName>
    <definedName name="AsnPa_6">#REF!</definedName>
    <definedName name="AsnPv">#REF!</definedName>
    <definedName name="AsnPv_1">#REF!</definedName>
    <definedName name="AsnPv_17">#REF!</definedName>
    <definedName name="AsnPv_2">#REF!</definedName>
    <definedName name="AsnPv_6">#REF!</definedName>
    <definedName name="AsnSfs">#REF!</definedName>
    <definedName name="AsnSfs_1">#REF!</definedName>
    <definedName name="AsnSfs_17">#REF!</definedName>
    <definedName name="AsnSfs_2">#REF!</definedName>
    <definedName name="AsnSfs_6">#REF!</definedName>
    <definedName name="AsnTv">#REF!</definedName>
    <definedName name="AsnTv_1">#REF!</definedName>
    <definedName name="AsnTv_17">#REF!</definedName>
    <definedName name="AsnTv_2">#REF!</definedName>
    <definedName name="AsnTv_6">#REF!</definedName>
    <definedName name="aso">#REF!</definedName>
    <definedName name="aspan">#REF!</definedName>
    <definedName name="ass">#N/A</definedName>
    <definedName name="ASSA" localSheetId="3" hidden="1">{"'Typical Costs Estimates'!$C$158:$H$161"}</definedName>
    <definedName name="ASSA" hidden="1">{"'Typical Costs Estimates'!$C$158:$H$161"}</definedName>
    <definedName name="assal"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t">#REF!</definedName>
    <definedName name="Ast_">#REF!</definedName>
    <definedName name="ASTM">#REF!</definedName>
    <definedName name="asw">#REF!</definedName>
    <definedName name="ASx">#REF!</definedName>
    <definedName name="at">#REF!</definedName>
    <definedName name="atapc">#REF!</definedName>
    <definedName name="atppc">#REF!</definedName>
    <definedName name="atppcp">#REF!</definedName>
    <definedName name="atppcpa">#REF!</definedName>
    <definedName name="Atra">#REF!</definedName>
    <definedName name="AttrRange" localSheetId="3">#REF!</definedName>
    <definedName name="AttrRange">#REF!</definedName>
    <definedName name="attrRange_Q" localSheetId="3">#REF!</definedName>
    <definedName name="attrRange_Q">#REF!</definedName>
    <definedName name="AUD" localSheetId="3">#REF!</definedName>
    <definedName name="AUD">#REF!</definedName>
    <definedName name="AUTHOR">#REF!</definedName>
    <definedName name="AUTO">#REF!</definedName>
    <definedName name="AUTO_16">#REF!</definedName>
    <definedName name="autonum" localSheetId="3">#REF!</definedName>
    <definedName name="autonum">#REF!</definedName>
    <definedName name="Availability" localSheetId="3">#REF!</definedName>
    <definedName name="Availability">#REF!</definedName>
    <definedName name="averatedbmpcc">#REF!</definedName>
    <definedName name="avethk" localSheetId="3">#REF!</definedName>
    <definedName name="avethk">#REF!</definedName>
    <definedName name="avewid" localSheetId="3">#REF!</definedName>
    <definedName name="avewid">#REF!</definedName>
    <definedName name="Avf" localSheetId="3">#REF!</definedName>
    <definedName name="Avf">#REF!</definedName>
    <definedName name="awid">#REF!</definedName>
    <definedName name="AXI">#REF!</definedName>
    <definedName name="AXI_">#REF!</definedName>
    <definedName name="axlab">#REF!</definedName>
    <definedName name="B">#REF!</definedName>
    <definedName name="B_">#REF!</definedName>
    <definedName name="b___0">#REF!</definedName>
    <definedName name="b___0___0">"$#REF!.$#REF!$#REF!"</definedName>
    <definedName name="b___0___3">"$#REF!.$#REF!$#REF!"</definedName>
    <definedName name="b___0___4">"$#REF!.$#REF!$#REF!"</definedName>
    <definedName name="b___0_1">#REF!</definedName>
    <definedName name="b___0_10">#REF!</definedName>
    <definedName name="b___0_11">#REF!</definedName>
    <definedName name="b___0_16">#REF!</definedName>
    <definedName name="b___0_17">#REF!</definedName>
    <definedName name="b___0_8">#REF!</definedName>
    <definedName name="b___2">#REF!</definedName>
    <definedName name="b___2___0">"$#REF!.$#REF!$#REF!"</definedName>
    <definedName name="b___2___3">"$#REF!.$#REF!$#REF!"</definedName>
    <definedName name="b___2_1">#REF!</definedName>
    <definedName name="b___2_10">#REF!</definedName>
    <definedName name="b___2_11">#REF!</definedName>
    <definedName name="b___2_16">#REF!</definedName>
    <definedName name="b___2_17">#REF!</definedName>
    <definedName name="b___2_8">#REF!</definedName>
    <definedName name="b___3">#REF!</definedName>
    <definedName name="b___3___0">"$#REF!.$#REF!$#REF!"</definedName>
    <definedName name="b___3___3">"$#REF!.$#REF!$#REF!"</definedName>
    <definedName name="b___3___4">"$#REF!.$#REF!$#REF!"</definedName>
    <definedName name="b___3_1">#REF!</definedName>
    <definedName name="b___3_10">#REF!</definedName>
    <definedName name="b___3_11">#REF!</definedName>
    <definedName name="b___3_16">#REF!</definedName>
    <definedName name="b___3_17">#REF!</definedName>
    <definedName name="b___3_8">#REF!</definedName>
    <definedName name="b___4">#REF!</definedName>
    <definedName name="b___4___0">"$#REF!.$#REF!$#REF!"</definedName>
    <definedName name="b___4___3">"$#REF!.$#REF!$#REF!"</definedName>
    <definedName name="b___4_1">#REF!</definedName>
    <definedName name="b___4_10">#REF!</definedName>
    <definedName name="b___4_11">#REF!</definedName>
    <definedName name="b___4_16">#REF!</definedName>
    <definedName name="b___4_17">#REF!</definedName>
    <definedName name="b___4_8">#REF!</definedName>
    <definedName name="b___7">"$#REF!.$#REF!$#REF!"</definedName>
    <definedName name="b_1">#REF!</definedName>
    <definedName name="b_10">#REF!</definedName>
    <definedName name="b_11">#REF!</definedName>
    <definedName name="b_12">#REF!</definedName>
    <definedName name="b_16">#REF!</definedName>
    <definedName name="b_17">#REF!</definedName>
    <definedName name="b_2">"$#REF!.$#REF!$#REF!"</definedName>
    <definedName name="b_240">#REF!</definedName>
    <definedName name="b_280">#REF!</definedName>
    <definedName name="b_3" localSheetId="3">#REF!</definedName>
    <definedName name="b_3">#REF!</definedName>
    <definedName name="b_320" localSheetId="3">#REF!</definedName>
    <definedName name="b_320">#REF!</definedName>
    <definedName name="b_4" localSheetId="3">#REF!</definedName>
    <definedName name="b_4">#REF!</definedName>
    <definedName name="b_5" localSheetId="3">#REF!</definedName>
    <definedName name="b_5">#REF!</definedName>
    <definedName name="B_6" localSheetId="3">#REF!</definedName>
    <definedName name="B_6">#REF!</definedName>
    <definedName name="b_7">#REF!</definedName>
    <definedName name="b_8">#REF!</definedName>
    <definedName name="b_9">#REF!</definedName>
    <definedName name="b_dash">#REF!</definedName>
    <definedName name="B_FLG">#REF!</definedName>
    <definedName name="b1x">#REF!</definedName>
    <definedName name="b2x">#REF!</definedName>
    <definedName name="b5464563">#REF!</definedName>
    <definedName name="b6475656">#REF!</definedName>
    <definedName name="b7686767">#REF!</definedName>
    <definedName name="ba_diat">#REF!</definedName>
    <definedName name="back_pressure">#REF!</definedName>
    <definedName name="ball">#REF!</definedName>
    <definedName name="ballies">#REF!</definedName>
    <definedName name="BangChu">#REF!</definedName>
    <definedName name="bangciti">#REF!</definedName>
    <definedName name="BANK" localSheetId="3">#REF!</definedName>
    <definedName name="BANK">#REF!</definedName>
    <definedName name="BAR_BENDERS">#REF!</definedName>
    <definedName name="BASE">#REF!</definedName>
    <definedName name="BASE_Summary" localSheetId="3">#REF!</definedName>
    <definedName name="BASE_Summary">#REF!</definedName>
    <definedName name="BASE_Summary_16" localSheetId="3">#REF!</definedName>
    <definedName name="BASE_Summary_16">#REF!</definedName>
    <definedName name="BASE_Summary1" localSheetId="3">#REF!</definedName>
    <definedName name="BASE_Summary1">#REF!</definedName>
    <definedName name="BASE_Summary1_16">#REF!</definedName>
    <definedName name="BASE_Summary2">#REF!</definedName>
    <definedName name="BASE_Summary2_16">#REF!</definedName>
    <definedName name="BaseI1">#REF!</definedName>
    <definedName name="BaseI2">#REF!</definedName>
    <definedName name="BaseI3">#REF!</definedName>
    <definedName name="BaseI4">#REF!</definedName>
    <definedName name="BasekV1">#REF!</definedName>
    <definedName name="BasekV2">#REF!</definedName>
    <definedName name="BasekV3">#REF!</definedName>
    <definedName name="BasekV4">#REF!</definedName>
    <definedName name="BaseMVA">#REF!</definedName>
    <definedName name="Basepopulation">#REF!</definedName>
    <definedName name="Batching_hot_mix_plant">#REF!</definedName>
    <definedName name="BATCHING_PLANT">#REF!</definedName>
    <definedName name="bb" localSheetId="3">#REF!</definedName>
    <definedName name="bb">#REF!</definedName>
    <definedName name="BB_1" localSheetId="3">#REF!</definedName>
    <definedName name="BB_1">#REF!</definedName>
    <definedName name="BB_10" localSheetId="3">#REF!</definedName>
    <definedName name="BB_10">#REF!</definedName>
    <definedName name="BB_11">#REF!</definedName>
    <definedName name="bb_16">#REF!</definedName>
    <definedName name="BB_17">#REF!</definedName>
    <definedName name="BB_2">#REF!</definedName>
    <definedName name="BB_6">#REF!</definedName>
    <definedName name="BB_8">#REF!</definedName>
    <definedName name="BBB" localSheetId="3" hidden="1">{#N/A,#N/A,FALSE,"CCTV"}</definedName>
    <definedName name="BBB" hidden="1">{#N/A,#N/A,FALSE,"CCTV"}</definedName>
    <definedName name="BBBB">#REF!</definedName>
    <definedName name="BBoiler">#REF!</definedName>
    <definedName name="Bc" localSheetId="3">#REF!</definedName>
    <definedName name="Bc">#REF!</definedName>
    <definedName name="BCC_E1_JJ">#REF!</definedName>
    <definedName name="BCDKH" localSheetId="3">#REF!</definedName>
    <definedName name="BCDKH">#REF!</definedName>
    <definedName name="BCDSCKC" localSheetId="3">#REF!</definedName>
    <definedName name="BCDSCKC">#REF!</definedName>
    <definedName name="BCDSCKN" localSheetId="3">#REF!</definedName>
    <definedName name="BCDSCKN">#REF!</definedName>
    <definedName name="BCDSDNC">#REF!</definedName>
    <definedName name="BCDSDNN">#REF!</definedName>
    <definedName name="bcv">#REF!</definedName>
    <definedName name="bd">#REF!</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dht15nc">#REF!</definedName>
    <definedName name="bdht15vl">#REF!</definedName>
    <definedName name="bdht25nc">#REF!</definedName>
    <definedName name="bdht25vl">#REF!</definedName>
    <definedName name="bdht325nc">#REF!</definedName>
    <definedName name="bdht325vl">#REF!</definedName>
    <definedName name="BDSBDJHSADHSGBAD">#REF!</definedName>
    <definedName name="Beams" localSheetId="3">#REF!</definedName>
    <definedName name="Beams">#REF!</definedName>
    <definedName name="Beg_Bal" localSheetId="3">#REF!</definedName>
    <definedName name="Beg_Bal">#REF!</definedName>
    <definedName name="Beldar" localSheetId="3">#REF!</definedName>
    <definedName name="Beldar">#REF!</definedName>
    <definedName name="Bellupvc89" localSheetId="3">#REF!</definedName>
    <definedName name="Bellupvc89">#REF!</definedName>
    <definedName name="BENDERS" localSheetId="3">#REF!</definedName>
    <definedName name="BENDERS">#REF!</definedName>
    <definedName name="BENDS_45°_ASTM_A74_HUB_TYPE_CAST_IRON_SOIL_FITTINGS__BELL_AND_SPIGOT">"data"</definedName>
    <definedName name="beta" localSheetId="3">#REF!</definedName>
    <definedName name="beta">#REF!</definedName>
    <definedName name="beta1" localSheetId="3">#REF!</definedName>
    <definedName name="beta1">#REF!</definedName>
    <definedName name="beta11" localSheetId="3">#REF!</definedName>
    <definedName name="beta11">#REF!</definedName>
    <definedName name="beta12">#REF!</definedName>
    <definedName name="beta2">#REF!</definedName>
    <definedName name="Bf">#REF!</definedName>
    <definedName name="bfa">#REF!</definedName>
    <definedName name="bfbfdhfdhdfgh" localSheetId="3" hidden="1">{#N/A,#N/A,FALSE,"CCTV"}</definedName>
    <definedName name="bfbfdhfdhdfgh" hidden="1">{#N/A,#N/A,FALSE,"CCTV"}</definedName>
    <definedName name="bfdnp">#REF!</definedName>
    <definedName name="bgcharge">#REF!</definedName>
    <definedName name="BGrP" localSheetId="3">#REF!</definedName>
    <definedName name="BGrP">#REF!</definedName>
    <definedName name="Bhh" localSheetId="3">#REF!</definedName>
    <definedName name="Bhh">#REF!</definedName>
    <definedName name="bhistee" localSheetId="3">#REF!</definedName>
    <definedName name="bhistee">#REF!</definedName>
    <definedName name="Bhisti" localSheetId="3">#REF!</definedName>
    <definedName name="Bhisti">#REF!</definedName>
    <definedName name="bhjvjcg" localSheetId="3">#REF!</definedName>
    <definedName name="bhjvjcg">#REF!</definedName>
    <definedName name="bhv" localSheetId="3">#REF!</definedName>
    <definedName name="bhv">#REF!</definedName>
    <definedName name="Bhw" localSheetId="3">#REF!</definedName>
    <definedName name="Bhw">#REF!</definedName>
    <definedName name="BI" localSheetId="3">#REF!</definedName>
    <definedName name="BI">#REF!</definedName>
    <definedName name="Bid_Curr">#REF!</definedName>
    <definedName name="Bidder_Quote_Ref_No" localSheetId="3">#REF!</definedName>
    <definedName name="Bidder_Quote_Ref_No">#REF!</definedName>
    <definedName name="bih" localSheetId="3">#REF!</definedName>
    <definedName name="bih">#REF!</definedName>
    <definedName name="BILL" localSheetId="3">#REF!</definedName>
    <definedName name="BILL">#REF!</definedName>
    <definedName name="BILL___0" localSheetId="3">#REF!</definedName>
    <definedName name="BILL___0">#REF!</definedName>
    <definedName name="BILL___0___0">"$#REF!.$#REF!$#REF!:$#REF!$#REF!"</definedName>
    <definedName name="BILL___0___3">"$#REF!.$#REF!$#REF!:$#REF!$#REF!"</definedName>
    <definedName name="BILL___0___4">"$#REF!.$#REF!$#REF!:$#REF!$#REF!"</definedName>
    <definedName name="BILL___0_1">#REF!</definedName>
    <definedName name="BILL___0_10">#REF!</definedName>
    <definedName name="BILL___0_11">#REF!</definedName>
    <definedName name="BILL___0_16">#REF!</definedName>
    <definedName name="BILL___0_17">#REF!</definedName>
    <definedName name="BILL___0_8">#REF!</definedName>
    <definedName name="BILL___2">#REF!</definedName>
    <definedName name="BILL___2___0">"$#REF!.$#REF!$#REF!:$#REF!$#REF!"</definedName>
    <definedName name="BILL___2___3">"$#REF!.$#REF!$#REF!:$#REF!$#REF!"</definedName>
    <definedName name="BILL___2_1">#REF!</definedName>
    <definedName name="BILL___2_10">#REF!</definedName>
    <definedName name="BILL___2_11">#REF!</definedName>
    <definedName name="BILL___2_16">#REF!</definedName>
    <definedName name="BILL___2_17">#REF!</definedName>
    <definedName name="BILL___2_8">#REF!</definedName>
    <definedName name="BILL___3">#REF!</definedName>
    <definedName name="BILL___3___0">"$#REF!.$#REF!$#REF!:$#REF!$#REF!"</definedName>
    <definedName name="BILL___3___3">"$#REF!.$#REF!$#REF!:$#REF!$#REF!"</definedName>
    <definedName name="BILL___3___4">"$#REF!.$#REF!$#REF!:$#REF!$#REF!"</definedName>
    <definedName name="BILL___3_1">#REF!</definedName>
    <definedName name="BILL___3_10">#REF!</definedName>
    <definedName name="BILL___3_11">#REF!</definedName>
    <definedName name="BILL___3_16">#REF!</definedName>
    <definedName name="BILL___3_17">#REF!</definedName>
    <definedName name="BILL___3_8">#REF!</definedName>
    <definedName name="BILL___4">#REF!</definedName>
    <definedName name="BILL___4___0">"$#REF!.$#REF!$#REF!:$#REF!$#REF!"</definedName>
    <definedName name="BILL___4___3">"$#REF!.$#REF!$#REF!:$#REF!$#REF!"</definedName>
    <definedName name="BILL___4_1">#REF!</definedName>
    <definedName name="BILL___4_10">#REF!</definedName>
    <definedName name="BILL___4_11">#REF!</definedName>
    <definedName name="BILL___4_16">#REF!</definedName>
    <definedName name="BILL___4_17">#REF!</definedName>
    <definedName name="BILL___4_8">#REF!</definedName>
    <definedName name="BILL___7">"$#REF!.$#REF!$#REF!:$#REF!$#REF!"</definedName>
    <definedName name="BILL_1">#REF!</definedName>
    <definedName name="BILL_10">#REF!</definedName>
    <definedName name="BILL_11">#REF!</definedName>
    <definedName name="BILL_12">#REF!</definedName>
    <definedName name="BILL_16">#REF!</definedName>
    <definedName name="BILL_17">#REF!</definedName>
    <definedName name="BILL_2">"$#REF!.$#REF!$#REF!:$#REF!$#REF!"</definedName>
    <definedName name="BILL_3">#REF!</definedName>
    <definedName name="BILL_4">#REF!</definedName>
    <definedName name="BILL_5">#REF!</definedName>
    <definedName name="BILL_6">#REF!</definedName>
    <definedName name="BILL_7">#REF!</definedName>
    <definedName name="BILL_8">#REF!</definedName>
    <definedName name="BILL_9">#REF!</definedName>
    <definedName name="billingcollectionexpense">#REF!</definedName>
    <definedName name="BIN" localSheetId="3">#REF!</definedName>
    <definedName name="BIN">#REF!</definedName>
    <definedName name="BIN_1" localSheetId="3">#REF!</definedName>
    <definedName name="BIN_1">#REF!</definedName>
    <definedName name="BIN_16" localSheetId="3">#REF!</definedName>
    <definedName name="BIN_16">#REF!</definedName>
    <definedName name="BIN_2">#REF!</definedName>
    <definedName name="Binding_wire">#REF!</definedName>
    <definedName name="bit6070m" localSheetId="3">#REF!</definedName>
    <definedName name="bit6070m">#REF!</definedName>
    <definedName name="bitumen" localSheetId="3">#REF!</definedName>
    <definedName name="bitumen">#REF!</definedName>
    <definedName name="BITUMEN__70_80" localSheetId="3">#REF!</definedName>
    <definedName name="BITUMEN__70_80">#REF!</definedName>
    <definedName name="BITUMEN__SUSPENSION" localSheetId="3">#REF!</definedName>
    <definedName name="BITUMEN__SUSPENSION">#REF!</definedName>
    <definedName name="BITUMEN_SPRAYER">#REF!</definedName>
    <definedName name="bitumen6070" localSheetId="3">#REF!</definedName>
    <definedName name="bitumen6070">#REF!</definedName>
    <definedName name="bitumen80_100" localSheetId="3">#REF!</definedName>
    <definedName name="bitumen80_100">#REF!</definedName>
    <definedName name="bitumenboiler">#REF!</definedName>
    <definedName name="bitumenemul" localSheetId="3">#REF!</definedName>
    <definedName name="bitumenemul">#REF!</definedName>
    <definedName name="BKDTKHTD">#REF!</definedName>
    <definedName name="BKDTTIEN">#REF!</definedName>
    <definedName name="bl" localSheetId="3">#REF!</definedName>
    <definedName name="bl">#REF!</definedName>
    <definedName name="BLACK_SMITH" localSheetId="3">#REF!</definedName>
    <definedName name="BLACK_SMITH">#REF!</definedName>
    <definedName name="Black_Smith_1">#REF!</definedName>
    <definedName name="Blacksmith" localSheetId="3">#REF!</definedName>
    <definedName name="Blacksmith">#REF!</definedName>
    <definedName name="blacksmithhelper" localSheetId="3">#REF!</definedName>
    <definedName name="blacksmithhelper">#REF!</definedName>
    <definedName name="blankline" localSheetId="3">#REF!</definedName>
    <definedName name="blankline">#REF!</definedName>
    <definedName name="blankline_16">#REF!</definedName>
    <definedName name="blaster">#REF!</definedName>
    <definedName name="Bld_Eq">#REF!</definedName>
    <definedName name="BLDG">#REF!</definedName>
    <definedName name="bldgaqscharge">#REF!</definedName>
    <definedName name="blk" localSheetId="3">#REF!</definedName>
    <definedName name="blk">#REF!</definedName>
    <definedName name="BlkS">#REF!</definedName>
    <definedName name="block" localSheetId="3">#REF!</definedName>
    <definedName name="block">#REF!</definedName>
    <definedName name="Blok1" localSheetId="3">#REF!</definedName>
    <definedName name="Blok1">#REF!</definedName>
    <definedName name="Blok2" localSheetId="3">#REF!</definedName>
    <definedName name="Blok2">#REF!</definedName>
    <definedName name="BM" localSheetId="3" hidden="1">{#N/A,#N/A,FALSE,"CCTV"}</definedName>
    <definedName name="BM" hidden="1">{#N/A,#N/A,FALSE,"CCTV"}</definedName>
    <definedName name="bmbtm">#REF!</definedName>
    <definedName name="bmbtma">#REF!</definedName>
    <definedName name="BMK2SWDEND" localSheetId="3">#REF!</definedName>
    <definedName name="BMK2SWDEND">#REF!</definedName>
    <definedName name="BMSFR">#REF!</definedName>
    <definedName name="bm예비용" localSheetId="3" hidden="1">{#N/A,#N/A,FALSE,"CCTV"}</definedName>
    <definedName name="bm예비용" hidden="1">{#N/A,#N/A,FALSE,"CCTV"}</definedName>
    <definedName name="bnd">#REF!</definedName>
    <definedName name="bndwdth">#REF!</definedName>
    <definedName name="BNMH" localSheetId="3" hidden="1">{#N/A,#N/A,FALSE,"CCTV"}</definedName>
    <definedName name="BNMH" hidden="1">{#N/A,#N/A,FALSE,"CCTV"}</definedName>
    <definedName name="bnw">#REF!</definedName>
    <definedName name="BOC">#REF!</definedName>
    <definedName name="BOIED">#REF!</definedName>
    <definedName name="boim">#REF!</definedName>
    <definedName name="bol" localSheetId="3">#REF!</definedName>
    <definedName name="bol">#REF!</definedName>
    <definedName name="BOLT" localSheetId="3">#REF!</definedName>
    <definedName name="BOLT">#REF!</definedName>
    <definedName name="boml" localSheetId="3">#REF!</definedName>
    <definedName name="boml">#REF!</definedName>
    <definedName name="bondstone">#REF!</definedName>
    <definedName name="BOQ" localSheetId="3">#REF!</definedName>
    <definedName name="BOQ">#REF!</definedName>
    <definedName name="borabt" localSheetId="3">#REF!</definedName>
    <definedName name="borabt">#REF!</definedName>
    <definedName name="BORDER" localSheetId="3">#REF!</definedName>
    <definedName name="BORDER">#REF!</definedName>
    <definedName name="bore20to30" localSheetId="3">#REF!</definedName>
    <definedName name="bore20to30">#REF!</definedName>
    <definedName name="BORE30" localSheetId="3">#REF!</definedName>
    <definedName name="BORE30">#REF!</definedName>
    <definedName name="Bored_Pile" localSheetId="3">#REF!</definedName>
    <definedName name="Bored_Pile">#REF!</definedName>
    <definedName name="borlen1" localSheetId="3">#REF!</definedName>
    <definedName name="borlen1">#REF!</definedName>
    <definedName name="borlen2" localSheetId="3">#REF!</definedName>
    <definedName name="borlen2">#REF!</definedName>
    <definedName name="borlen3">#REF!</definedName>
    <definedName name="bose">#REF!</definedName>
    <definedName name="boser">#REF!</definedName>
    <definedName name="BOSS">#REF!</definedName>
    <definedName name="botl">#REF!</definedName>
    <definedName name="botn">#REF!</definedName>
    <definedName name="bottom">#REF!</definedName>
    <definedName name="boulder">#REF!</definedName>
    <definedName name="BOULDERS">#REF!</definedName>
    <definedName name="Box" localSheetId="3" hidden="1">{"Execavation",#N/A,FALSE,"furniture (employer)"}</definedName>
    <definedName name="Box" hidden="1">{"Execavation",#N/A,FALSE,"furniture (employer)"}</definedName>
    <definedName name="Boxvol">#REF!</definedName>
    <definedName name="bp">#REF!</definedName>
    <definedName name="bplant">#REF!</definedName>
    <definedName name="bps" localSheetId="3">#REF!</definedName>
    <definedName name="bps">#REF!</definedName>
    <definedName name="BQ" localSheetId="3">#REF!</definedName>
    <definedName name="BQ">#REF!</definedName>
    <definedName name="BQ_07_12" localSheetId="3">#REF!</definedName>
    <definedName name="BQ_07_12">#REF!</definedName>
    <definedName name="BR_Resou" localSheetId="3">#REF!</definedName>
    <definedName name="BR_Resou">#REF!</definedName>
    <definedName name="brak" localSheetId="3">#REF!</definedName>
    <definedName name="brak">#REF!</definedName>
    <definedName name="BRAKE1">#REF!</definedName>
    <definedName name="BreakPointBsDP" localSheetId="3">#REF!</definedName>
    <definedName name="BreakPointBsDP">#REF!</definedName>
    <definedName name="BreakPointBsDP_1" localSheetId="3">#REF!</definedName>
    <definedName name="BreakPointBsDP_1">#REF!</definedName>
    <definedName name="BreakPointBsDP_17" localSheetId="3">#REF!</definedName>
    <definedName name="BreakPointBsDP_17">#REF!</definedName>
    <definedName name="BreakPointBsDP_2">#REF!</definedName>
    <definedName name="BreakPointBsDP_6">#REF!</definedName>
    <definedName name="BreakPointCiDP">#REF!</definedName>
    <definedName name="BreakPointCiDP_1">#REF!</definedName>
    <definedName name="BreakPointCiDP_17">#REF!</definedName>
    <definedName name="BreakPointCiDP_2">#REF!</definedName>
    <definedName name="BreakPointCiDP_6">#REF!</definedName>
    <definedName name="BreakPointLSDP">#REF!</definedName>
    <definedName name="BreakPointLSDP_1">#REF!</definedName>
    <definedName name="BreakPointLSDP_17">#REF!</definedName>
    <definedName name="BreakPointLSDP_2">#REF!</definedName>
    <definedName name="BreakPointLSDP_6">#REF!</definedName>
    <definedName name="bred">#REF!</definedName>
    <definedName name="brght">#REF!</definedName>
    <definedName name="brglvl">#REF!</definedName>
    <definedName name="Brgname" localSheetId="3">#REF!</definedName>
    <definedName name="Brgname">#REF!</definedName>
    <definedName name="BRICK" localSheetId="3">#REF!</definedName>
    <definedName name="BRICK">#REF!</definedName>
    <definedName name="bricks" localSheetId="3">#REF!</definedName>
    <definedName name="bricks">#REF!</definedName>
    <definedName name="brkld">#REF!</definedName>
    <definedName name="brklde">#REF!</definedName>
    <definedName name="Brname">#REF!</definedName>
    <definedName name="bt">#REF!</definedName>
    <definedName name="bt_9_1_c2">#REF!</definedName>
    <definedName name="bt_9_1_c3">#REF!</definedName>
    <definedName name="bt_9_1_c4">#REF!</definedName>
    <definedName name="bt_9_1_er">#REF!</definedName>
    <definedName name="bt_9_10_c1" localSheetId="3">#REF!</definedName>
    <definedName name="bt_9_10_c1">#REF!</definedName>
    <definedName name="bt_9_10_c2" localSheetId="3">#REF!</definedName>
    <definedName name="bt_9_10_c2">#REF!</definedName>
    <definedName name="bt_9_10_c3" localSheetId="3">#REF!</definedName>
    <definedName name="bt_9_10_c3">#REF!</definedName>
    <definedName name="bt_9_10_c4">#REF!</definedName>
    <definedName name="bt_9_10_er">#REF!</definedName>
    <definedName name="bt_9_11_c1">#REF!</definedName>
    <definedName name="bt_9_11_c2">#REF!</definedName>
    <definedName name="bt_9_11_c3">#REF!</definedName>
    <definedName name="bt_9_11_c4">#REF!</definedName>
    <definedName name="bt_9_11_er">#REF!</definedName>
    <definedName name="bt_9_12_c1">#REF!</definedName>
    <definedName name="bt_9_12_c2">#REF!</definedName>
    <definedName name="bt_9_12_c3">#REF!</definedName>
    <definedName name="bt_9_12_c4">#REF!</definedName>
    <definedName name="bt_9_12_er">#REF!</definedName>
    <definedName name="bt_9_13_c1">#REF!</definedName>
    <definedName name="bt_9_13_c2">#REF!</definedName>
    <definedName name="bt_9_13_c3">#REF!</definedName>
    <definedName name="bt_9_13_c4">#REF!</definedName>
    <definedName name="bt_9_13_er">#REF!</definedName>
    <definedName name="bt_9_14_c1">#REF!</definedName>
    <definedName name="bt_9_14_c2">#REF!</definedName>
    <definedName name="bt_9_14_c3">#REF!</definedName>
    <definedName name="bt_9_14_c4">#REF!</definedName>
    <definedName name="bt_9_14_er">#REF!</definedName>
    <definedName name="bt_9_3_c2">#REF!</definedName>
    <definedName name="bt_9_3_c3">#REF!</definedName>
    <definedName name="bt_9_3_c4">#REF!</definedName>
    <definedName name="bt_9_3_er">#REF!</definedName>
    <definedName name="bt_9_4_c2">#REF!</definedName>
    <definedName name="bt_9_4_c3">#REF!</definedName>
    <definedName name="bt_9_4_c4">#REF!</definedName>
    <definedName name="bt_9_4_er">#REF!</definedName>
    <definedName name="bt_9_6_c1" localSheetId="3">#REF!</definedName>
    <definedName name="bt_9_6_c1">#REF!</definedName>
    <definedName name="bt_9_6_c2" localSheetId="3">#REF!</definedName>
    <definedName name="bt_9_6_c2">#REF!</definedName>
    <definedName name="bt_9_6_c3" localSheetId="3">#REF!</definedName>
    <definedName name="bt_9_6_c3">#REF!</definedName>
    <definedName name="bt_9_6_c4">#REF!</definedName>
    <definedName name="bt_9_6_er">#REF!</definedName>
    <definedName name="bt_9_7_c1">#REF!</definedName>
    <definedName name="bt_9_7_c2">#REF!</definedName>
    <definedName name="bt_9_7_c3">#REF!</definedName>
    <definedName name="bt_9_7_c4">#REF!</definedName>
    <definedName name="bt_9_7_er">#REF!</definedName>
    <definedName name="bt_9_8_c1">#REF!</definedName>
    <definedName name="bt_9_8_c2">#REF!</definedName>
    <definedName name="bt_9_8_c3">#REF!</definedName>
    <definedName name="bt_9_8_c4">#REF!</definedName>
    <definedName name="bt_9_8_er">#REF!</definedName>
    <definedName name="bt_9_9_c1">#REF!</definedName>
    <definedName name="bt_9_9_c2">#REF!</definedName>
    <definedName name="bt_9_9_c3">#REF!</definedName>
    <definedName name="bt_9_9_c4">#REF!</definedName>
    <definedName name="bt_9_9_er">#REF!</definedName>
    <definedName name="btb_musd">#REF!</definedName>
    <definedName name="bua" localSheetId="3">#REF!</definedName>
    <definedName name="bua">#REF!</definedName>
    <definedName name="budget" localSheetId="3">#REF!</definedName>
    <definedName name="budget">#REF!</definedName>
    <definedName name="BUILDER_S__PROFIT__AND__ATTENDANCE" localSheetId="3">#REF!</definedName>
    <definedName name="BUILDER_S__PROFIT__AND__ATTENDANCE">#REF!</definedName>
    <definedName name="building" localSheetId="3">#REF!</definedName>
    <definedName name="building">#REF!</definedName>
    <definedName name="Building_rate">#REF!</definedName>
    <definedName name="Building_rate_C">#REF!</definedName>
    <definedName name="Building_rate2">#REF!</definedName>
    <definedName name="Building_rate3">#REF!</definedName>
    <definedName name="Building_rate4">#REF!</definedName>
    <definedName name="Building_rate5">#REF!</definedName>
    <definedName name="BuiltIn_AutoFilter___1" localSheetId="3">#REF!</definedName>
    <definedName name="BuiltIn_AutoFilter___1">#REF!</definedName>
    <definedName name="BuiltIn_AutoFilter___2" localSheetId="3">#REF!</definedName>
    <definedName name="BuiltIn_AutoFilter___2">#REF!</definedName>
    <definedName name="BuiltIn_AutoFilter___2_1">#REF!</definedName>
    <definedName name="BuiltIn_AutoFilter___3">#REF!</definedName>
    <definedName name="BuiltIn_AutoFilter___5">#REF!</definedName>
    <definedName name="BuiltIn_AutoFilter___6___0">#REF!</definedName>
    <definedName name="BuiltIn_AutoFilter___8">#REF!</definedName>
    <definedName name="BUILTIN_PRINT_A">#REF!</definedName>
    <definedName name="BuiltIn_Print_Area___0">#REF!</definedName>
    <definedName name="BuiltIn_Print_Area___0___0___0___0___0">#REF!</definedName>
    <definedName name="BuiltIn_Print_Area___0___0___0___0___0___0" localSheetId="3">#REF!</definedName>
    <definedName name="BuiltIn_Print_Area___0___0___0___0___0___0">#REF!</definedName>
    <definedName name="BUILTIN_PRINT_T" localSheetId="3">#REF!</definedName>
    <definedName name="BUILTIN_PRINT_T">#REF!</definedName>
    <definedName name="BuiltIn_Print_Titles___0">#N/A</definedName>
    <definedName name="BuiltIn_Print_Titles___0___0">#N/A</definedName>
    <definedName name="BuiltIn_Print_Titles___0___0___0___0" localSheetId="3">#REF!</definedName>
    <definedName name="BuiltIn_Print_Titles___0___0___0___0">#REF!</definedName>
    <definedName name="bulkbitumen" localSheetId="3">#REF!</definedName>
    <definedName name="bulkbitumen">#REF!</definedName>
    <definedName name="buoy" localSheetId="3">#REF!</definedName>
    <definedName name="buoy">#REF!</definedName>
    <definedName name="BUS">#REF!</definedName>
    <definedName name="Bus_bays">#REF!</definedName>
    <definedName name="butterfly" localSheetId="3">#REF!</definedName>
    <definedName name="butterfly">#REF!</definedName>
    <definedName name="Button_3">"vlvlist_vlvlist_List"</definedName>
    <definedName name="bv" localSheetId="3" hidden="1">{"Execavation",#N/A,FALSE,"furniture (employer)"}</definedName>
    <definedName name="bv" hidden="1">{"Execavation",#N/A,FALSE,"furniture (employer)"}</definedName>
    <definedName name="bvc">#REF!</definedName>
    <definedName name="BVN">#REF!</definedName>
    <definedName name="bw" localSheetId="3">#REF!</definedName>
    <definedName name="bw">#REF!</definedName>
    <definedName name="bw4_" localSheetId="3">#REF!</definedName>
    <definedName name="bw4_">#REF!</definedName>
    <definedName name="bw4a" localSheetId="3">#REF!</definedName>
    <definedName name="bw4a">#REF!</definedName>
    <definedName name="bwcg" localSheetId="3">#REF!</definedName>
    <definedName name="bwcg">#REF!</definedName>
    <definedName name="bwire" localSheetId="3">#REF!</definedName>
    <definedName name="bwire">#REF!</definedName>
    <definedName name="bwmc">#REF!</definedName>
    <definedName name="bwms">#REF!</definedName>
    <definedName name="Bx" localSheetId="3">#REF!</definedName>
    <definedName name="Bx">#REF!</definedName>
    <definedName name="C_" localSheetId="3">#REF!</definedName>
    <definedName name="C_">#REF!</definedName>
    <definedName name="C__" localSheetId="3">#REF!</definedName>
    <definedName name="C__">#REF!</definedName>
    <definedName name="c_margin">#REF!</definedName>
    <definedName name="cA" localSheetId="3">#REF!</definedName>
    <definedName name="cA">#REF!</definedName>
    <definedName name="CA_70" localSheetId="3">#REF!</definedName>
    <definedName name="CA_70">#REF!</definedName>
    <definedName name="CABLE">#REF!</definedName>
    <definedName name="CABLE_DATA">#REF!</definedName>
    <definedName name="CABLE_PRICING" localSheetId="3">#REF!</definedName>
    <definedName name="CABLE_PRICING">#REF!</definedName>
    <definedName name="CABLE1" localSheetId="3">#REF!</definedName>
    <definedName name="CABLE1">#REF!</definedName>
    <definedName name="cable2" localSheetId="3">#REF!</definedName>
    <definedName name="cable2">#REF!</definedName>
    <definedName name="cablelomif" localSheetId="3">#REF!</definedName>
    <definedName name="cablelomif">#REF!</definedName>
    <definedName name="cablesize" localSheetId="3">#REF!</definedName>
    <definedName name="cablesize">#REF!</definedName>
    <definedName name="CAD" localSheetId="3">#REF!</definedName>
    <definedName name="CAD">#REF!</definedName>
    <definedName name="camb" localSheetId="3">#REF!</definedName>
    <definedName name="camb">#REF!</definedName>
    <definedName name="Camp_Bldg_M2">#REF!</definedName>
    <definedName name="Camp_Facility_Cost_FC">#REF!</definedName>
    <definedName name="Camp_Facility_Cost_LC">#REF!</definedName>
    <definedName name="Camp_Facility_M2">#REF!</definedName>
    <definedName name="Camp_No_of_person">#REF!</definedName>
    <definedName name="CampRate">#REF!</definedName>
    <definedName name="can1_240fixed">#REF!</definedName>
    <definedName name="can1_240var">#REF!</definedName>
    <definedName name="can1_480fixed">#REF!</definedName>
    <definedName name="can1_480var">#REF!</definedName>
    <definedName name="can1_960fixed">#REF!</definedName>
    <definedName name="can1_960var">#REF!</definedName>
    <definedName name="can1fixed">#REF!</definedName>
    <definedName name="can1fixed_960">#REF!</definedName>
    <definedName name="can1fixed960">#REF!</definedName>
    <definedName name="can1mediacost" localSheetId="3">#REF!</definedName>
    <definedName name="can1mediacost">#REF!</definedName>
    <definedName name="can1var" localSheetId="3">#REF!</definedName>
    <definedName name="can1var">#REF!</definedName>
    <definedName name="can2_240fixed" localSheetId="3">#REF!</definedName>
    <definedName name="can2_240fixed">#REF!</definedName>
    <definedName name="can2_240var">#REF!</definedName>
    <definedName name="can2_480fixed">#REF!</definedName>
    <definedName name="can2_480var">#REF!</definedName>
    <definedName name="can2_960fixed">#REF!</definedName>
    <definedName name="can2_960var">#REF!</definedName>
    <definedName name="can4_240">#REF!</definedName>
    <definedName name="can4_240fixed">#REF!</definedName>
    <definedName name="can4_240var">#REF!</definedName>
    <definedName name="can4_480">#REF!</definedName>
    <definedName name="can4_480fixed">#REF!</definedName>
    <definedName name="can4_480var">#REF!</definedName>
    <definedName name="can4_960">#REF!</definedName>
    <definedName name="can4_960fixed">#REF!</definedName>
    <definedName name="can4_960var">#REF!</definedName>
    <definedName name="can4_power">#REF!</definedName>
    <definedName name="can8_240fixed">#REF!</definedName>
    <definedName name="can8_240var">#REF!</definedName>
    <definedName name="can8_480fixed">#REF!</definedName>
    <definedName name="can8_480var">#REF!</definedName>
    <definedName name="can8_960fixed">#REF!</definedName>
    <definedName name="can8_960var">#REF!</definedName>
    <definedName name="can8_power">#REF!</definedName>
    <definedName name="can8media" localSheetId="3">#REF!</definedName>
    <definedName name="can8media">#REF!</definedName>
    <definedName name="Canal" localSheetId="3">#REF!</definedName>
    <definedName name="Canal">#REF!</definedName>
    <definedName name="Canal_Diversion" localSheetId="3">#REF!</definedName>
    <definedName name="Canal_Diversion">#REF!</definedName>
    <definedName name="canfourmediacost" localSheetId="3">#REF!</definedName>
    <definedName name="canfourmediacost">#REF!</definedName>
    <definedName name="cant" localSheetId="3">#REF!</definedName>
    <definedName name="cant">#REF!</definedName>
    <definedName name="CANT1">#REF!</definedName>
    <definedName name="CANT2">#REF!</definedName>
    <definedName name="cantwomediacost" localSheetId="3">#REF!</definedName>
    <definedName name="cantwomediacost">#REF!</definedName>
    <definedName name="CAP" localSheetId="3">#REF!</definedName>
    <definedName name="CAP">#REF!</definedName>
    <definedName name="Capacity">#REF!</definedName>
    <definedName name="CAPAPR" localSheetId="3">#REF!</definedName>
    <definedName name="CAPAPR">#REF!</definedName>
    <definedName name="CAPAUG" localSheetId="3">#REF!</definedName>
    <definedName name="CAPAUG">#REF!</definedName>
    <definedName name="CAPDAT" localSheetId="3">#REF!</definedName>
    <definedName name="CAPDAT">#REF!</definedName>
    <definedName name="CAPDEC" localSheetId="3">#REF!</definedName>
    <definedName name="CAPDEC">#REF!</definedName>
    <definedName name="Capex_Calculate">#REF!</definedName>
    <definedName name="Capex_Error">#REF!</definedName>
    <definedName name="Capex_Paste">#REF!</definedName>
    <definedName name="capex1a" localSheetId="3">#REF!</definedName>
    <definedName name="capex1a">#REF!</definedName>
    <definedName name="capex1b" localSheetId="3">#REF!</definedName>
    <definedName name="capex1b">#REF!</definedName>
    <definedName name="capex2" localSheetId="3">#REF!</definedName>
    <definedName name="capex2">#REF!</definedName>
    <definedName name="CAPFEB" localSheetId="3">#REF!</definedName>
    <definedName name="CAPFEB">#REF!</definedName>
    <definedName name="CAPJAN" localSheetId="3">#REF!</definedName>
    <definedName name="CAPJAN">#REF!</definedName>
    <definedName name="CAPJUL" localSheetId="3">#REF!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L" localSheetId="3" hidden="1">{#N/A,#N/A,FALSE,"CCTV"}</definedName>
    <definedName name="CARL" hidden="1">{#N/A,#N/A,FALSE,"CCTV"}</definedName>
    <definedName name="CARL1" localSheetId="3" hidden="1">{#N/A,#N/A,FALSE,"CCTV"}</definedName>
    <definedName name="CARL1" hidden="1">{#N/A,#N/A,FALSE,"CCTV"}</definedName>
    <definedName name="CARL2" localSheetId="3" hidden="1">{#N/A,#N/A,FALSE,"CCTV"}</definedName>
    <definedName name="CARL2" hidden="1">{#N/A,#N/A,FALSE,"CCTV"}</definedName>
    <definedName name="carpenter">#REF!</definedName>
    <definedName name="carpenter1">#REF!</definedName>
    <definedName name="carpenter2">#REF!</definedName>
    <definedName name="carpenterI">#REF!</definedName>
    <definedName name="carpenterII">#REF!</definedName>
    <definedName name="CARRIED_TO_GENERAL_SUMMARY">#REF!</definedName>
    <definedName name="cas">#REF!</definedName>
    <definedName name="cascrente">#REF!</definedName>
    <definedName name="cash" localSheetId="3" hidden="1">{"'Sheet1'!$A$4386:$N$4591"}</definedName>
    <definedName name="cash" hidden="1">{"'Sheet1'!$A$4386:$N$4591"}</definedName>
    <definedName name="Cash_Flow_ExtFactor" localSheetId="3">OFFSET(Cash_Flow,0,12,,1)</definedName>
    <definedName name="Cash_Flow_ExtFactor" localSheetId="11">OFFSET(Cash_Flow,0,12,,1)</definedName>
    <definedName name="Cash_Flow_ExtFactor">OFFSET(Cash_Flow,0,12,,1)</definedName>
    <definedName name="Cash_In_kDKK" localSheetId="3">OFFSET(Cash_Flow,0,7,,1)</definedName>
    <definedName name="Cash_In_kDKK" localSheetId="11">OFFSET(Cash_Flow,0,7,,1)</definedName>
    <definedName name="Cash_In_kDKK">OFFSET(Cash_Flow,0,7,,1)</definedName>
    <definedName name="Cash_Out_kDKK" localSheetId="3">OFFSET(Cash_Flow,0,6,,1)</definedName>
    <definedName name="Cash_Out_kDKK" localSheetId="11">OFFSET(Cash_Flow,0,6,,1)</definedName>
    <definedName name="Cash_Out_kDKK">OFFSET(Cash_Flow,0,6,,1)</definedName>
    <definedName name="CashDistributeCalculated">#REF!</definedName>
    <definedName name="CashDistributeError">#REF!</definedName>
    <definedName name="CashDistributePasted">#REF!</definedName>
    <definedName name="CATEG" localSheetId="3">#REF!</definedName>
    <definedName name="CATEG">#REF!</definedName>
    <definedName name="Category" localSheetId="3">#REF!</definedName>
    <definedName name="Category">#REF!</definedName>
    <definedName name="Category_All">#REF!</definedName>
    <definedName name="CATIN">#N/A</definedName>
    <definedName name="CATJYOU">#N/A</definedName>
    <definedName name="CATREC">#N/A</definedName>
    <definedName name="CATSYU">#N/A</definedName>
    <definedName name="Cbot">#REF!</definedName>
    <definedName name="cbwd" localSheetId="3">#REF!</definedName>
    <definedName name="cbwd">#REF!</definedName>
    <definedName name="cbxcpr">#REF!</definedName>
    <definedName name="cc" localSheetId="3">#REF!</definedName>
    <definedName name="cc">#REF!</definedName>
    <definedName name="cc___0" localSheetId="3">#REF!</definedName>
    <definedName name="cc___0">#REF!</definedName>
    <definedName name="cc___0___0">"$#REF!.$#REF!$#REF!"</definedName>
    <definedName name="cc___0___3">"$#REF!.$#REF!$#REF!"</definedName>
    <definedName name="cc___0___4">"$#REF!.$#REF!$#REF!"</definedName>
    <definedName name="cc___0_1">#REF!</definedName>
    <definedName name="cc___0_10">#REF!</definedName>
    <definedName name="cc___0_11">#REF!</definedName>
    <definedName name="cc___0_16">#REF!</definedName>
    <definedName name="cc___0_17">#REF!</definedName>
    <definedName name="cc___0_8">#REF!</definedName>
    <definedName name="cc___2">#REF!</definedName>
    <definedName name="cc___2___0">"$#REF!.$#REF!$#REF!"</definedName>
    <definedName name="cc___2___3">"$#REF!.$#REF!$#REF!"</definedName>
    <definedName name="cc___2_1">#REF!</definedName>
    <definedName name="cc___2_10">#REF!</definedName>
    <definedName name="cc___2_11">#REF!</definedName>
    <definedName name="cc___2_16">#REF!</definedName>
    <definedName name="cc___2_17">#REF!</definedName>
    <definedName name="cc___2_8">#REF!</definedName>
    <definedName name="cc___3">#REF!</definedName>
    <definedName name="cc___3___0">"$#REF!.$#REF!$#REF!"</definedName>
    <definedName name="cc___3___3">"$#REF!.$#REF!$#REF!"</definedName>
    <definedName name="cc___3___4">"$#REF!.$#REF!$#REF!"</definedName>
    <definedName name="cc___3_1">#REF!</definedName>
    <definedName name="cc___3_10">#REF!</definedName>
    <definedName name="cc___3_11">#REF!</definedName>
    <definedName name="cc___3_16">#REF!</definedName>
    <definedName name="cc___3_17">#REF!</definedName>
    <definedName name="cc___3_8">#REF!</definedName>
    <definedName name="cc___4">#REF!</definedName>
    <definedName name="cc___4___0">"$#REF!.$#REF!$#REF!"</definedName>
    <definedName name="cc___4___3">"$#REF!.$#REF!$#REF!"</definedName>
    <definedName name="cc___4_1">#REF!</definedName>
    <definedName name="cc___4_10">#REF!</definedName>
    <definedName name="cc___4_11">#REF!</definedName>
    <definedName name="cc___4_16">#REF!</definedName>
    <definedName name="cc___4_17">#REF!</definedName>
    <definedName name="cc___4_8">#REF!</definedName>
    <definedName name="cc___7">"$#REF!.$#REF!$#REF!"</definedName>
    <definedName name="cc_1">#REF!</definedName>
    <definedName name="cc_10">#REF!</definedName>
    <definedName name="cc_11">#REF!</definedName>
    <definedName name="cc_12">#REF!</definedName>
    <definedName name="cc_16">#REF!</definedName>
    <definedName name="cc_17">#REF!</definedName>
    <definedName name="cc_2">"$#REF!.$#REF!$#REF!"</definedName>
    <definedName name="cc_3">#REF!</definedName>
    <definedName name="cc_4">#REF!</definedName>
    <definedName name="cc_5">#REF!</definedName>
    <definedName name="CC_6">#REF!</definedName>
    <definedName name="cc_7">#REF!</definedName>
    <definedName name="cc_8">#REF!</definedName>
    <definedName name="cc_9">#REF!</definedName>
    <definedName name="ccbeam">#REF!</definedName>
    <definedName name="ccbrg">#REF!</definedName>
    <definedName name="CCC">#REF!</definedName>
    <definedName name="CCC100prcost">#REF!</definedName>
    <definedName name="cccc">#REF!</definedName>
    <definedName name="ccpicw" localSheetId="3">#REF!</definedName>
    <definedName name="ccpicw">#REF!</definedName>
    <definedName name="ccprlgb" localSheetId="3">#REF!</definedName>
    <definedName name="ccprlgb">#REF!</definedName>
    <definedName name="ccprlgt" localSheetId="3">#REF!</definedName>
    <definedName name="ccprlgt">#REF!</definedName>
    <definedName name="CCS" localSheetId="3">#REF!</definedName>
    <definedName name="CCS">#REF!</definedName>
    <definedName name="ccspan" localSheetId="3">#REF!</definedName>
    <definedName name="ccspan">#REF!</definedName>
    <definedName name="ccspanb" localSheetId="3">#REF!</definedName>
    <definedName name="ccspanb">#REF!</definedName>
    <definedName name="ccspanbx">#REF!</definedName>
    <definedName name="ccspanx">#REF!</definedName>
    <definedName name="ccspl" localSheetId="3">#REF!</definedName>
    <definedName name="ccspl">#REF!</definedName>
    <definedName name="ccsplt" localSheetId="3">#REF!</definedName>
    <definedName name="ccsplt">#REF!</definedName>
    <definedName name="ccvcv" localSheetId="3">#REF!</definedName>
    <definedName name="ccvcv">#REF!</definedName>
    <definedName name="Cd" localSheetId="3">#REF!</definedName>
    <definedName name="Cd">#REF!</definedName>
    <definedName name="CDD" localSheetId="3">#REF!</definedName>
    <definedName name="CDD">#REF!</definedName>
    <definedName name="CDDD" localSheetId="3">#REF!</definedName>
    <definedName name="CDDD">#REF!</definedName>
    <definedName name="cddd1p">#REF!</definedName>
    <definedName name="cddd3p">#REF!</definedName>
    <definedName name="cdds" localSheetId="3">#REF!</definedName>
    <definedName name="cdds">#REF!</definedName>
    <definedName name="Cdi" localSheetId="3">#REF!</definedName>
    <definedName name="Cdi">#REF!</definedName>
    <definedName name="CDISC" localSheetId="3">#REF!</definedName>
    <definedName name="CDISC">#REF!</definedName>
    <definedName name="cdu" localSheetId="3" hidden="1">{#N/A,#N/A,FALSE,"COVER.XLS";#N/A,#N/A,FALSE,"RACT1.XLS";#N/A,#N/A,FALSE,"RACT2.XLS";#N/A,#N/A,FALSE,"ECCMP";#N/A,#N/A,FALSE,"WELDER.XLS"}</definedName>
    <definedName name="cdu" hidden="1">{#N/A,#N/A,FALSE,"COVER.XLS";#N/A,#N/A,FALSE,"RACT1.XLS";#N/A,#N/A,FALSE,"RACT2.XLS";#N/A,#N/A,FALSE,"ECCMP";#N/A,#N/A,FALSE,"WELDER.XLS"}</definedName>
    <definedName name="cdv" localSheetId="3">#REF!</definedName>
    <definedName name="cdv">#REF!</definedName>
    <definedName name="ce" localSheetId="3">#REF!</definedName>
    <definedName name="ce">#REF!</definedName>
    <definedName name="CEILING__FINISHES" localSheetId="3">#REF!</definedName>
    <definedName name="CEILING__FINISHES">#REF!</definedName>
    <definedName name="CeilingFinishes" localSheetId="3">#REF!</definedName>
    <definedName name="CeilingFinishes">#REF!</definedName>
    <definedName name="cellper" localSheetId="3">#REF!</definedName>
    <definedName name="cellper">#REF!</definedName>
    <definedName name="Cellulargrowthrate" localSheetId="3">#REF!</definedName>
    <definedName name="Cellulargrowthrate">#REF!</definedName>
    <definedName name="CellularsubscriberperE1" localSheetId="3">#REF!</definedName>
    <definedName name="CellularsubscriberperE1">#REF!</definedName>
    <definedName name="cellularsubscribers" localSheetId="3">#REF!</definedName>
    <definedName name="cellularsubscribers">#REF!</definedName>
    <definedName name="cement">#REF!</definedName>
    <definedName name="cement_mortar" localSheetId="3">#REF!</definedName>
    <definedName name="cement_mortar">#REF!</definedName>
    <definedName name="central" localSheetId="3">#REF!</definedName>
    <definedName name="central">#REF!</definedName>
    <definedName name="cf" localSheetId="3">#REF!</definedName>
    <definedName name="cf">#REF!</definedName>
    <definedName name="cf_musd" localSheetId="3">#REF!</definedName>
    <definedName name="cf_musd">#REF!</definedName>
    <definedName name="cfv" localSheetId="3">#REF!</definedName>
    <definedName name="cfv">#REF!</definedName>
    <definedName name="cg" localSheetId="3">#REF!</definedName>
    <definedName name="cg">#REF!</definedName>
    <definedName name="cgab" localSheetId="3">#REF!</definedName>
    <definedName name="cgab">#REF!</definedName>
    <definedName name="cgabn">#REF!</definedName>
    <definedName name="cgconc">#REF!</definedName>
    <definedName name="cgconca">#REF!</definedName>
    <definedName name="cgfcf">#REF!</definedName>
    <definedName name="cgionc">#REF!</definedName>
    <definedName name="cgiovl">#REF!</definedName>
    <definedName name="Cgrade">#REF!</definedName>
    <definedName name="cgsidl">#REF!</definedName>
    <definedName name="cgstl" localSheetId="3">#REF!</definedName>
    <definedName name="cgstl">#REF!</definedName>
    <definedName name="cgstlab" localSheetId="3">#REF!</definedName>
    <definedName name="cgstlab">#REF!</definedName>
    <definedName name="CH" localSheetId="3">#REF!</definedName>
    <definedName name="CH">#REF!</definedName>
    <definedName name="cha">"#NAME!()"</definedName>
    <definedName name="cha_7">"#NAME!()"</definedName>
    <definedName name="Charges_of_road_roller">#REF!</definedName>
    <definedName name="CHE">#REF!</definedName>
    <definedName name="check" localSheetId="3">#REF!</definedName>
    <definedName name="check">#REF!</definedName>
    <definedName name="Checked">#REF!</definedName>
    <definedName name="chem">0.6</definedName>
    <definedName name="CHF">#REF!</definedName>
    <definedName name="CHF_INR">#REF!</definedName>
    <definedName name="chhtnc">#REF!</definedName>
    <definedName name="chhtvl">#REF!</definedName>
    <definedName name="chiseler" localSheetId="3">#REF!</definedName>
    <definedName name="chiseler">#REF!</definedName>
    <definedName name="chnc" localSheetId="3">#REF!</definedName>
    <definedName name="chnc">#REF!</definedName>
    <definedName name="Choose_Cable" localSheetId="3">#REF!</definedName>
    <definedName name="Choose_Cable">#REF!</definedName>
    <definedName name="Choose_Currency" localSheetId="3">#REF!</definedName>
    <definedName name="Choose_Currency">#REF!</definedName>
    <definedName name="Choose_Electrical" localSheetId="3">#REF!</definedName>
    <definedName name="Choose_Electrical">#REF!</definedName>
    <definedName name="Choose_Rack">#REF!</definedName>
    <definedName name="Choose_Rack_Ratio">#REF!</definedName>
    <definedName name="Choose_Rack_Table">#REF!</definedName>
    <definedName name="Choose_YesNo">#REF!</definedName>
    <definedName name="chop">ROUND(#REF!*(#REF!+#REF!)/2*#REF!,2)</definedName>
    <definedName name="ChosseCable" localSheetId="3">#REF!</definedName>
    <definedName name="ChosseCable">#REF!</definedName>
    <definedName name="cht" localSheetId="3">#REF!</definedName>
    <definedName name="cht">#REF!</definedName>
    <definedName name="chvl" localSheetId="3">#REF!</definedName>
    <definedName name="chvl">#REF!</definedName>
    <definedName name="chw">0.8</definedName>
    <definedName name="circu1">#REF!</definedName>
    <definedName name="circu2">#REF!</definedName>
    <definedName name="cisco_dscnt">#REF!</definedName>
    <definedName name="citidd">#REF!</definedName>
    <definedName name="Citylist" localSheetId="3">#REF!</definedName>
    <definedName name="Citylist">#REF!</definedName>
    <definedName name="CityName">#REF!</definedName>
    <definedName name="civil" localSheetId="3">#REF!</definedName>
    <definedName name="civil">#REF!</definedName>
    <definedName name="Civil_Eq" localSheetId="3">#REF!</definedName>
    <definedName name="Civil_Eq">#REF!</definedName>
    <definedName name="Civil_Eqt_FC" localSheetId="3">#REF!</definedName>
    <definedName name="Civil_Eqt_FC">#REF!</definedName>
    <definedName name="Civil_Eqt_LC">#REF!</definedName>
    <definedName name="Civil_McxMth">#REF!</definedName>
    <definedName name="Civil_MH">#REF!</definedName>
    <definedName name="Civil_Works___Building_Services_Total_Price">#REF!</definedName>
    <definedName name="CK" localSheetId="3">#REF!</definedName>
    <definedName name="CK">#REF!</definedName>
    <definedName name="cknc" localSheetId="3">#REF!</definedName>
    <definedName name="cknc">#REF!</definedName>
    <definedName name="ckvl" localSheetId="3">#REF!</definedName>
    <definedName name="ckvl">#REF!</definedName>
    <definedName name="CL" localSheetId="3">#REF!</definedName>
    <definedName name="CL">#REF!</definedName>
    <definedName name="Cl.Preforma" localSheetId="3" hidden="1">{"Execavation",#N/A,FALSE,"furniture (employer)"}</definedName>
    <definedName name="Cl.Preforma" hidden="1">{"Execavation",#N/A,FALSE,"furniture (employer)"}</definedName>
    <definedName name="CLAIMB" localSheetId="3" hidden="1">{"Execavation",#N/A,FALSE,"furniture (employer)"}</definedName>
    <definedName name="CLAIMB" hidden="1">{"Execavation",#N/A,FALSE,"furniture (employer)"}</definedName>
    <definedName name="CLAIMSB" localSheetId="3" hidden="1">{"Execavation",#N/A,FALSE,"furniture (employer)"}</definedName>
    <definedName name="CLAIMSB" hidden="1">{"Execavation",#N/A,FALSE,"furniture (employer)"}</definedName>
    <definedName name="CLAIMSL" localSheetId="3" hidden="1">{"Execavation",#N/A,FALSE,"furniture (employer)"}</definedName>
    <definedName name="CLAIMSL" hidden="1">{"Execavation",#N/A,FALSE,"furniture (employer)"}</definedName>
    <definedName name="Class6upvc89">#REF!</definedName>
    <definedName name="Classification">#REF!</definedName>
    <definedName name="Clear_area" localSheetId="3">#REF!,#REF!,#REF!,#REF!,#REF!,#REF!,#REF!,#REF!</definedName>
    <definedName name="Clear_area">#REF!,#REF!,#REF!,#REF!,#REF!,#REF!,#REF!,#REF!</definedName>
    <definedName name="Clear_area___0" localSheetId="3">#REF!</definedName>
    <definedName name="Clear_area___0">#REF!</definedName>
    <definedName name="Clear_area___0___0">"$#REF!.$E$13:$F$15"</definedName>
    <definedName name="Clear_area___0___3">"$#REF!.$E$13:$F$15"</definedName>
    <definedName name="Clear_area___0___4">"$#REF!.$E$13:$F$15"</definedName>
    <definedName name="Clear_area___0_1">#REF!</definedName>
    <definedName name="Clear_area___0_17">#REF!</definedName>
    <definedName name="Clear_area___2">#REF!</definedName>
    <definedName name="Clear_area___2___0">"$#REF!.$E$13:$F$15"</definedName>
    <definedName name="Clear_area___2___3">"$#REF!.$E$13:$F$15"</definedName>
    <definedName name="Clear_area___2_1">#REF!</definedName>
    <definedName name="Clear_area___2_17">#REF!</definedName>
    <definedName name="Clear_area___3">#REF!</definedName>
    <definedName name="Clear_area___3___0">"$#REF!.$E$13:$F$15"</definedName>
    <definedName name="Clear_area___3___3">"$#REF!.$E$13:$F$15"</definedName>
    <definedName name="Clear_area___3___4">"$#REF!.$E$13:$F$15"</definedName>
    <definedName name="Clear_area___3_1">#REF!</definedName>
    <definedName name="Clear_area___3_17">#REF!</definedName>
    <definedName name="Clear_area___4">#REF!</definedName>
    <definedName name="Clear_area___4___0">"$#REF!.$E$13:$F$15"</definedName>
    <definedName name="Clear_area___4___3">"$#REF!.$E$13:$F$15"</definedName>
    <definedName name="Clear_area___4_1">#REF!</definedName>
    <definedName name="Clear_area___4_17">#REF!</definedName>
    <definedName name="Clear_area___7">"$#REF!.$E$13:$F$15;$#REF!.$E$17:$F$23;$#REF!.$E$25:$F$29;$#REF!.$E$32:$F$37;$#REF!.$E$40:$F$52;$#REF!.$E$54:$F$55;$#REF!.$E$57:$F$59;$#REF!.$E$63:$F$64"</definedName>
    <definedName name="Clear_area_1">(#REF!,#REF!,#REF!,#REF!,#REF!,#REF!,#REF!,#REF!)</definedName>
    <definedName name="Clear_area_12">(#REF!,#REF!,#REF!,#REF!,#REF!,#REF!,#REF!,#REF!)</definedName>
    <definedName name="Clear_area_17">(#REF!,#REF!,#REF!,#REF!,#REF!,#REF!,#REF!,#REF!)</definedName>
    <definedName name="Clear_area_2">"$#REF!.$E$13:$F$15"</definedName>
    <definedName name="Clear_area_3">(#REF!,#REF!,#REF!,#REF!,#REF!,#REF!,#REF!,#REF!)</definedName>
    <definedName name="Clear_area_4">(#REF!,#REF!,#REF!,#REF!,#REF!,#REF!,#REF!,#REF!)</definedName>
    <definedName name="Clear_area_5">(#REF!,#REF!,#REF!,#REF!,#REF!,#REF!,#REF!,#REF!)</definedName>
    <definedName name="Clear_area_6">(#REF!,#REF!,#REF!,#REF!,#REF!,#REF!,#REF!,#REF!)</definedName>
    <definedName name="Clear_area_7">(#REF!,#REF!,#REF!,#REF!,#REF!,#REF!,#REF!,#REF!)</definedName>
    <definedName name="Clear_area_9">(#REF!,#REF!,#REF!,#REF!,#REF!,#REF!,#REF!,#REF!)</definedName>
    <definedName name="clech">#REF!</definedName>
    <definedName name="clem" localSheetId="3">#REF!</definedName>
    <definedName name="clem">#REF!</definedName>
    <definedName name="clength" localSheetId="3">#REF!</definedName>
    <definedName name="clength">#REF!</definedName>
    <definedName name="clgr" localSheetId="3">#REF!</definedName>
    <definedName name="clgr">#REF!</definedName>
    <definedName name="clgrm" localSheetId="3">#REF!</definedName>
    <definedName name="clgrm">#REF!</definedName>
    <definedName name="CLIENT">#REF!</definedName>
    <definedName name="CLL" localSheetId="3" hidden="1">{"Execavation",#N/A,FALSE,"furniture (employer)"}</definedName>
    <definedName name="CLL" hidden="1">{"Execavation",#N/A,FALSE,"furniture (employer)"}</definedName>
    <definedName name="CLM" localSheetId="3" hidden="1">{"Execavation",#N/A,FALSE,"furniture (employer)"}</definedName>
    <definedName name="CLM" hidden="1">{"Execavation",#N/A,FALSE,"furniture (employer)"}</definedName>
    <definedName name="Clt_score">#REF!</definedName>
    <definedName name="clvc1">#REF!</definedName>
    <definedName name="CLVC3">0.1</definedName>
    <definedName name="CLVCTB">#REF!</definedName>
    <definedName name="cmain">#REF!</definedName>
    <definedName name="cmixer">#REF!</definedName>
    <definedName name="cmort3">#REF!</definedName>
    <definedName name="cn1_240">#REF!</definedName>
    <definedName name="cn1_480">#REF!</definedName>
    <definedName name="cn1_960">#REF!</definedName>
    <definedName name="cn1_power">#REF!</definedName>
    <definedName name="cn1fixed960">#REF!</definedName>
    <definedName name="cn2_240">#REF!</definedName>
    <definedName name="cn2_480">#REF!</definedName>
    <definedName name="cn2_960">#REF!</definedName>
    <definedName name="cn2_power">#REF!</definedName>
    <definedName name="cn3_960">#REF!</definedName>
    <definedName name="CN3p">#REF!</definedName>
    <definedName name="cn4_960">#REF!</definedName>
    <definedName name="Cnm" localSheetId="3">#REF!</definedName>
    <definedName name="Cnm">#REF!</definedName>
    <definedName name="CNTL_VALVE_PRICE" localSheetId="3">#REF!</definedName>
    <definedName name="CNTL_VALVE_PRICE">#REF!</definedName>
    <definedName name="CNY" localSheetId="3">#REF!</definedName>
    <definedName name="CNY">#REF!</definedName>
    <definedName name="CO">#REF!</definedName>
    <definedName name="CO_">#REF!</definedName>
    <definedName name="COA_10">#REF!</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rsesand">470</definedName>
    <definedName name="COAT">#REF!</definedName>
    <definedName name="cobar">#REF!</definedName>
    <definedName name="coc" localSheetId="3">#REF!</definedName>
    <definedName name="coc">#REF!</definedName>
    <definedName name="cocnlen1" localSheetId="3">#REF!</definedName>
    <definedName name="cocnlen1">#REF!</definedName>
    <definedName name="CODE" localSheetId="3">#REF!</definedName>
    <definedName name="CODE">#REF!</definedName>
    <definedName name="coefh">#REF!</definedName>
    <definedName name="COEFTRAN">#REF!</definedName>
    <definedName name="coefv">#REF!</definedName>
    <definedName name="Cöï_ly_vaän_chuyeãn">#REF!</definedName>
    <definedName name="CÖÏ_LY_VAÄN_CHUYEÅN">#REF!</definedName>
    <definedName name="Col_Sched">#REF!</definedName>
    <definedName name="coleccab">#REF!</definedName>
    <definedName name="collection">#REF!</definedName>
    <definedName name="Collie">#REF!</definedName>
    <definedName name="COLLSTATUS" localSheetId="3">#REF!</definedName>
    <definedName name="COLLSTATUS">#REF!</definedName>
    <definedName name="collstatuspage1" localSheetId="3">#REF!</definedName>
    <definedName name="collstatuspage1">#REF!</definedName>
    <definedName name="collstatuspage2" localSheetId="3">#REF!</definedName>
    <definedName name="collstatuspage2">#REF!</definedName>
    <definedName name="column">#REF!</definedName>
    <definedName name="COM" localSheetId="3">#REF!</definedName>
    <definedName name="COM">#REF!</definedName>
    <definedName name="Com_Per" localSheetId="3">#REF!</definedName>
    <definedName name="Com_Per">#REF!</definedName>
    <definedName name="comdc" localSheetId="3">#REF!</definedName>
    <definedName name="comdc">#REF!</definedName>
    <definedName name="comdca">#REF!</definedName>
    <definedName name="comdg">#REF!</definedName>
    <definedName name="comdga">#REF!</definedName>
    <definedName name="ComExpatriatePercentage">#REF!</definedName>
    <definedName name="ComHour">#REF!</definedName>
    <definedName name="ComHVEPercentage">#REF!</definedName>
    <definedName name="ComLocalPercentage">#REF!</definedName>
    <definedName name="comm">#REF!</definedName>
    <definedName name="COMMERC">#REF!</definedName>
    <definedName name="comminfracost">#REF!</definedName>
    <definedName name="Common" localSheetId="3">#REF!</definedName>
    <definedName name="Common">#REF!</definedName>
    <definedName name="Common_Eqt_FC" localSheetId="3">#REF!</definedName>
    <definedName name="Common_Eqt_FC">#REF!</definedName>
    <definedName name="Common_Eqt_LC" localSheetId="3">#REF!</definedName>
    <definedName name="Common_Eqt_LC">#REF!</definedName>
    <definedName name="Common_McxMth">#REF!</definedName>
    <definedName name="COMMONx">#REF!</definedName>
    <definedName name="COMP">#REF!</definedName>
    <definedName name="comp_10">#REF!</definedName>
    <definedName name="comp_11">#REF!</definedName>
    <definedName name="comp_16">#REF!</definedName>
    <definedName name="comp_8">#REF!</definedName>
    <definedName name="Comp_ME">#REF!</definedName>
    <definedName name="compactor">#REF!</definedName>
    <definedName name="company">#REF!</definedName>
    <definedName name="Company_Name">#REF!</definedName>
    <definedName name="Comperiod">#REF!</definedName>
    <definedName name="compiercircu" localSheetId="3">#REF!</definedName>
    <definedName name="compiercircu">#REF!</definedName>
    <definedName name="compierstri" localSheetId="3">#REF!</definedName>
    <definedName name="compierstri">#REF!</definedName>
    <definedName name="compiersufare" localSheetId="3">#REF!</definedName>
    <definedName name="compiersufare">#REF!</definedName>
    <definedName name="compiertopare">#REF!</definedName>
    <definedName name="compiervol">#REF!</definedName>
    <definedName name="COMPLETE">#REF!</definedName>
    <definedName name="Complex">#REF!</definedName>
    <definedName name="compressor">#REF!</definedName>
    <definedName name="COMPRESSOR____450_CFM">#REF!</definedName>
    <definedName name="ComRateMonth" localSheetId="3">#REF!</definedName>
    <definedName name="ComRateMonth">#REF!</definedName>
    <definedName name="conc" localSheetId="3">#REF!</definedName>
    <definedName name="conc">#REF!</definedName>
    <definedName name="conc11" localSheetId="3">#REF!</definedName>
    <definedName name="conc11">#REF!</definedName>
    <definedName name="conc2">#REF!</definedName>
    <definedName name="concab">#REF!</definedName>
    <definedName name="concabn">#REF!</definedName>
    <definedName name="concabt">#REF!</definedName>
    <definedName name="Concession_Period">#REF!</definedName>
    <definedName name="conclen3" localSheetId="3">#REF!</definedName>
    <definedName name="conclen3">#REF!</definedName>
    <definedName name="concpav" localSheetId="3">#REF!</definedName>
    <definedName name="concpav">#REF!</definedName>
    <definedName name="concretepump" localSheetId="3">#REF!</definedName>
    <definedName name="concretepump">#REF!</definedName>
    <definedName name="cond" localSheetId="3">chw</definedName>
    <definedName name="cond">chw</definedName>
    <definedName name="COND_PRICING" localSheetId="3">#REF!</definedName>
    <definedName name="COND_PRICING">#REF!</definedName>
    <definedName name="condition">#N/A</definedName>
    <definedName name="Condition_Error">#REF!</definedName>
    <definedName name="conduits" localSheetId="3">#REF!</definedName>
    <definedName name="conduits">#REF!</definedName>
    <definedName name="cong1x15" localSheetId="3">#REF!</definedName>
    <definedName name="cong1x15">#REF!</definedName>
    <definedName name="Cons_equip" localSheetId="3" hidden="1">{"'장비'!$A$3:$M$12"}</definedName>
    <definedName name="Cons_equip" hidden="1">{"'장비'!$A$3:$M$12"}</definedName>
    <definedName name="Cons_Ratio">#REF!</definedName>
    <definedName name="ConstEqt_Cost_002FC">#REF!</definedName>
    <definedName name="ConstEqt_Cost_002LC">#REF!</definedName>
    <definedName name="CONSUM">#REF!</definedName>
    <definedName name="CONT">#REF!</definedName>
    <definedName name="contract_per_year2">#REF!</definedName>
    <definedName name="contract_per_year3">#REF!</definedName>
    <definedName name="contract_per_year4">#REF!</definedName>
    <definedName name="contract_per_year5">#REF!</definedName>
    <definedName name="contract_price">#REF!</definedName>
    <definedName name="contract_price_C">#REF!</definedName>
    <definedName name="contract_price2">#REF!</definedName>
    <definedName name="contract_price3">#REF!</definedName>
    <definedName name="contract_price4">#REF!</definedName>
    <definedName name="contract_price5">#REF!</definedName>
    <definedName name="contracts_per_year">#REF!</definedName>
    <definedName name="contracts_per_year_C">#REF!</definedName>
    <definedName name="ControlesMesures_ALARME_fin">#REF!</definedName>
    <definedName name="ControlesMesures_CENTRA_fin">#REF!</definedName>
    <definedName name="ControlesMesures_COMPTA_fin">#REF!</definedName>
    <definedName name="ControlesMesures_CONTRO_fin">#REF!</definedName>
    <definedName name="ControlesMesures_DIVERS_fin">#REF!</definedName>
    <definedName name="ControlesMesures_INDICA_fin">#REF!</definedName>
    <definedName name="ControlesMesures_RELAIS_fin">#REF!</definedName>
    <definedName name="ControlesMesures_TOLERI_fin">#REF!</definedName>
    <definedName name="ControlesMesures_TRANSD_fin">#REF!</definedName>
    <definedName name="controlV">#REF!</definedName>
    <definedName name="Conv">#REF!</definedName>
    <definedName name="converions_ratio5">#REF!</definedName>
    <definedName name="conversion_ratio">#REF!</definedName>
    <definedName name="conversion_ratio_C">#REF!</definedName>
    <definedName name="conversion_ratio2">#REF!</definedName>
    <definedName name="conversion_ratio3">#REF!</definedName>
    <definedName name="conversion_ratio4">#REF!</definedName>
    <definedName name="coo">#REF!</definedName>
    <definedName name="coo_14">#REF!</definedName>
    <definedName name="COOLING_TOWER_PUMP_5" localSheetId="3">#REF!</definedName>
    <definedName name="COOLING_TOWER_PUMP_5">#REF!</definedName>
    <definedName name="copperplate" localSheetId="3">#REF!</definedName>
    <definedName name="copperplate">#REF!</definedName>
    <definedName name="copy" localSheetId="3">#REF!</definedName>
    <definedName name="copy">#REF!</definedName>
    <definedName name="copy_this">#REF!</definedName>
    <definedName name="corptax">#REF!</definedName>
    <definedName name="cost" localSheetId="3">BOQ_G!cost</definedName>
    <definedName name="cost">BOQ_G!cost</definedName>
    <definedName name="Cost_for_10_Hp_Hr." localSheetId="3">#REF!</definedName>
    <definedName name="Cost_for_10_Hp_Hr.">#REF!</definedName>
    <definedName name="Cost_of_debt">#REF!</definedName>
    <definedName name="Cost_of_debt_C">#REF!</definedName>
    <definedName name="Cost_of_debt2">#REF!</definedName>
    <definedName name="Cost_of_debt3">#REF!</definedName>
    <definedName name="Cost_of_debt4">#REF!</definedName>
    <definedName name="Cost_of_debt5">#REF!</definedName>
    <definedName name="Cost_of_diesel">#REF!</definedName>
    <definedName name="Cost_of_water_including_filling_the_tanker">#REF!</definedName>
    <definedName name="Cost_Temp.Equip" localSheetId="3">#REF!</definedName>
    <definedName name="Cost_Temp.Equip">#REF!</definedName>
    <definedName name="cost1" localSheetId="3">BOQ_G!cost1</definedName>
    <definedName name="cost1">BOQ_G!cost1</definedName>
    <definedName name="Cot_thep">#REF!</definedName>
    <definedName name="country" localSheetId="3">#REF!</definedName>
    <definedName name="country">#REF!</definedName>
    <definedName name="Coupling89" localSheetId="3">#REF!</definedName>
    <definedName name="Coupling89">#REF!</definedName>
    <definedName name="cov">#REF!</definedName>
    <definedName name="cover" localSheetId="3">#REF!</definedName>
    <definedName name="cover">#REF!</definedName>
    <definedName name="Cover_blocks" localSheetId="3">#REF!</definedName>
    <definedName name="Cover_blocks">#REF!</definedName>
    <definedName name="COVER_SHEET" localSheetId="3">#REF!</definedName>
    <definedName name="COVER_SHEET">#REF!</definedName>
    <definedName name="COVER1" localSheetId="3">#REF!</definedName>
    <definedName name="COVER1">#REF!</definedName>
    <definedName name="coverab" localSheetId="3">#REF!</definedName>
    <definedName name="coverab">#REF!</definedName>
    <definedName name="coversheet">#REF!</definedName>
    <definedName name="cp">#REF!</definedName>
    <definedName name="cpdpvol">#REF!</definedName>
    <definedName name="CPI">#REF!</definedName>
    <definedName name="CPI_2">#REF!</definedName>
    <definedName name="CPI_3">#REF!</definedName>
    <definedName name="CPI_4">#REF!</definedName>
    <definedName name="CPI_5">#REF!</definedName>
    <definedName name="CPI_C">#REF!</definedName>
    <definedName name="cpierends">#REF!</definedName>
    <definedName name="CPLG">#REF!</definedName>
    <definedName name="CPM">#REF!</definedName>
    <definedName name="CPVC">#REF!</definedName>
    <definedName name="CPVC100" localSheetId="3">#REF!</definedName>
    <definedName name="CPVC100">#REF!</definedName>
    <definedName name="CPVC1KM">#REF!</definedName>
    <definedName name="CPVCDN">#REF!</definedName>
    <definedName name="cr">#REF!</definedName>
    <definedName name="crane" localSheetId="3">#REF!</definedName>
    <definedName name="crane">#REF!</definedName>
    <definedName name="CRAR" localSheetId="3">#REF!</definedName>
    <definedName name="CRAR">#REF!</definedName>
    <definedName name="crashbarrier" localSheetId="3">#REF!</definedName>
    <definedName name="crashbarrier">#REF!</definedName>
    <definedName name="crc" localSheetId="3">#REF!</definedName>
    <definedName name="crc">#REF!</definedName>
    <definedName name="CRD" localSheetId="3">#REF!</definedName>
    <definedName name="CRD">#REF!</definedName>
    <definedName name="crdst" localSheetId="3">#REF!</definedName>
    <definedName name="crdst">#REF!</definedName>
    <definedName name="Creditor_days">#REF!</definedName>
    <definedName name="Creditor_days_C">#REF!</definedName>
    <definedName name="Creditor_days2">#REF!</definedName>
    <definedName name="Creditor_days3">#REF!</definedName>
    <definedName name="Creditor_days4">#REF!</definedName>
    <definedName name="Creditor_days5">#REF!</definedName>
    <definedName name="Creditors">#REF!</definedName>
    <definedName name="creep28">#REF!</definedName>
    <definedName name="creep56">#REF!</definedName>
    <definedName name="creep7">#REF!</definedName>
    <definedName name="creepinf">#REF!</definedName>
    <definedName name="CRIT" localSheetId="3"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_xlnm.Criteria">#REF!</definedName>
    <definedName name="CRITICAL" localSheetId="3"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lbc" localSheetId="3">#REF!</definedName>
    <definedName name="crlbc">#REF!</definedName>
    <definedName name="crmb60m" localSheetId="3">#REF!</definedName>
    <definedName name="crmb60m">#REF!</definedName>
    <definedName name="CRS" localSheetId="3">#REF!</definedName>
    <definedName name="CRS">#REF!</definedName>
    <definedName name="crsobpl">#REF!</definedName>
    <definedName name="crush_s" localSheetId="3">#REF!</definedName>
    <definedName name="crush_s">#REF!</definedName>
    <definedName name="cs" localSheetId="3">#REF!</definedName>
    <definedName name="cs">#REF!</definedName>
    <definedName name="CS_10" localSheetId="3">#REF!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nd">#REF!</definedName>
    <definedName name="csand1">#REF!</definedName>
    <definedName name="csd3p" localSheetId="3">#REF!</definedName>
    <definedName name="csd3p">#REF!</definedName>
    <definedName name="csddg1p" localSheetId="3">#REF!</definedName>
    <definedName name="csddg1p">#REF!</definedName>
    <definedName name="csddt1p" localSheetId="3">#REF!</definedName>
    <definedName name="csddt1p">#REF!</definedName>
    <definedName name="csht3p">#REF!</definedName>
    <definedName name="csid">#REF!</definedName>
    <definedName name="cspan">#REF!</definedName>
    <definedName name="CST" localSheetId="3">#REF!</definedName>
    <definedName name="CST">#REF!</definedName>
    <definedName name="Cst_score">#REF!</definedName>
    <definedName name="ct" localSheetId="3">#REF!</definedName>
    <definedName name="ct">#REF!</definedName>
    <definedName name="cth" localSheetId="3">#REF!</definedName>
    <definedName name="cth">#REF!</definedName>
    <definedName name="cti3x15" localSheetId="3">#REF!</definedName>
    <definedName name="cti3x15">#REF!</definedName>
    <definedName name="Cu">#REF!</definedName>
    <definedName name="culy1">#REF!</definedName>
    <definedName name="culy2">#REF!</definedName>
    <definedName name="culy3">#REF!</definedName>
    <definedName name="culy4">#REF!</definedName>
    <definedName name="culy5">#REF!</definedName>
    <definedName name="cuoc">#REF!</definedName>
    <definedName name="CUP_PUP">#REF!</definedName>
    <definedName name="curex" localSheetId="3">#REF!</definedName>
    <definedName name="curex">#REF!</definedName>
    <definedName name="Curing_Compund" localSheetId="3">#REF!</definedName>
    <definedName name="Curing_Compund">#REF!</definedName>
    <definedName name="Curr" localSheetId="3">#REF!</definedName>
    <definedName name="Curr">#REF!</definedName>
    <definedName name="CURRENCY">#N/A</definedName>
    <definedName name="CurrencyFactor">#REF!</definedName>
    <definedName name="CurrencyFactor_1">#REF!</definedName>
    <definedName name="CurrencyFactor_17">#REF!</definedName>
    <definedName name="CurrencyFactor_2">#REF!</definedName>
    <definedName name="CurrencyFactor_6">#REF!</definedName>
    <definedName name="Currentplugcost">#REF!</definedName>
    <definedName name="CURVE" localSheetId="3" hidden="1">{#N/A,#N/A,FALSE,"COVER1.XLS ";#N/A,#N/A,FALSE,"RACT1.XLS";#N/A,#N/A,FALSE,"RACT2.XLS";#N/A,#N/A,FALSE,"ECCMP";#N/A,#N/A,FALSE,"WELDER.XLS"}</definedName>
    <definedName name="CURVE" hidden="1">{#N/A,#N/A,FALSE,"COVER1.XLS ";#N/A,#N/A,FALSE,"RACT1.XLS";#N/A,#N/A,FALSE,"RACT2.XLS";#N/A,#N/A,FALSE,"ECCMP";#N/A,#N/A,FALSE,"WELDER.XLS"}</definedName>
    <definedName name="cutback">#REF!</definedName>
    <definedName name="cutoffwall">#REF!</definedName>
    <definedName name="cv">#REF!</definedName>
    <definedName name="CV_1" localSheetId="3">#REF!</definedName>
    <definedName name="CV_1">#REF!</definedName>
    <definedName name="CV_11" localSheetId="3">#REF!</definedName>
    <definedName name="CV_11">#REF!</definedName>
    <definedName name="CV_12" localSheetId="3">#REF!</definedName>
    <definedName name="CV_12">#REF!</definedName>
    <definedName name="CV_13">#REF!</definedName>
    <definedName name="CV_14">#REF!</definedName>
    <definedName name="CV_15">#REF!</definedName>
    <definedName name="CV_16">#REF!</definedName>
    <definedName name="CV_17">#REF!</definedName>
    <definedName name="CV_18">#REF!</definedName>
    <definedName name="CV_19">#REF!</definedName>
    <definedName name="CV_20">#REF!</definedName>
    <definedName name="CV_30">#REF!</definedName>
    <definedName name="CV_40">#REF!</definedName>
    <definedName name="CV_50">#REF!</definedName>
    <definedName name="CV_60">#REF!</definedName>
    <definedName name="CV_70">#REF!</definedName>
    <definedName name="CV_80">#REF!</definedName>
    <definedName name="cwwd">#REF!</definedName>
    <definedName name="CWx">#REF!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y" localSheetId="3">#REF!</definedName>
    <definedName name="Cy">#REF!</definedName>
    <definedName name="D" localSheetId="3">#REF!</definedName>
    <definedName name="D">#REF!</definedName>
    <definedName name="d._Staging_to_keep_deflactometer___hire_charges_of_deflectometer" localSheetId="3">#REF!</definedName>
    <definedName name="d._Staging_to_keep_deflactometer___hire_charges_of_deflectometer">#REF!</definedName>
    <definedName name="d.1" localSheetId="3">#REF!</definedName>
    <definedName name="d.1">#REF!</definedName>
    <definedName name="d.2">#REF!</definedName>
    <definedName name="d.3">#REF!</definedName>
    <definedName name="D_" localSheetId="3">#REF!</definedName>
    <definedName name="D_">#REF!</definedName>
    <definedName name="d___0" localSheetId="3">#REF!</definedName>
    <definedName name="d___0">#REF!</definedName>
    <definedName name="d___0___0">"$#REF!.$#REF!$#REF!"</definedName>
    <definedName name="d___0___3">"$#REF!.$#REF!$#REF!"</definedName>
    <definedName name="d___0___4">"$#REF!.$#REF!$#REF!"</definedName>
    <definedName name="d___0_1">#REF!</definedName>
    <definedName name="d___0_10">#REF!</definedName>
    <definedName name="d___0_11">#REF!</definedName>
    <definedName name="d___0_16">#REF!</definedName>
    <definedName name="d___0_17">#REF!</definedName>
    <definedName name="d___0_8">#REF!</definedName>
    <definedName name="d___2">#REF!</definedName>
    <definedName name="d___2___0">"$#REF!.$#REF!$#REF!"</definedName>
    <definedName name="d___2___3">"$#REF!.$#REF!$#REF!"</definedName>
    <definedName name="d___2_1">#REF!</definedName>
    <definedName name="d___2_10">#REF!</definedName>
    <definedName name="d___2_11">#REF!</definedName>
    <definedName name="d___2_16">#REF!</definedName>
    <definedName name="d___2_17">#REF!</definedName>
    <definedName name="d___2_8">#REF!</definedName>
    <definedName name="d___3">#REF!</definedName>
    <definedName name="d___3___0">"$#REF!.$#REF!$#REF!"</definedName>
    <definedName name="d___3___3">"$#REF!.$#REF!$#REF!"</definedName>
    <definedName name="d___3___4">"$#REF!.$#REF!$#REF!"</definedName>
    <definedName name="d___3_1">#REF!</definedName>
    <definedName name="d___3_10">#REF!</definedName>
    <definedName name="d___3_11">#REF!</definedName>
    <definedName name="d___3_16">#REF!</definedName>
    <definedName name="d___3_17">#REF!</definedName>
    <definedName name="d___3_8">#REF!</definedName>
    <definedName name="d___4">#REF!</definedName>
    <definedName name="d___4___0">"$#REF!.$#REF!$#REF!"</definedName>
    <definedName name="d___4___3">"$#REF!.$#REF!$#REF!"</definedName>
    <definedName name="d___4_1">#REF!</definedName>
    <definedName name="d___4_10">#REF!</definedName>
    <definedName name="d___4_11">#REF!</definedName>
    <definedName name="d___4_16">#REF!</definedName>
    <definedName name="d___4_17">#REF!</definedName>
    <definedName name="d___4_8">#REF!</definedName>
    <definedName name="d___7">"$#REF!.$#REF!$#REF!"</definedName>
    <definedName name="d_1">#REF!</definedName>
    <definedName name="d_10">#REF!</definedName>
    <definedName name="d_11">#REF!</definedName>
    <definedName name="d_12">#REF!</definedName>
    <definedName name="d_16">#REF!</definedName>
    <definedName name="d_17">#REF!</definedName>
    <definedName name="d_2">"$#REF!.$#REF!$#REF!"</definedName>
    <definedName name="d_20">#REF!</definedName>
    <definedName name="d_25">#REF!</definedName>
    <definedName name="d_28">#REF!</definedName>
    <definedName name="d_3">#REF!</definedName>
    <definedName name="d_32">#REF!</definedName>
    <definedName name="d_4">#REF!</definedName>
    <definedName name="d_5">#REF!</definedName>
    <definedName name="D_6">#REF!</definedName>
    <definedName name="d_7">#REF!</definedName>
    <definedName name="d_8">#REF!</definedName>
    <definedName name="d_9">#REF!</definedName>
    <definedName name="d_jp" localSheetId="3" hidden="1">{"'Sheet1'!$A$4386:$N$4591"}</definedName>
    <definedName name="d_jp" hidden="1">{"'Sheet1'!$A$4386:$N$4591"}</definedName>
    <definedName name="D1x49">#REF!</definedName>
    <definedName name="D1x49x49">#REF!</definedName>
    <definedName name="d24nc">#REF!</definedName>
    <definedName name="d24vl">#REF!</definedName>
    <definedName name="D65536A1" localSheetId="3">#REF!</definedName>
    <definedName name="D65536A1">#REF!</definedName>
    <definedName name="D8Data" localSheetId="3">#REF!</definedName>
    <definedName name="D8Data">#REF!</definedName>
    <definedName name="DAADDADFDFFFDAFDFDSAFDFDSFDS" localSheetId="3" hidden="1">{#N/A,#N/A,FALSE,"CCTV"}</definedName>
    <definedName name="DAADDADFDFFFDAFDFDSAFDFDSFDS" hidden="1">{#N/A,#N/A,FALSE,"CCTV"}</definedName>
    <definedName name="Dadooing_with_Glazed_design_tiles__with_C_M_1_3_mi">#REF!</definedName>
    <definedName name="Dampers">#REF!</definedName>
    <definedName name="DANHMUCVN">#REF!</definedName>
    <definedName name="DASA">#REF!</definedName>
    <definedName name="DASAFD" hidden="1">#REF!</definedName>
    <definedName name="dasd" localSheetId="3" hidden="1">{"'Bill No. 7'!$A$1:$G$32"}</definedName>
    <definedName name="dasd" hidden="1">{"'Bill No. 7'!$A$1:$G$32"}</definedName>
    <definedName name="DASDAD">#REF!</definedName>
    <definedName name="DASDSAD" localSheetId="3">#REF!</definedName>
    <definedName name="DASDSAD">#REF!</definedName>
    <definedName name="dasfsafd" localSheetId="3">City&amp;" "&amp;State</definedName>
    <definedName name="dasfsafd" localSheetId="11">City&amp;" "&amp;State</definedName>
    <definedName name="dasfsafd">City&amp;" "&amp;State</definedName>
    <definedName name="data" localSheetId="3">#REF!</definedName>
    <definedName name="data">#REF!</definedName>
    <definedName name="data_tab" localSheetId="3">#REF!</definedName>
    <definedName name="data_tab">#REF!</definedName>
    <definedName name="DATA0" localSheetId="3">#REF!</definedName>
    <definedName name="DATA0">#REF!</definedName>
    <definedName name="DATA1" localSheetId="3">#REF!</definedName>
    <definedName name="DATA1">#REF!</definedName>
    <definedName name="DATA10" localSheetId="3">#REF!</definedName>
    <definedName name="DATA10">#REF!</definedName>
    <definedName name="DATA100" localSheetId="3">#REF!</definedName>
    <definedName name="DATA100">#REF!</definedName>
    <definedName name="DATA1011" localSheetId="3">#REF!</definedName>
    <definedName name="DATA1011">#REF!</definedName>
    <definedName name="DATA1012" localSheetId="3">#REF!</definedName>
    <definedName name="DATA1012">#REF!</definedName>
    <definedName name="DATA1013" localSheetId="3">#REF!</definedName>
    <definedName name="DATA1013">#REF!</definedName>
    <definedName name="DATA1014" localSheetId="3">#REF!</definedName>
    <definedName name="DATA1014">#REF!</definedName>
    <definedName name="DATA1015" localSheetId="3">#REF!</definedName>
    <definedName name="DATA1015">#REF!</definedName>
    <definedName name="DATA102" localSheetId="3">#REF!</definedName>
    <definedName name="DATA102">#REF!</definedName>
    <definedName name="DATA103" localSheetId="3">#REF!</definedName>
    <definedName name="DATA103">#REF!</definedName>
    <definedName name="DATA104" localSheetId="3">#REF!</definedName>
    <definedName name="DATA104">#REF!</definedName>
    <definedName name="DATA105" localSheetId="3">#REF!</definedName>
    <definedName name="DATA105">#REF!</definedName>
    <definedName name="DATA106" localSheetId="3">#REF!</definedName>
    <definedName name="DATA106">#REF!</definedName>
    <definedName name="DATA107A" localSheetId="3">#REF!</definedName>
    <definedName name="DATA107A">#REF!</definedName>
    <definedName name="DATA107B" localSheetId="3">#REF!</definedName>
    <definedName name="DATA107B">#REF!</definedName>
    <definedName name="DATA107C" localSheetId="3">#REF!</definedName>
    <definedName name="DATA107C">#REF!</definedName>
    <definedName name="DATA107D" localSheetId="3">#REF!</definedName>
    <definedName name="DATA107D">#REF!</definedName>
    <definedName name="DATA107E" localSheetId="3">#REF!</definedName>
    <definedName name="DATA107E">#REF!</definedName>
    <definedName name="DATA107F" localSheetId="3">#REF!</definedName>
    <definedName name="DATA107F">#REF!</definedName>
    <definedName name="DATA107G" localSheetId="3">#REF!</definedName>
    <definedName name="DATA107G">#REF!</definedName>
    <definedName name="DATA108A" localSheetId="3">#REF!</definedName>
    <definedName name="DATA108A">#REF!</definedName>
    <definedName name="DATA108B" localSheetId="3">#REF!</definedName>
    <definedName name="DATA108B">#REF!</definedName>
    <definedName name="DATA108C" localSheetId="3">#REF!</definedName>
    <definedName name="DATA108C">#REF!</definedName>
    <definedName name="DATA108D" localSheetId="3">#REF!</definedName>
    <definedName name="DATA108D">#REF!</definedName>
    <definedName name="DATA108E" localSheetId="3">#REF!</definedName>
    <definedName name="DATA108E">#REF!</definedName>
    <definedName name="DATA108F" localSheetId="3">#REF!</definedName>
    <definedName name="DATA108F">#REF!</definedName>
    <definedName name="DATA108G" localSheetId="3">#REF!</definedName>
    <definedName name="DATA108G">#REF!</definedName>
    <definedName name="DATA108H" localSheetId="3">#REF!</definedName>
    <definedName name="DATA108H">#REF!</definedName>
    <definedName name="DATA108I" localSheetId="3">#REF!</definedName>
    <definedName name="DATA108I">#REF!</definedName>
    <definedName name="DATA108J" localSheetId="3">#REF!</definedName>
    <definedName name="DATA108J">#REF!</definedName>
    <definedName name="DATA108K" localSheetId="3">#REF!</definedName>
    <definedName name="DATA108K">#REF!</definedName>
    <definedName name="DATA108L" localSheetId="3">#REF!</definedName>
    <definedName name="DATA108L">#REF!</definedName>
    <definedName name="DATA108M" localSheetId="3">#REF!</definedName>
    <definedName name="DATA108M">#REF!</definedName>
    <definedName name="DATA108N" localSheetId="3">#REF!</definedName>
    <definedName name="DATA108N">#REF!</definedName>
    <definedName name="DATA108O" localSheetId="3">#REF!</definedName>
    <definedName name="DATA108O">#REF!</definedName>
    <definedName name="DATA108P" localSheetId="3">#REF!</definedName>
    <definedName name="DATA108P">#REF!</definedName>
    <definedName name="DATA109A" localSheetId="3">#REF!</definedName>
    <definedName name="DATA109A">#REF!</definedName>
    <definedName name="DATA109B" localSheetId="3">#REF!</definedName>
    <definedName name="DATA109B">#REF!</definedName>
    <definedName name="DATA109C" localSheetId="3">#REF!</definedName>
    <definedName name="DATA109C">#REF!</definedName>
    <definedName name="DATA109D" localSheetId="3">#REF!</definedName>
    <definedName name="DATA109D">#REF!</definedName>
    <definedName name="DATA109E" localSheetId="3">#REF!</definedName>
    <definedName name="DATA109E">#REF!</definedName>
    <definedName name="DATA109F" localSheetId="3">#REF!</definedName>
    <definedName name="DATA109F">#REF!</definedName>
    <definedName name="DATA109G" localSheetId="3">#REF!</definedName>
    <definedName name="DATA109G">#REF!</definedName>
    <definedName name="DATA109H" localSheetId="3">#REF!</definedName>
    <definedName name="DATA109H">#REF!</definedName>
    <definedName name="DATA109I" localSheetId="3">#REF!</definedName>
    <definedName name="DATA109I">#REF!</definedName>
    <definedName name="DATA109J" localSheetId="3">#REF!</definedName>
    <definedName name="DATA109J">#REF!</definedName>
    <definedName name="DATA109K" localSheetId="3">#REF!</definedName>
    <definedName name="DATA109K">#REF!</definedName>
    <definedName name="DATA109L" localSheetId="3">#REF!</definedName>
    <definedName name="DATA109L">#REF!</definedName>
    <definedName name="DATA109M" localSheetId="3">#REF!</definedName>
    <definedName name="DATA109M">#REF!</definedName>
    <definedName name="DATA109N" localSheetId="3">#REF!</definedName>
    <definedName name="DATA109N">#REF!</definedName>
    <definedName name="DATA109O" localSheetId="3">#REF!</definedName>
    <definedName name="DATA109O">#REF!</definedName>
    <definedName name="DATA109P" localSheetId="3">#REF!</definedName>
    <definedName name="DATA109P">#REF!</definedName>
    <definedName name="DATA11" localSheetId="3">#REF!</definedName>
    <definedName name="DATA11">#REF!</definedName>
    <definedName name="DATA110A" localSheetId="3">#REF!</definedName>
    <definedName name="DATA110A">#REF!</definedName>
    <definedName name="DATA110B" localSheetId="3">#REF!</definedName>
    <definedName name="DATA110B">#REF!</definedName>
    <definedName name="DATA110C" localSheetId="3">#REF!</definedName>
    <definedName name="DATA110C">#REF!</definedName>
    <definedName name="DATA110D" localSheetId="3">#REF!</definedName>
    <definedName name="DATA110D">#REF!</definedName>
    <definedName name="DATA110E" localSheetId="3">#REF!</definedName>
    <definedName name="DATA110E">#REF!</definedName>
    <definedName name="DATA110F" localSheetId="3">#REF!</definedName>
    <definedName name="DATA110F">#REF!</definedName>
    <definedName name="DATA110G" localSheetId="3">#REF!</definedName>
    <definedName name="DATA110G">#REF!</definedName>
    <definedName name="DATA110H" localSheetId="3">#REF!</definedName>
    <definedName name="DATA110H">#REF!</definedName>
    <definedName name="DATA110I" localSheetId="3">#REF!</definedName>
    <definedName name="DATA110I">#REF!</definedName>
    <definedName name="DATA110J" localSheetId="3">#REF!</definedName>
    <definedName name="DATA110J">#REF!</definedName>
    <definedName name="DATA110K" localSheetId="3">#REF!</definedName>
    <definedName name="DATA110K">#REF!</definedName>
    <definedName name="DATA110L" localSheetId="3">#REF!</definedName>
    <definedName name="DATA110L">#REF!</definedName>
    <definedName name="DATA110M" localSheetId="3">#REF!</definedName>
    <definedName name="DATA110M">#REF!</definedName>
    <definedName name="DATA110N" localSheetId="3">#REF!</definedName>
    <definedName name="DATA110N">#REF!</definedName>
    <definedName name="DATA110O" localSheetId="3">#REF!</definedName>
    <definedName name="DATA110O">#REF!</definedName>
    <definedName name="DATA110P" localSheetId="3">#REF!</definedName>
    <definedName name="DATA110P">#REF!</definedName>
    <definedName name="DATA111A" localSheetId="3">#REF!</definedName>
    <definedName name="DATA111A">#REF!</definedName>
    <definedName name="DATA111B" localSheetId="3">#REF!</definedName>
    <definedName name="DATA111B">#REF!</definedName>
    <definedName name="DATA111C" localSheetId="3">#REF!</definedName>
    <definedName name="DATA111C">#REF!</definedName>
    <definedName name="DATA111D" localSheetId="3">#REF!</definedName>
    <definedName name="DATA111D">#REF!</definedName>
    <definedName name="DATA111E" localSheetId="3">#REF!</definedName>
    <definedName name="DATA111E">#REF!</definedName>
    <definedName name="DATA111F" localSheetId="3">#REF!</definedName>
    <definedName name="DATA111F">#REF!</definedName>
    <definedName name="DATA111G" localSheetId="3">#REF!</definedName>
    <definedName name="DATA111G">#REF!</definedName>
    <definedName name="DATA111H" localSheetId="3">#REF!</definedName>
    <definedName name="DATA111H">#REF!</definedName>
    <definedName name="DATA111I" localSheetId="3">#REF!</definedName>
    <definedName name="DATA111I">#REF!</definedName>
    <definedName name="DATA111J" localSheetId="3">#REF!</definedName>
    <definedName name="DATA111J">#REF!</definedName>
    <definedName name="DATA111K" localSheetId="3">#REF!</definedName>
    <definedName name="DATA111K">#REF!</definedName>
    <definedName name="DATA111L" localSheetId="3">#REF!</definedName>
    <definedName name="DATA111L">#REF!</definedName>
    <definedName name="DATA111M" localSheetId="3">#REF!</definedName>
    <definedName name="DATA111M">#REF!</definedName>
    <definedName name="DATA111N" localSheetId="3">#REF!</definedName>
    <definedName name="DATA111N">#REF!</definedName>
    <definedName name="DATA111O" localSheetId="3">#REF!</definedName>
    <definedName name="DATA111O">#REF!</definedName>
    <definedName name="DATA111P" localSheetId="3">#REF!</definedName>
    <definedName name="DATA111P">#REF!</definedName>
    <definedName name="DATA112A" localSheetId="3">#REF!</definedName>
    <definedName name="DATA112A">#REF!</definedName>
    <definedName name="DATA112B" localSheetId="3">#REF!</definedName>
    <definedName name="DATA112B">#REF!</definedName>
    <definedName name="DATA112C" localSheetId="3">#REF!</definedName>
    <definedName name="DATA112C">#REF!</definedName>
    <definedName name="DATA112D" localSheetId="3">#REF!</definedName>
    <definedName name="DATA112D">#REF!</definedName>
    <definedName name="DATA112E" localSheetId="3">#REF!</definedName>
    <definedName name="DATA112E">#REF!</definedName>
    <definedName name="DATA112F" localSheetId="3">#REF!</definedName>
    <definedName name="DATA112F">#REF!</definedName>
    <definedName name="DATA112G" localSheetId="3">#REF!</definedName>
    <definedName name="DATA112G">#REF!</definedName>
    <definedName name="DATA112H" localSheetId="3">#REF!</definedName>
    <definedName name="DATA112H">#REF!</definedName>
    <definedName name="DATA112I" localSheetId="3">#REF!</definedName>
    <definedName name="DATA112I">#REF!</definedName>
    <definedName name="DATA112J" localSheetId="3">#REF!</definedName>
    <definedName name="DATA112J">#REF!</definedName>
    <definedName name="DATA112K" localSheetId="3">#REF!</definedName>
    <definedName name="DATA112K">#REF!</definedName>
    <definedName name="DATA112L" localSheetId="3">#REF!</definedName>
    <definedName name="DATA112L">#REF!</definedName>
    <definedName name="DATA112M" localSheetId="3">#REF!</definedName>
    <definedName name="DATA112M">#REF!</definedName>
    <definedName name="DATA112N" localSheetId="3">#REF!</definedName>
    <definedName name="DATA112N">#REF!</definedName>
    <definedName name="DATA112O" localSheetId="3">#REF!</definedName>
    <definedName name="DATA112O">#REF!</definedName>
    <definedName name="DATA112P" localSheetId="3">#REF!</definedName>
    <definedName name="DATA112P">#REF!</definedName>
    <definedName name="DATA113A" localSheetId="3">#REF!</definedName>
    <definedName name="DATA113A">#REF!</definedName>
    <definedName name="DATA113B" localSheetId="3">#REF!</definedName>
    <definedName name="DATA113B">#REF!</definedName>
    <definedName name="DATA113C" localSheetId="3">#REF!</definedName>
    <definedName name="DATA113C">#REF!</definedName>
    <definedName name="DATA113D" localSheetId="3">#REF!</definedName>
    <definedName name="DATA113D">#REF!</definedName>
    <definedName name="DATA113E" localSheetId="3">#REF!</definedName>
    <definedName name="DATA113E">#REF!</definedName>
    <definedName name="DATA113F" localSheetId="3">#REF!</definedName>
    <definedName name="DATA113F">#REF!</definedName>
    <definedName name="DATA113G" localSheetId="3">#REF!</definedName>
    <definedName name="DATA113G">#REF!</definedName>
    <definedName name="DATA113H" localSheetId="3">#REF!</definedName>
    <definedName name="DATA113H">#REF!</definedName>
    <definedName name="DATA113I" localSheetId="3">#REF!</definedName>
    <definedName name="DATA113I">#REF!</definedName>
    <definedName name="DATA113J" localSheetId="3">#REF!</definedName>
    <definedName name="DATA113J">#REF!</definedName>
    <definedName name="DATA113K" localSheetId="3">#REF!</definedName>
    <definedName name="DATA113K">#REF!</definedName>
    <definedName name="DATA114" localSheetId="3">#REF!</definedName>
    <definedName name="DATA114">#REF!</definedName>
    <definedName name="DATA115" localSheetId="3">#REF!</definedName>
    <definedName name="DATA115">#REF!</definedName>
    <definedName name="DATA116" localSheetId="3">#REF!</definedName>
    <definedName name="DATA116">#REF!</definedName>
    <definedName name="DATA117" localSheetId="3">#REF!</definedName>
    <definedName name="DATA117">#REF!</definedName>
    <definedName name="DATA118" localSheetId="3">#REF!</definedName>
    <definedName name="DATA118">#REF!</definedName>
    <definedName name="DATA119" localSheetId="3">#REF!</definedName>
    <definedName name="DATA119">#REF!</definedName>
    <definedName name="DATA12" localSheetId="3">#REF!</definedName>
    <definedName name="DATA12">#REF!</definedName>
    <definedName name="DATA120" localSheetId="3">#REF!</definedName>
    <definedName name="DATA120">#REF!</definedName>
    <definedName name="DATA121" localSheetId="3">#REF!</definedName>
    <definedName name="DATA121">#REF!</definedName>
    <definedName name="DATA122" localSheetId="3">#REF!</definedName>
    <definedName name="DATA122">#REF!</definedName>
    <definedName name="DATA123" localSheetId="3">#REF!</definedName>
    <definedName name="DATA123">#REF!</definedName>
    <definedName name="DATA124" localSheetId="3">#REF!</definedName>
    <definedName name="DATA124">#REF!</definedName>
    <definedName name="DATA125" localSheetId="3">#REF!</definedName>
    <definedName name="DATA125">#REF!</definedName>
    <definedName name="DATA126" localSheetId="3">#REF!</definedName>
    <definedName name="DATA126">#REF!</definedName>
    <definedName name="DATA127A" localSheetId="3">#REF!</definedName>
    <definedName name="DATA127A">#REF!</definedName>
    <definedName name="DATA127B" localSheetId="3">#REF!</definedName>
    <definedName name="DATA127B">#REF!</definedName>
    <definedName name="DATA127C" localSheetId="3">#REF!</definedName>
    <definedName name="DATA127C">#REF!</definedName>
    <definedName name="DATA127D" localSheetId="3">#REF!</definedName>
    <definedName name="DATA127D">#REF!</definedName>
    <definedName name="DATA127E" localSheetId="3">#REF!</definedName>
    <definedName name="DATA127E">#REF!</definedName>
    <definedName name="DATA127F" localSheetId="3">#REF!</definedName>
    <definedName name="DATA127F">#REF!</definedName>
    <definedName name="DATA127G" localSheetId="3">#REF!</definedName>
    <definedName name="DATA127G">#REF!</definedName>
    <definedName name="DATA127H" localSheetId="3">#REF!</definedName>
    <definedName name="DATA127H">#REF!</definedName>
    <definedName name="DATA127I" localSheetId="3">#REF!</definedName>
    <definedName name="DATA127I">#REF!</definedName>
    <definedName name="DATA127J" localSheetId="3">#REF!</definedName>
    <definedName name="DATA127J">#REF!</definedName>
    <definedName name="DATA128A" localSheetId="3">#REF!</definedName>
    <definedName name="DATA128A">#REF!</definedName>
    <definedName name="DATA128B" localSheetId="3">#REF!</definedName>
    <definedName name="DATA128B">#REF!</definedName>
    <definedName name="DATA128C" localSheetId="3">#REF!</definedName>
    <definedName name="DATA128C">#REF!</definedName>
    <definedName name="DATA128D" localSheetId="3">#REF!</definedName>
    <definedName name="DATA128D">#REF!</definedName>
    <definedName name="DATA128E" localSheetId="3">#REF!</definedName>
    <definedName name="DATA128E">#REF!</definedName>
    <definedName name="DATA128F" localSheetId="3">#REF!</definedName>
    <definedName name="DATA128F">#REF!</definedName>
    <definedName name="DATA128G" localSheetId="3">#REF!</definedName>
    <definedName name="DATA128G">#REF!</definedName>
    <definedName name="DATA129A" localSheetId="3">#REF!</definedName>
    <definedName name="DATA129A">#REF!</definedName>
    <definedName name="DATA129B" localSheetId="3">#REF!</definedName>
    <definedName name="DATA129B">#REF!</definedName>
    <definedName name="DATA129C" localSheetId="3">#REF!</definedName>
    <definedName name="DATA129C">#REF!</definedName>
    <definedName name="DATA129D" localSheetId="3">#REF!</definedName>
    <definedName name="DATA129D">#REF!</definedName>
    <definedName name="DATA13" localSheetId="3">#REF!</definedName>
    <definedName name="DATA13">#REF!</definedName>
    <definedName name="DATA130A" localSheetId="3">#REF!</definedName>
    <definedName name="DATA130A">#REF!</definedName>
    <definedName name="DATA130B" localSheetId="3">#REF!</definedName>
    <definedName name="DATA130B">#REF!</definedName>
    <definedName name="DATA131" localSheetId="3">#REF!</definedName>
    <definedName name="DATA131">#REF!</definedName>
    <definedName name="DATA132" localSheetId="3">#REF!</definedName>
    <definedName name="DATA132">#REF!</definedName>
    <definedName name="DATA133" localSheetId="3">#REF!</definedName>
    <definedName name="DATA133">#REF!</definedName>
    <definedName name="DATA134110" localSheetId="3">#REF!</definedName>
    <definedName name="DATA134110">#REF!</definedName>
    <definedName name="DATA134125" localSheetId="3">#REF!</definedName>
    <definedName name="DATA134125">#REF!</definedName>
    <definedName name="DATA134140" localSheetId="3">#REF!</definedName>
    <definedName name="DATA134140">#REF!</definedName>
    <definedName name="DATA134160">#REF!</definedName>
    <definedName name="DATA134180">#REF!</definedName>
    <definedName name="DATA134200">#REF!</definedName>
    <definedName name="DATA134225">#REF!</definedName>
    <definedName name="DATA134250">#REF!</definedName>
    <definedName name="DATA134280">#REF!</definedName>
    <definedName name="DATA134315">#REF!</definedName>
    <definedName name="DATA134355">#REF!</definedName>
    <definedName name="DATA134400">#REF!</definedName>
    <definedName name="DATA13450">#REF!</definedName>
    <definedName name="DATA13463">#REF!</definedName>
    <definedName name="DATA13475">#REF!</definedName>
    <definedName name="DATA13490">#REF!</definedName>
    <definedName name="DATA135110">#REF!</definedName>
    <definedName name="DATA135125">#REF!</definedName>
    <definedName name="DATA135140">#REF!</definedName>
    <definedName name="DATA135160">#REF!</definedName>
    <definedName name="DATA135180">#REF!</definedName>
    <definedName name="DATA135200">#REF!</definedName>
    <definedName name="DATA135225">#REF!</definedName>
    <definedName name="DATA135250">#REF!</definedName>
    <definedName name="DATA135280">#REF!</definedName>
    <definedName name="DATA135315">#REF!</definedName>
    <definedName name="DATA135355">#REF!</definedName>
    <definedName name="DATA135400">#REF!</definedName>
    <definedName name="DATA13550">#REF!</definedName>
    <definedName name="DATA13563">#REF!</definedName>
    <definedName name="DATA13575">#REF!</definedName>
    <definedName name="DATA13590">#REF!</definedName>
    <definedName name="DATA136A">#REF!</definedName>
    <definedName name="DATA136B">#REF!</definedName>
    <definedName name="DATA136C">#REF!</definedName>
    <definedName name="DATA136D">#REF!</definedName>
    <definedName name="DATA136E">#REF!</definedName>
    <definedName name="DATA136F">#REF!</definedName>
    <definedName name="DATA136G">#REF!</definedName>
    <definedName name="DATA136H">#REF!</definedName>
    <definedName name="DATA136I">#REF!</definedName>
    <definedName name="DATA136J">#REF!</definedName>
    <definedName name="DATA136K">#REF!</definedName>
    <definedName name="DATA136L">#REF!</definedName>
    <definedName name="DATA136M">#REF!</definedName>
    <definedName name="DATA136N">#REF!</definedName>
    <definedName name="DATA136O">#REF!</definedName>
    <definedName name="DATA136P">#REF!</definedName>
    <definedName name="DATA137I">#REF!</definedName>
    <definedName name="DATA137II">#REF!</definedName>
    <definedName name="DATA137III">#REF!</definedName>
    <definedName name="DATA137IV">#REF!</definedName>
    <definedName name="DATA137V">#REF!</definedName>
    <definedName name="DATA138I">#REF!</definedName>
    <definedName name="DATA138II">#REF!</definedName>
    <definedName name="DATA138III">#REF!</definedName>
    <definedName name="DATA138IV">#REF!</definedName>
    <definedName name="DATA138V">#REF!</definedName>
    <definedName name="DATA138VI">#REF!</definedName>
    <definedName name="DATA139IX">#REF!</definedName>
    <definedName name="DATA139V">#REF!</definedName>
    <definedName name="DATA139VI">#REF!</definedName>
    <definedName name="DATA139VII">#REF!</definedName>
    <definedName name="DATA139VIII">#REF!</definedName>
    <definedName name="DATA14" localSheetId="3">#REF!</definedName>
    <definedName name="DATA14">#REF!</definedName>
    <definedName name="DATA140I" localSheetId="3">#REF!</definedName>
    <definedName name="DATA140I">#REF!</definedName>
    <definedName name="DATA140II" localSheetId="3">#REF!</definedName>
    <definedName name="DATA140II">#REF!</definedName>
    <definedName name="DATA140III" localSheetId="3">#REF!</definedName>
    <definedName name="DATA140III">#REF!</definedName>
    <definedName name="DATA140IV">#REF!</definedName>
    <definedName name="DATA140V">#REF!</definedName>
    <definedName name="DATA141I">#REF!</definedName>
    <definedName name="DATA141II">#REF!</definedName>
    <definedName name="DATA141III">#REF!</definedName>
    <definedName name="DATA141IV">#REF!</definedName>
    <definedName name="DATA141V">#REF!</definedName>
    <definedName name="DATA142I">#REF!</definedName>
    <definedName name="DATA142II">#REF!</definedName>
    <definedName name="DATA142III">#REF!</definedName>
    <definedName name="DATA142IV">#REF!</definedName>
    <definedName name="DATA142V">#REF!</definedName>
    <definedName name="DATA143" localSheetId="3">#REF!</definedName>
    <definedName name="DATA143">#REF!</definedName>
    <definedName name="DATA144" localSheetId="3">#REF!</definedName>
    <definedName name="DATA144">#REF!</definedName>
    <definedName name="DATA145" localSheetId="3">#REF!</definedName>
    <definedName name="DATA145">#REF!</definedName>
    <definedName name="DATA146" localSheetId="3">#REF!</definedName>
    <definedName name="DATA146">#REF!</definedName>
    <definedName name="DATA147" localSheetId="3">#REF!</definedName>
    <definedName name="DATA147">#REF!</definedName>
    <definedName name="DATA148" localSheetId="3">#REF!</definedName>
    <definedName name="DATA148">#REF!</definedName>
    <definedName name="DATA149" localSheetId="3">#REF!</definedName>
    <definedName name="DATA149">#REF!</definedName>
    <definedName name="DATA150" localSheetId="3">#REF!</definedName>
    <definedName name="DATA150">#REF!</definedName>
    <definedName name="DATA152" localSheetId="3">#REF!</definedName>
    <definedName name="DATA152">#REF!</definedName>
    <definedName name="DATA153" localSheetId="3">#REF!</definedName>
    <definedName name="DATA153">#REF!</definedName>
    <definedName name="DATA154" localSheetId="3">#REF!</definedName>
    <definedName name="DATA154">#REF!</definedName>
    <definedName name="DATA156" localSheetId="3">#REF!</definedName>
    <definedName name="DATA156">#REF!</definedName>
    <definedName name="DATA157" localSheetId="3">#REF!</definedName>
    <definedName name="DATA157">#REF!</definedName>
    <definedName name="DATA158" localSheetId="3">#REF!</definedName>
    <definedName name="DATA158">#REF!</definedName>
    <definedName name="DATA159A" localSheetId="3">#REF!</definedName>
    <definedName name="DATA159A">#REF!</definedName>
    <definedName name="DATA159B" localSheetId="3">#REF!</definedName>
    <definedName name="DATA159B">#REF!</definedName>
    <definedName name="DATA159C" localSheetId="3">#REF!</definedName>
    <definedName name="DATA159C">#REF!</definedName>
    <definedName name="DATA159D" localSheetId="3">#REF!</definedName>
    <definedName name="DATA159D">#REF!</definedName>
    <definedName name="DATA16" localSheetId="3">#REF!</definedName>
    <definedName name="DATA16">#REF!</definedName>
    <definedName name="DATA160" localSheetId="3">#REF!</definedName>
    <definedName name="DATA160">#REF!</definedName>
    <definedName name="DATA161" localSheetId="3">#REF!</definedName>
    <definedName name="DATA161">#REF!</definedName>
    <definedName name="DATA162" localSheetId="3">#REF!</definedName>
    <definedName name="DATA162">#REF!</definedName>
    <definedName name="DATA163" localSheetId="3">#REF!</definedName>
    <definedName name="DATA163">#REF!</definedName>
    <definedName name="DATA18" localSheetId="3">#REF!</definedName>
    <definedName name="DATA18">#REF!</definedName>
    <definedName name="DATA19" localSheetId="3">#REF!</definedName>
    <definedName name="DATA19">#REF!</definedName>
    <definedName name="DATA2" localSheetId="3">#REF!</definedName>
    <definedName name="DATA2">#REF!</definedName>
    <definedName name="DATA20" localSheetId="3">#REF!</definedName>
    <definedName name="DATA20">#REF!</definedName>
    <definedName name="DATA21" localSheetId="3">#REF!</definedName>
    <definedName name="DATA21">#REF!</definedName>
    <definedName name="DATA22" localSheetId="3">#REF!</definedName>
    <definedName name="DATA22">#REF!</definedName>
    <definedName name="DATA23" localSheetId="3">#REF!</definedName>
    <definedName name="DATA23">#REF!</definedName>
    <definedName name="DATA24" localSheetId="3">#REF!</definedName>
    <definedName name="DATA24">#REF!</definedName>
    <definedName name="DATA26" localSheetId="3">#REF!</definedName>
    <definedName name="DATA26">#REF!</definedName>
    <definedName name="DATA27" localSheetId="3">#REF!</definedName>
    <definedName name="DATA27">#REF!</definedName>
    <definedName name="DATA29" localSheetId="3">#REF!</definedName>
    <definedName name="DATA29">#REF!</definedName>
    <definedName name="DATA3" localSheetId="3">#REF!</definedName>
    <definedName name="DATA3">#REF!</definedName>
    <definedName name="DATA30" localSheetId="3">#REF!</definedName>
    <definedName name="DATA30">#REF!</definedName>
    <definedName name="DATA31" localSheetId="3">#REF!</definedName>
    <definedName name="DATA31">#REF!</definedName>
    <definedName name="DATA32" localSheetId="3">#REF!</definedName>
    <definedName name="DATA32">#REF!</definedName>
    <definedName name="DATA33" localSheetId="3">#REF!</definedName>
    <definedName name="DATA33">#REF!</definedName>
    <definedName name="DATA34" localSheetId="3">#REF!</definedName>
    <definedName name="DATA34">#REF!</definedName>
    <definedName name="DATA35" localSheetId="3">#REF!</definedName>
    <definedName name="DATA35">#REF!</definedName>
    <definedName name="DATA36" localSheetId="3">#REF!</definedName>
    <definedName name="DATA36">#REF!</definedName>
    <definedName name="DATA37" localSheetId="3">#REF!</definedName>
    <definedName name="DATA37">#REF!</definedName>
    <definedName name="DATA38" localSheetId="3">#REF!</definedName>
    <definedName name="DATA38">#REF!</definedName>
    <definedName name="DATA39" localSheetId="3">#REF!</definedName>
    <definedName name="DATA39">#REF!</definedName>
    <definedName name="DATA4" localSheetId="3">#REF!</definedName>
    <definedName name="DATA4">#REF!</definedName>
    <definedName name="DATA40" localSheetId="3">#REF!</definedName>
    <definedName name="DATA40">#REF!</definedName>
    <definedName name="DATA41" localSheetId="3">#REF!</definedName>
    <definedName name="DATA41">#REF!</definedName>
    <definedName name="DATA42" localSheetId="3">#REF!</definedName>
    <definedName name="DATA42">#REF!</definedName>
    <definedName name="DATA43" localSheetId="3">#REF!</definedName>
    <definedName name="DATA43">#REF!</definedName>
    <definedName name="DATA44" localSheetId="3">#REF!</definedName>
    <definedName name="DATA44">#REF!</definedName>
    <definedName name="DATA45" localSheetId="3">#REF!</definedName>
    <definedName name="DATA45">#REF!</definedName>
    <definedName name="DATA46" localSheetId="3">#REF!</definedName>
    <definedName name="DATA46">#REF!</definedName>
    <definedName name="DATA47" localSheetId="3">#REF!</definedName>
    <definedName name="DATA47">#REF!</definedName>
    <definedName name="DATA48" localSheetId="3">#REF!</definedName>
    <definedName name="DATA48">#REF!</definedName>
    <definedName name="DATA49" localSheetId="3">#REF!</definedName>
    <definedName name="DATA49">#REF!</definedName>
    <definedName name="DATA5" localSheetId="3">#REF!</definedName>
    <definedName name="DATA5">#REF!</definedName>
    <definedName name="DATA50" localSheetId="3">#REF!</definedName>
    <definedName name="DATA50">#REF!</definedName>
    <definedName name="DATA51" localSheetId="3">#REF!</definedName>
    <definedName name="DATA51">#REF!</definedName>
    <definedName name="DATA52" localSheetId="3">#REF!</definedName>
    <definedName name="DATA52">#REF!</definedName>
    <definedName name="DATA53" localSheetId="3">#REF!</definedName>
    <definedName name="DATA53">#REF!</definedName>
    <definedName name="DATA54" localSheetId="3">#REF!</definedName>
    <definedName name="DATA54">#REF!</definedName>
    <definedName name="DATA56" localSheetId="3">#REF!</definedName>
    <definedName name="DATA56">#REF!</definedName>
    <definedName name="DATA57" localSheetId="3">#REF!</definedName>
    <definedName name="DATA57">#REF!</definedName>
    <definedName name="DATA58" localSheetId="3">#REF!</definedName>
    <definedName name="DATA58">#REF!</definedName>
    <definedName name="DATA59" localSheetId="3">#REF!</definedName>
    <definedName name="DATA59">#REF!</definedName>
    <definedName name="DATA6" localSheetId="3">#REF!</definedName>
    <definedName name="DATA6">#REF!</definedName>
    <definedName name="DATA60" localSheetId="3">#REF!</definedName>
    <definedName name="DATA60">#REF!</definedName>
    <definedName name="DATA61" localSheetId="3">#REF!</definedName>
    <definedName name="DATA61">#REF!</definedName>
    <definedName name="DATA63" localSheetId="3">#REF!</definedName>
    <definedName name="DATA63">#REF!</definedName>
    <definedName name="DATA64" localSheetId="3">#REF!</definedName>
    <definedName name="DATA64">#REF!</definedName>
    <definedName name="DATA65" localSheetId="3">#REF!</definedName>
    <definedName name="DATA65">#REF!</definedName>
    <definedName name="DATA66" localSheetId="3">#REF!</definedName>
    <definedName name="DATA66">#REF!</definedName>
    <definedName name="DATA67" localSheetId="3">#REF!</definedName>
    <definedName name="DATA67">#REF!</definedName>
    <definedName name="DATA68" localSheetId="3">#REF!</definedName>
    <definedName name="DATA68">#REF!</definedName>
    <definedName name="DATA69" localSheetId="3">#REF!</definedName>
    <definedName name="DATA69">#REF!</definedName>
    <definedName name="DATA7" localSheetId="3">#REF!</definedName>
    <definedName name="DATA7">#REF!</definedName>
    <definedName name="DATA70" localSheetId="3">#REF!</definedName>
    <definedName name="DATA70">#REF!</definedName>
    <definedName name="DATA71" localSheetId="3">#REF!</definedName>
    <definedName name="DATA71">#REF!</definedName>
    <definedName name="DATA72" localSheetId="3">#REF!</definedName>
    <definedName name="DATA72">#REF!</definedName>
    <definedName name="DATA73" localSheetId="3">#REF!</definedName>
    <definedName name="DATA73">#REF!</definedName>
    <definedName name="DATA74" localSheetId="3">#REF!</definedName>
    <definedName name="DATA74">#REF!</definedName>
    <definedName name="DATA76" localSheetId="3">#REF!</definedName>
    <definedName name="DATA76">#REF!</definedName>
    <definedName name="DATA77A" localSheetId="3">#REF!</definedName>
    <definedName name="DATA77A">#REF!</definedName>
    <definedName name="DATA77B" localSheetId="3">#REF!</definedName>
    <definedName name="DATA77B">#REF!</definedName>
    <definedName name="DATA78" localSheetId="3">#REF!</definedName>
    <definedName name="DATA78">#REF!</definedName>
    <definedName name="DATA79A" localSheetId="3">#REF!</definedName>
    <definedName name="DATA79A">#REF!</definedName>
    <definedName name="DATA79B" localSheetId="3">#REF!</definedName>
    <definedName name="DATA79B">#REF!</definedName>
    <definedName name="DATA79C" localSheetId="3">#REF!</definedName>
    <definedName name="DATA79C">#REF!</definedName>
    <definedName name="DATA8" localSheetId="3">#REF!</definedName>
    <definedName name="DATA8">#REF!</definedName>
    <definedName name="DATA80A" localSheetId="3">#REF!</definedName>
    <definedName name="DATA80A">#REF!</definedName>
    <definedName name="DATA80B" localSheetId="3">#REF!</definedName>
    <definedName name="DATA80B">#REF!</definedName>
    <definedName name="DATA80C" localSheetId="3">#REF!</definedName>
    <definedName name="DATA80C">#REF!</definedName>
    <definedName name="DATA81" localSheetId="3">#REF!</definedName>
    <definedName name="DATA81">#REF!</definedName>
    <definedName name="DATA82" localSheetId="3">#REF!</definedName>
    <definedName name="DATA82">#REF!</definedName>
    <definedName name="DATA84" localSheetId="3">#REF!</definedName>
    <definedName name="DATA84">#REF!</definedName>
    <definedName name="DATA85" localSheetId="3">#REF!</definedName>
    <definedName name="DATA85">#REF!</definedName>
    <definedName name="DATA86" localSheetId="3">#REF!</definedName>
    <definedName name="DATA86">#REF!</definedName>
    <definedName name="DATA87" localSheetId="3">#REF!</definedName>
    <definedName name="DATA87">#REF!</definedName>
    <definedName name="DATA88" localSheetId="3">#REF!</definedName>
    <definedName name="DATA88">#REF!</definedName>
    <definedName name="DATA89" localSheetId="3">#REF!</definedName>
    <definedName name="DATA89">#REF!</definedName>
    <definedName name="DATA9" localSheetId="3">#REF!</definedName>
    <definedName name="DATA9">#REF!</definedName>
    <definedName name="DATA90" localSheetId="3">#REF!</definedName>
    <definedName name="DATA90">#REF!</definedName>
    <definedName name="DATA92" localSheetId="3">#REF!</definedName>
    <definedName name="DATA92">#REF!</definedName>
    <definedName name="DATA93" localSheetId="3">#REF!</definedName>
    <definedName name="DATA93">#REF!</definedName>
    <definedName name="DATA94" localSheetId="3">#REF!</definedName>
    <definedName name="DATA94">#REF!</definedName>
    <definedName name="DATA95" localSheetId="3">#REF!</definedName>
    <definedName name="DATA95">#REF!</definedName>
    <definedName name="DATA98" localSheetId="3">#REF!</definedName>
    <definedName name="DATA98">#REF!</definedName>
    <definedName name="DATA99" localSheetId="3">#REF!</definedName>
    <definedName name="DATA99">#REF!</definedName>
    <definedName name="_xlnm.Database" localSheetId="3">#REF!</definedName>
    <definedName name="_xlnm.Database">#REF!</definedName>
    <definedName name="datagrowth" localSheetId="3">#REF!</definedName>
    <definedName name="datagrowth">#REF!</definedName>
    <definedName name="Date">#REF!</definedName>
    <definedName name="Date_of_Data" localSheetId="3">#REF!</definedName>
    <definedName name="Date_of_Data">#REF!</definedName>
    <definedName name="datonators" localSheetId="3">#REF!</definedName>
    <definedName name="datonators">#REF!</definedName>
    <definedName name="daydb" localSheetId="3">#REF!</definedName>
    <definedName name="daydb">#REF!</definedName>
    <definedName name="DaysOfMonth">#REF!</definedName>
    <definedName name="DB_PRICING">#REF!</definedName>
    <definedName name="DBforPlant">#REF!</definedName>
    <definedName name="dc">#REF!</definedName>
    <definedName name="Dcan1">#REF!</definedName>
    <definedName name="Dcan2">#REF!</definedName>
    <definedName name="Dcan3">#REF!</definedName>
    <definedName name="Dcan4">#REF!</definedName>
    <definedName name="dccable1" localSheetId="3">#REF!</definedName>
    <definedName name="dccable1">#REF!</definedName>
    <definedName name="dccables" localSheetId="3">#REF!</definedName>
    <definedName name="dccables">#REF!</definedName>
    <definedName name="dceff" localSheetId="3">#REF!</definedName>
    <definedName name="dceff">#REF!</definedName>
    <definedName name="DCest">#REF!</definedName>
    <definedName name="Dcg">#REF!</definedName>
    <definedName name="dcgeff" localSheetId="3">#REF!</definedName>
    <definedName name="dcgeff">#REF!</definedName>
    <definedName name="dcgeffab" localSheetId="3">#REF!</definedName>
    <definedName name="dcgeffab">#REF!</definedName>
    <definedName name="dcrw" localSheetId="3">#REF!</definedName>
    <definedName name="dcrw">#REF!</definedName>
    <definedName name="DD">#REF!</definedName>
    <definedName name="DD_1">#REF!</definedName>
    <definedName name="DD_10">#REF!</definedName>
    <definedName name="DD_11">#REF!</definedName>
    <definedName name="DD_16">#REF!</definedName>
    <definedName name="DD_2">#REF!</definedName>
    <definedName name="DD_6">#REF!</definedName>
    <definedName name="DD_8">#REF!</definedName>
    <definedName name="dd1pnc">#REF!</definedName>
    <definedName name="dd1pvl">#REF!</definedName>
    <definedName name="dd1x2">#REF!</definedName>
    <definedName name="dd3pctnc">#REF!</definedName>
    <definedName name="dd3pctvl">#REF!</definedName>
    <definedName name="dd3plmvl">#REF!</definedName>
    <definedName name="dd3pnc">#REF!</definedName>
    <definedName name="dd3pvl">#REF!</definedName>
    <definedName name="DDD" localSheetId="3">#REF!</definedName>
    <definedName name="DDD">#REF!</definedName>
    <definedName name="DDDD" localSheetId="3">#REF!</definedName>
    <definedName name="DDDD">#REF!</definedName>
    <definedName name="DDDDD" localSheetId="3" hidden="1">{#N/A,#N/A,FALSE,"CCTV"}</definedName>
    <definedName name="DDDDD" hidden="1">{#N/A,#N/A,FALSE,"CCTV"}</definedName>
    <definedName name="dddddddd">#REF!</definedName>
    <definedName name="DDFD" localSheetId="3" hidden="1">{#N/A,#N/A,FALSE,"CCTV"}</definedName>
    <definedName name="DDFD" hidden="1">{#N/A,#N/A,FALSE,"CCTV"}</definedName>
    <definedName name="ddhtnc">#REF!</definedName>
    <definedName name="ddhtvl">#REF!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 localSheetId="3">#REF!</definedName>
    <definedName name="DE">#REF!</definedName>
    <definedName name="DE_" localSheetId="3">#REF!</definedName>
    <definedName name="DE_">#REF!</definedName>
    <definedName name="Debt_ratio">#REF!</definedName>
    <definedName name="Debt_ratio_C">#REF!</definedName>
    <definedName name="Debt_ratio2">#REF!</definedName>
    <definedName name="Debt_ratio3">#REF!</definedName>
    <definedName name="Debt_ratio4">#REF!</definedName>
    <definedName name="Debt_ratio5">#REF!</definedName>
    <definedName name="Debtor_days">#REF!</definedName>
    <definedName name="Debtor_days_C">#REF!</definedName>
    <definedName name="Debtor_days2">#REF!</definedName>
    <definedName name="Debtor_days3">#REF!</definedName>
    <definedName name="Debtor_days4">#REF!</definedName>
    <definedName name="Debtor_days5">#REF!</definedName>
    <definedName name="DEBTORS" localSheetId="3">#REF!</definedName>
    <definedName name="DEBTORS">#REF!</definedName>
    <definedName name="ded">#REF!</definedName>
    <definedName name="deff">#REF!</definedName>
    <definedName name="deff_">#REF!</definedName>
    <definedName name="del">#REF!</definedName>
    <definedName name="DELAI">#REF!</definedName>
    <definedName name="Dell" localSheetId="3" hidden="1">{#N/A,#N/A,TRUE,"Front";#N/A,#N/A,TRUE,"Simple Letter";#N/A,#N/A,TRUE,"Inside";#N/A,#N/A,TRUE,"Contents";#N/A,#N/A,TRUE,"Basis";#N/A,#N/A,TRUE,"Inclusions";#N/A,#N/A,TRUE,"Exclusions";#N/A,#N/A,TRUE,"Areas";#N/A,#N/A,TRUE,"Summary";#N/A,#N/A,TRUE,"Detail"}</definedName>
    <definedName name="Dell" hidden="1">{#N/A,#N/A,TRUE,"Front";#N/A,#N/A,TRUE,"Simple Letter";#N/A,#N/A,TRUE,"Inside";#N/A,#N/A,TRUE,"Contents";#N/A,#N/A,TRUE,"Basis";#N/A,#N/A,TRUE,"Inclusions";#N/A,#N/A,TRUE,"Exclusions";#N/A,#N/A,TRUE,"Areas";#N/A,#N/A,TRUE,"Summary";#N/A,#N/A,TRUE,"Detail"}</definedName>
    <definedName name="delta" localSheetId="3">#REF!</definedName>
    <definedName name="delta">#REF!</definedName>
    <definedName name="DELTA20" localSheetId="3">#REF!</definedName>
    <definedName name="DELTA20">#REF!</definedName>
    <definedName name="deltak" localSheetId="3">#REF!</definedName>
    <definedName name="deltak">#REF!</definedName>
    <definedName name="deltam">#REF!</definedName>
    <definedName name="Demolishing_lime_concrete_manually_by_mechanical_means_and_disposal_of_material_as_directed">"CPWD 15.1"</definedName>
    <definedName name="DEN">#REF!</definedName>
    <definedName name="dens" localSheetId="3">#REF!</definedName>
    <definedName name="dens">#REF!</definedName>
    <definedName name="Densc" localSheetId="3">#REF!</definedName>
    <definedName name="Densc">#REF!</definedName>
    <definedName name="dep" localSheetId="3">#REF!</definedName>
    <definedName name="dep">#REF!</definedName>
    <definedName name="Depth" localSheetId="3">#REF!</definedName>
    <definedName name="Depth">#REF!</definedName>
    <definedName name="DEPTH1">#REF!</definedName>
    <definedName name="DEPTH2">#REF!</definedName>
    <definedName name="der" localSheetId="3">#REF!</definedName>
    <definedName name="der">#REF!</definedName>
    <definedName name="DES_6.01a">#REF!</definedName>
    <definedName name="DES_6.01b" localSheetId="3">#REF!</definedName>
    <definedName name="DES_6.01b">#REF!</definedName>
    <definedName name="DES_6.01c" localSheetId="3">#REF!</definedName>
    <definedName name="DES_6.01c">#REF!</definedName>
    <definedName name="DES_6.02">#REF!</definedName>
    <definedName name="DES_6.03">#REF!</definedName>
    <definedName name="DES_6.04" localSheetId="3">#REF!</definedName>
    <definedName name="DES_6.04">#REF!</definedName>
    <definedName name="DES_6.05" localSheetId="3">#REF!</definedName>
    <definedName name="DES_6.05">#REF!</definedName>
    <definedName name="DES_6.06a">#REF!</definedName>
    <definedName name="DES_6.06b" localSheetId="3">#REF!</definedName>
    <definedName name="DES_6.06b">#REF!</definedName>
    <definedName name="DES_6.07" localSheetId="3">#REF!</definedName>
    <definedName name="DES_6.07">#REF!</definedName>
    <definedName name="DES_6.08" localSheetId="3">#REF!</definedName>
    <definedName name="DES_6.08">#REF!</definedName>
    <definedName name="DES_6.09">#REF!</definedName>
    <definedName name="DES_6.10">#REF!</definedName>
    <definedName name="DES_6.11" localSheetId="3">#REF!</definedName>
    <definedName name="DES_6.11">#REF!</definedName>
    <definedName name="DES_6.12">#REF!</definedName>
    <definedName name="DES_6.13" localSheetId="3">#REF!</definedName>
    <definedName name="DES_6.13">#REF!</definedName>
    <definedName name="DES_6.14" localSheetId="3">#REF!</definedName>
    <definedName name="DES_6.14">#REF!</definedName>
    <definedName name="DES_6.14a" localSheetId="3">#REF!</definedName>
    <definedName name="DES_6.14a">#REF!</definedName>
    <definedName name="DES_6.14b">#REF!</definedName>
    <definedName name="DES_6.14c">#REF!</definedName>
    <definedName name="DES_6.14d">#REF!</definedName>
    <definedName name="DES_6.14e">#REF!</definedName>
    <definedName name="DES_6.15">#REF!</definedName>
    <definedName name="DES_6.16" localSheetId="3">#REF!</definedName>
    <definedName name="DES_6.16">#REF!</definedName>
    <definedName name="DES_6.17">#REF!</definedName>
    <definedName name="DES_6.18">#REF!</definedName>
    <definedName name="DES_6.19" localSheetId="3">#REF!</definedName>
    <definedName name="DES_6.19">#REF!</definedName>
    <definedName name="DES_6.20">#REF!</definedName>
    <definedName name="DES_6.21">#REF!</definedName>
    <definedName name="DES_6.22" localSheetId="3">#REF!</definedName>
    <definedName name="DES_6.22">#REF!</definedName>
    <definedName name="DES_6.23">#REF!</definedName>
    <definedName name="DES_6.24">#REF!</definedName>
    <definedName name="DES_6.25">#REF!</definedName>
    <definedName name="DES_6.26" localSheetId="3">#REF!</definedName>
    <definedName name="DES_6.26">#REF!</definedName>
    <definedName name="DES_6.27" localSheetId="3">#REF!</definedName>
    <definedName name="DES_6.27">#REF!</definedName>
    <definedName name="DES_6.28" localSheetId="3">#REF!</definedName>
    <definedName name="DES_6.28">#REF!</definedName>
    <definedName name="DES_6.29">#REF!</definedName>
    <definedName name="DESC100">#REF!</definedName>
    <definedName name="DESC101">#REF!</definedName>
    <definedName name="DESC1011">#REF!</definedName>
    <definedName name="DESC1012">#REF!</definedName>
    <definedName name="DESC1013">#REF!</definedName>
    <definedName name="DESC1014">#REF!</definedName>
    <definedName name="DESC1015">#REF!</definedName>
    <definedName name="DESC102">#REF!</definedName>
    <definedName name="DESC103">#REF!</definedName>
    <definedName name="DESC104">#REF!</definedName>
    <definedName name="DESC105">#REF!</definedName>
    <definedName name="DESC106">#REF!</definedName>
    <definedName name="DESC107">#REF!</definedName>
    <definedName name="DESC107A">#REF!</definedName>
    <definedName name="DESC107B">#REF!</definedName>
    <definedName name="DESC107C">#REF!</definedName>
    <definedName name="DESC107D">#REF!</definedName>
    <definedName name="DESC107E">#REF!</definedName>
    <definedName name="DESC107F">#REF!</definedName>
    <definedName name="DESC107G">#REF!</definedName>
    <definedName name="DESC108">#REF!</definedName>
    <definedName name="DESC108A">#REF!</definedName>
    <definedName name="DESC108B">#REF!</definedName>
    <definedName name="DESC108C">#REF!</definedName>
    <definedName name="DESC108D">#REF!</definedName>
    <definedName name="DESC108E">#REF!</definedName>
    <definedName name="DESC108F">#REF!</definedName>
    <definedName name="DESC108G">#REF!</definedName>
    <definedName name="DESC108H">#REF!</definedName>
    <definedName name="DESC108I">#REF!</definedName>
    <definedName name="DESC108J">#REF!</definedName>
    <definedName name="DESC108K">#REF!</definedName>
    <definedName name="DESC108L">#REF!</definedName>
    <definedName name="DESC108M">#REF!</definedName>
    <definedName name="DESC108N">#REF!</definedName>
    <definedName name="DESC108O">#REF!</definedName>
    <definedName name="DESC108P">#REF!</definedName>
    <definedName name="DESC109">#REF!</definedName>
    <definedName name="DESC109A">#REF!</definedName>
    <definedName name="DESC109B">#REF!</definedName>
    <definedName name="DESC109C">#REF!</definedName>
    <definedName name="DESC109D">#REF!</definedName>
    <definedName name="DESC109E">#REF!</definedName>
    <definedName name="DESC109F">#REF!</definedName>
    <definedName name="DESC109G">#REF!</definedName>
    <definedName name="DESC109H">#REF!</definedName>
    <definedName name="DESC109I">#REF!</definedName>
    <definedName name="DESC109J">#REF!</definedName>
    <definedName name="DESC109K">#REF!</definedName>
    <definedName name="DESC109L">#REF!</definedName>
    <definedName name="DESC109M">#REF!</definedName>
    <definedName name="DESC109N">#REF!</definedName>
    <definedName name="DESC109O">#REF!</definedName>
    <definedName name="DESC109P">#REF!</definedName>
    <definedName name="DESC110">#REF!</definedName>
    <definedName name="DESC110A">#REF!</definedName>
    <definedName name="DESC110B">#REF!</definedName>
    <definedName name="DESC110C">#REF!</definedName>
    <definedName name="DESC110D">#REF!</definedName>
    <definedName name="DESC110E">#REF!</definedName>
    <definedName name="DESC110F">#REF!</definedName>
    <definedName name="DESC110G">#REF!</definedName>
    <definedName name="DESC110H">#REF!</definedName>
    <definedName name="DESC110I">#REF!</definedName>
    <definedName name="DESC110J">#REF!</definedName>
    <definedName name="DESC110K">#REF!</definedName>
    <definedName name="DESC110L">#REF!</definedName>
    <definedName name="DESC110M">#REF!</definedName>
    <definedName name="DESC110N">#REF!</definedName>
    <definedName name="DESC110O">#REF!</definedName>
    <definedName name="DESC110P">#REF!</definedName>
    <definedName name="DESC111">#REF!</definedName>
    <definedName name="DESC111A">#REF!</definedName>
    <definedName name="DESC111B">#REF!</definedName>
    <definedName name="DESC111C">#REF!</definedName>
    <definedName name="DESC111D">#REF!</definedName>
    <definedName name="DESC111E">#REF!</definedName>
    <definedName name="DESC111F">#REF!</definedName>
    <definedName name="DESC111G">#REF!</definedName>
    <definedName name="DESC111H">#REF!</definedName>
    <definedName name="DESC111I">#REF!</definedName>
    <definedName name="DESC111J">#REF!</definedName>
    <definedName name="DESC111K">#REF!</definedName>
    <definedName name="DESC111L">#REF!</definedName>
    <definedName name="DESC111M">#REF!</definedName>
    <definedName name="DESC111N">#REF!</definedName>
    <definedName name="DESC111O">#REF!</definedName>
    <definedName name="DESC111P">#REF!</definedName>
    <definedName name="DESC112">#REF!</definedName>
    <definedName name="DESC112A">#REF!</definedName>
    <definedName name="DESC112B">#REF!</definedName>
    <definedName name="DESC112C">#REF!</definedName>
    <definedName name="DESC112D">#REF!</definedName>
    <definedName name="DESC112E">#REF!</definedName>
    <definedName name="DESC112F">#REF!</definedName>
    <definedName name="DESC112G">#REF!</definedName>
    <definedName name="DESC112H">#REF!</definedName>
    <definedName name="DESC112I">#REF!</definedName>
    <definedName name="DESC112J">#REF!</definedName>
    <definedName name="DESC112K">#REF!</definedName>
    <definedName name="DESC112L">#REF!</definedName>
    <definedName name="DESC112M">#REF!</definedName>
    <definedName name="DESC112N">#REF!</definedName>
    <definedName name="DESC112O">#REF!</definedName>
    <definedName name="DESC112P">#REF!</definedName>
    <definedName name="DESC113">#REF!</definedName>
    <definedName name="DESC113A">#REF!</definedName>
    <definedName name="DESC113B">#REF!</definedName>
    <definedName name="DESC113C">#REF!</definedName>
    <definedName name="DESC113D">#REF!</definedName>
    <definedName name="DESC113E">#REF!</definedName>
    <definedName name="DESC113F">#REF!</definedName>
    <definedName name="DESC113G">#REF!</definedName>
    <definedName name="DESC113H">#REF!</definedName>
    <definedName name="DESC113I">#REF!</definedName>
    <definedName name="DESC113J">#REF!</definedName>
    <definedName name="DESC113K">#REF!</definedName>
    <definedName name="DESC114">#REF!</definedName>
    <definedName name="DESC115">#REF!</definedName>
    <definedName name="DESC116">#REF!</definedName>
    <definedName name="DESC117">#REF!</definedName>
    <definedName name="DESC118">#REF!</definedName>
    <definedName name="DESC119">#REF!</definedName>
    <definedName name="DESC120">#REF!</definedName>
    <definedName name="DESC121">#REF!</definedName>
    <definedName name="DESC122">#REF!</definedName>
    <definedName name="DESC123">#REF!</definedName>
    <definedName name="DESC124">#REF!</definedName>
    <definedName name="DESC125">#REF!</definedName>
    <definedName name="DESC126">#REF!</definedName>
    <definedName name="DESC127">#REF!</definedName>
    <definedName name="DESC127A">#REF!</definedName>
    <definedName name="DESC127B">#REF!</definedName>
    <definedName name="DESC127C">#REF!</definedName>
    <definedName name="DESC127D">#REF!</definedName>
    <definedName name="DESC127E">#REF!</definedName>
    <definedName name="DESC127F">#REF!</definedName>
    <definedName name="DESC127G">#REF!</definedName>
    <definedName name="DESC127H">#REF!</definedName>
    <definedName name="DESC127I">#REF!</definedName>
    <definedName name="DESC127J">#REF!</definedName>
    <definedName name="DESC128">#REF!</definedName>
    <definedName name="DESC128A">#REF!</definedName>
    <definedName name="DESC128B">#REF!</definedName>
    <definedName name="DESC128C">#REF!</definedName>
    <definedName name="DESC128D">#REF!</definedName>
    <definedName name="DESC128E">#REF!</definedName>
    <definedName name="DESC128F">#REF!</definedName>
    <definedName name="DESC128G">#REF!</definedName>
    <definedName name="DESC129">#REF!</definedName>
    <definedName name="DESC129A">#REF!</definedName>
    <definedName name="DESC129B">#REF!</definedName>
    <definedName name="DESC129C">#REF!</definedName>
    <definedName name="DESC129D">#REF!</definedName>
    <definedName name="DESC130">#REF!</definedName>
    <definedName name="DESC130A">#REF!</definedName>
    <definedName name="DESC130B">#REF!</definedName>
    <definedName name="DESC131">#REF!</definedName>
    <definedName name="DESC132">#REF!</definedName>
    <definedName name="DESC133">#REF!</definedName>
    <definedName name="DESC14">#REF!</definedName>
    <definedName name="DESC143">#REF!</definedName>
    <definedName name="DESC144">#REF!</definedName>
    <definedName name="DESC145">#REF!</definedName>
    <definedName name="DESC146">#REF!</definedName>
    <definedName name="DESC147">#REF!</definedName>
    <definedName name="DESC148">#REF!</definedName>
    <definedName name="DESC149">#REF!</definedName>
    <definedName name="DESC150">#REF!</definedName>
    <definedName name="DESC152">#REF!</definedName>
    <definedName name="DESC153">#REF!</definedName>
    <definedName name="DESC154">#REF!</definedName>
    <definedName name="DESC155">#REF!</definedName>
    <definedName name="DESC156">#REF!</definedName>
    <definedName name="DESC157">#REF!</definedName>
    <definedName name="DESC158">#REF!</definedName>
    <definedName name="DESC16">#REF!</definedName>
    <definedName name="DESC18">#REF!</definedName>
    <definedName name="DESC19">#REF!</definedName>
    <definedName name="DESC20">#REF!</definedName>
    <definedName name="DESC21">#REF!</definedName>
    <definedName name="DESC22">#REF!</definedName>
    <definedName name="DESC23">#REF!</definedName>
    <definedName name="DESC24">#REF!</definedName>
    <definedName name="DESC26">#REF!</definedName>
    <definedName name="DESC27">#REF!</definedName>
    <definedName name="DESC29">#REF!</definedName>
    <definedName name="DESC30">#REF!</definedName>
    <definedName name="DESC31">#REF!</definedName>
    <definedName name="DESC32">#REF!</definedName>
    <definedName name="DESC33">#REF!</definedName>
    <definedName name="DESC34">#REF!</definedName>
    <definedName name="DESC35">#REF!</definedName>
    <definedName name="DESC36">#REF!</definedName>
    <definedName name="DESC37">#REF!</definedName>
    <definedName name="DESC38">#REF!</definedName>
    <definedName name="DESC39">#REF!</definedName>
    <definedName name="DESC40">#REF!</definedName>
    <definedName name="DESC41">#REF!</definedName>
    <definedName name="DESC42">#REF!</definedName>
    <definedName name="DESC43">#REF!</definedName>
    <definedName name="DESC44">#REF!</definedName>
    <definedName name="DESC45">#REF!</definedName>
    <definedName name="DESC46">#REF!</definedName>
    <definedName name="DESC47">#REF!</definedName>
    <definedName name="DESC48">#REF!</definedName>
    <definedName name="DESC49">#REF!</definedName>
    <definedName name="DESC50">#REF!</definedName>
    <definedName name="DESC51">#REF!</definedName>
    <definedName name="DESC52">#REF!</definedName>
    <definedName name="DESC54">#REF!</definedName>
    <definedName name="DESC56">#REF!</definedName>
    <definedName name="DESC57">#REF!</definedName>
    <definedName name="DESC58">#REF!</definedName>
    <definedName name="DESC59">#REF!</definedName>
    <definedName name="DESC60">#REF!</definedName>
    <definedName name="DESC61">#REF!</definedName>
    <definedName name="DESC63">#REF!</definedName>
    <definedName name="DESC64">#REF!</definedName>
    <definedName name="DESC65">#REF!</definedName>
    <definedName name="DESC66">#REF!</definedName>
    <definedName name="DESC68">#REF!</definedName>
    <definedName name="DESC69">#REF!</definedName>
    <definedName name="DESC7">#REF!</definedName>
    <definedName name="DESC70">#REF!</definedName>
    <definedName name="DESC71">#REF!</definedName>
    <definedName name="DESC72">#REF!</definedName>
    <definedName name="DESC73">#REF!</definedName>
    <definedName name="DESC74">#REF!</definedName>
    <definedName name="DESC77">#REF!</definedName>
    <definedName name="DESC78">#REF!</definedName>
    <definedName name="DESC79">#REF!</definedName>
    <definedName name="DESC79A">#REF!</definedName>
    <definedName name="DESC79B">#REF!</definedName>
    <definedName name="DESC79C">#REF!</definedName>
    <definedName name="DESC80">#REF!</definedName>
    <definedName name="DESC80A">#REF!</definedName>
    <definedName name="DESC80B">#REF!</definedName>
    <definedName name="DESC80C">#REF!</definedName>
    <definedName name="DESC81">#REF!</definedName>
    <definedName name="DESC82">#REF!</definedName>
    <definedName name="DESC85">#REF!</definedName>
    <definedName name="DESC86">#REF!</definedName>
    <definedName name="DESC87">#REF!</definedName>
    <definedName name="DESC88">#REF!</definedName>
    <definedName name="DESC92">#REF!</definedName>
    <definedName name="DESC93">#REF!</definedName>
    <definedName name="DESC94">#REF!</definedName>
    <definedName name="DESC95">#REF!</definedName>
    <definedName name="DESC98">#REF!</definedName>
    <definedName name="DESC99">#REF!</definedName>
    <definedName name="Description">#REF!</definedName>
    <definedName name="det" localSheetId="3">#REF!</definedName>
    <definedName name="det">#REF!</definedName>
    <definedName name="Details3" localSheetId="3">#REF!</definedName>
    <definedName name="Details3">#REF!</definedName>
    <definedName name="Detonator" localSheetId="3">#REF!</definedName>
    <definedName name="Detonator">#REF!</definedName>
    <definedName name="Df">#REF!</definedName>
    <definedName name="dfd" localSheetId="3">#REF!</definedName>
    <definedName name="dfd">#REF!</definedName>
    <definedName name="dfdfs" localSheetId="3" hidden="1">{"'Sheet1'!$A$4386:$N$4591"}</definedName>
    <definedName name="dfdfs" hidden="1">{"'Sheet1'!$A$4386:$N$4591"}</definedName>
    <definedName name="dfdnp">#REF!</definedName>
    <definedName name="Dff">#REF!</definedName>
    <definedName name="dfg">#REF!</definedName>
    <definedName name="dfgdgsd" localSheetId="3">#REF!</definedName>
    <definedName name="dfgdgsd">#REF!</definedName>
    <definedName name="dfgg" localSheetId="3">#REF!</definedName>
    <definedName name="dfgg">#REF!</definedName>
    <definedName name="dfheight">#REF!</definedName>
    <definedName name="DFSAs" localSheetId="3">#REF!</definedName>
    <definedName name="DFSAs">#REF!</definedName>
    <definedName name="dfsdfs" localSheetId="3">#REF!</definedName>
    <definedName name="dfsdfs">#REF!</definedName>
    <definedName name="DG" localSheetId="3">#REF!</definedName>
    <definedName name="DG">#REF!</definedName>
    <definedName name="DG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fd" localSheetId="3" hidden="1">{#N/A,#N/A,FALSE,"COVER.XLS";#N/A,#N/A,FALSE,"RACT1.XLS";#N/A,#N/A,FALSE,"RACT2.XLS";#N/A,#N/A,FALSE,"ECCMP";#N/A,#N/A,FALSE,"WELDER.XLS"}</definedName>
    <definedName name="dgfgfd" hidden="1">{#N/A,#N/A,FALSE,"COVER.XLS";#N/A,#N/A,FALSE,"RACT1.XLS";#N/A,#N/A,FALSE,"RACT2.XLS";#N/A,#N/A,FALSE,"ECCMP";#N/A,#N/A,FALSE,"WELDER.XLS"}</definedName>
    <definedName name="DGFGHHG">#REF!</definedName>
    <definedName name="dgfgjgj" localSheetId="3" hidden="1">{#N/A,#N/A,FALSE,"CCTV"}</definedName>
    <definedName name="dgfgjgj" hidden="1">{#N/A,#N/A,FALSE,"CCTV"}</definedName>
    <definedName name="DGHBJN">#REF!</definedName>
    <definedName name="dghkl" localSheetId="3" hidden="1">{"'Bill No. 7'!$A$1:$G$32"}</definedName>
    <definedName name="dghkl" hidden="1">{"'Bill No. 7'!$A$1:$G$32"}</definedName>
    <definedName name="DGM">#REF!</definedName>
    <definedName name="dgnc" localSheetId="3">#REF!</definedName>
    <definedName name="dgnc">#REF!</definedName>
    <definedName name="DGTH" localSheetId="3">#REF!</definedName>
    <definedName name="DGTH">#REF!</definedName>
    <definedName name="DGTH1">#REF!</definedName>
    <definedName name="dgth2">#REF!</definedName>
    <definedName name="DGTR">#REF!</definedName>
    <definedName name="dgvl" localSheetId="3">#REF!</definedName>
    <definedName name="dgvl">#REF!</definedName>
    <definedName name="DGVL1">#REF!</definedName>
    <definedName name="DGVT">#REF!</definedName>
    <definedName name="dgyufyuk" localSheetId="3">#REF!</definedName>
    <definedName name="dgyufyuk">#REF!</definedName>
    <definedName name="DHTML" localSheetId="3" hidden="1">{"'Sheet1'!$A$4386:$N$4591"}</definedName>
    <definedName name="DHTML" hidden="1">{"'Sheet1'!$A$4386:$N$4591"}</definedName>
    <definedName name="Di" localSheetId="3">#REF!</definedName>
    <definedName name="Di">#REF!</definedName>
    <definedName name="dia">#REF!</definedName>
    <definedName name="diaab" localSheetId="3">#REF!</definedName>
    <definedName name="diaab">#REF!</definedName>
    <definedName name="diacon" localSheetId="3">#REF!</definedName>
    <definedName name="diacon">#REF!</definedName>
    <definedName name="Diai" localSheetId="3">#REF!</definedName>
    <definedName name="Diai">#REF!</definedName>
    <definedName name="diameter" localSheetId="3">#REF!</definedName>
    <definedName name="diameter">#REF!</definedName>
    <definedName name="diaphragm" localSheetId="3">#REF!</definedName>
    <definedName name="diaphragm">#REF!</definedName>
    <definedName name="Diaphragm_Wall" localSheetId="3">#REF!</definedName>
    <definedName name="Diaphragm_Wall">#REF!</definedName>
    <definedName name="diesel">#REF!</definedName>
    <definedName name="difst">#REF!</definedName>
    <definedName name="diii">#REF!</definedName>
    <definedName name="diii_1">#REF!</definedName>
    <definedName name="diii_16">#REF!</definedName>
    <definedName name="DILODISC">#REF!</definedName>
    <definedName name="DimmerPoten" localSheetId="3">#REF!</definedName>
    <definedName name="DimmerPoten">#REF!</definedName>
    <definedName name="DIns" localSheetId="3">#REF!</definedName>
    <definedName name="DIns">#REF!</definedName>
    <definedName name="DIRECT" localSheetId="3">#REF!</definedName>
    <definedName name="DIRECT">#REF!</definedName>
    <definedName name="DirectLabor" localSheetId="3" hidden="1">{#N/A,#N/A,FALSE,"CCTV"}</definedName>
    <definedName name="DirectLabor" hidden="1">{#N/A,#N/A,FALSE,"CCTV"}</definedName>
    <definedName name="DirectLobor" localSheetId="3" hidden="1">{#N/A,#N/A,FALSE,"CCTV"}</definedName>
    <definedName name="DirectLobor" hidden="1">{#N/A,#N/A,FALSE,"CCTV"}</definedName>
    <definedName name="DirectTotal">#REF!</definedName>
    <definedName name="DirHrs1">#N/A</definedName>
    <definedName name="disal" localSheetId="3" hidden="1">{"'Sheet1'!$A$4386:$N$4591"}</definedName>
    <definedName name="disal" hidden="1">{"'Sheet1'!$A$4386:$N$4591"}</definedName>
    <definedName name="disbrick">#REF!</definedName>
    <definedName name="DISC" localSheetId="3">#REF!</definedName>
    <definedName name="DISC">#REF!</definedName>
    <definedName name="disdr" localSheetId="3">#REF!</definedName>
    <definedName name="disdr">#REF!</definedName>
    <definedName name="DISG" localSheetId="3">#REF!</definedName>
    <definedName name="DISG">#REF!</definedName>
    <definedName name="dismdrainspout" localSheetId="3">#REF!</definedName>
    <definedName name="dismdrainspout">#REF!</definedName>
    <definedName name="dismexpjoint" localSheetId="3">#REF!</definedName>
    <definedName name="dismexpjoint">#REF!</definedName>
    <definedName name="dismrail" localSheetId="3">#REF!</definedName>
    <definedName name="dismrail">#REF!</definedName>
    <definedName name="dismstonemas" localSheetId="3">#REF!</definedName>
    <definedName name="dismstonemas">#REF!</definedName>
    <definedName name="disposal">#REF!</definedName>
    <definedName name="disposal1">#REF!</definedName>
    <definedName name="disr" localSheetId="3">#REF!</definedName>
    <definedName name="disr">#REF!</definedName>
    <definedName name="disst" localSheetId="3">#REF!</definedName>
    <definedName name="disst">#REF!</definedName>
    <definedName name="disstone" localSheetId="3">#REF!</definedName>
    <definedName name="disstone">#REF!</definedName>
    <definedName name="Dist" localSheetId="3">#REF!</definedName>
    <definedName name="Dist">#REF!</definedName>
    <definedName name="distspc" localSheetId="3">#REF!</definedName>
    <definedName name="distspc">#REF!</definedName>
    <definedName name="DIV">1000000</definedName>
    <definedName name="DIVcompare">#REF!</definedName>
    <definedName name="DIVISA">#REF!</definedName>
    <definedName name="dk" localSheetId="3">#REF!</definedName>
    <definedName name="dk">#REF!</definedName>
    <definedName name="dk4_" localSheetId="3">#REF!</definedName>
    <definedName name="dk4_">#REF!</definedName>
    <definedName name="DKK" localSheetId="3">#REF!</definedName>
    <definedName name="DKK">#REF!</definedName>
    <definedName name="dl">#REF!</definedName>
    <definedName name="DL_Ave">#REF!</definedName>
    <definedName name="DL_Mobi_Mth">#REF!</definedName>
    <definedName name="DL_Mth">#REF!</definedName>
    <definedName name="DL_Total_002MHs">#REF!</definedName>
    <definedName name="DL_Total_005MH">#REF!</definedName>
    <definedName name="DL_Total_Cost_002FC">#REF!</definedName>
    <definedName name="DL_Total_Cost_002LC">#REF!</definedName>
    <definedName name="DL_Total_Cost_005FC">#REF!</definedName>
    <definedName name="DL_Total_Cost_005LC">#REF!</definedName>
    <definedName name="DL_Total_Peak">#REF!</definedName>
    <definedName name="DL15HT">#REF!</definedName>
    <definedName name="DL16HT">#REF!</definedName>
    <definedName name="DL19HT">#REF!</definedName>
    <definedName name="DL20HT">#REF!</definedName>
    <definedName name="dlcg" localSheetId="3">#REF!</definedName>
    <definedName name="dlcg">#REF!</definedName>
    <definedName name="dlp">#REF!</definedName>
    <definedName name="dm" localSheetId="3">#REF!</definedName>
    <definedName name="dm">#REF!</definedName>
    <definedName name="Dmg">#REF!</definedName>
    <definedName name="dmin">#REF!</definedName>
    <definedName name="dn" localSheetId="3" hidden="1">{#N/A,#N/A,FALSE,"COVER1.XLS ";#N/A,#N/A,FALSE,"RACT1.XLS";#N/A,#N/A,FALSE,"RACT2.XLS";#N/A,#N/A,FALSE,"ECCMP";#N/A,#N/A,FALSE,"WELDER.XLS"}</definedName>
    <definedName name="dn" hidden="1">{#N/A,#N/A,FALSE,"COVER1.XLS ";#N/A,#N/A,FALSE,"RACT1.XLS";#N/A,#N/A,FALSE,"RACT2.XLS";#N/A,#N/A,FALSE,"ECCMP";#N/A,#N/A,FALSE,"WELDER.XLS"}</definedName>
    <definedName name="dnaj">#REF!</definedName>
    <definedName name="dnconc">#REF!</definedName>
    <definedName name="dnpconc" localSheetId="3">#REF!</definedName>
    <definedName name="dnpconc">#REF!</definedName>
    <definedName name="dnsoil">#REF!</definedName>
    <definedName name="Do" localSheetId="3">#REF!</definedName>
    <definedName name="Do">#REF!</definedName>
    <definedName name="Doc_No" localSheetId="3">#REF!</definedName>
    <definedName name="Doc_No">#REF!</definedName>
    <definedName name="DOCNO" localSheetId="3">#REF!</definedName>
    <definedName name="DOCNO">#REF!</definedName>
    <definedName name="Documentationcharges" localSheetId="3">#REF!</definedName>
    <definedName name="Documentationcharges">#REF!</definedName>
    <definedName name="Documents_array" localSheetId="3">#REF!</definedName>
    <definedName name="Documents_array">#REF!</definedName>
    <definedName name="dollar" localSheetId="3">#REF!</definedName>
    <definedName name="dollar">#REF!</definedName>
    <definedName name="dongia">#REF!</definedName>
    <definedName name="dongia1">#REF!</definedName>
    <definedName name="dozer">#REF!</definedName>
    <definedName name="dozer200" localSheetId="3">#REF!</definedName>
    <definedName name="dozer200">#REF!</definedName>
    <definedName name="dp10prcost" localSheetId="3">#REF!</definedName>
    <definedName name="dp10prcost">#REF!</definedName>
    <definedName name="drad" localSheetId="3">#REF!</definedName>
    <definedName name="drad">#REF!</definedName>
    <definedName name="drain_trap" localSheetId="3">#REF!</definedName>
    <definedName name="drain_trap">#REF!</definedName>
    <definedName name="DRAINAGE" localSheetId="3">#REF!</definedName>
    <definedName name="DRAINAGE">#REF!</definedName>
    <definedName name="drainspout" localSheetId="3">#REF!</definedName>
    <definedName name="drainspout">#REF!</definedName>
    <definedName name="Drawing_Reference">#REF!</definedName>
    <definedName name="dref" localSheetId="3">#REF!</definedName>
    <definedName name="dref">#REF!</definedName>
    <definedName name="dresser" localSheetId="3">#REF!</definedName>
    <definedName name="dresser">#REF!</definedName>
    <definedName name="driller" localSheetId="3">#REF!</definedName>
    <definedName name="driller">#REF!</definedName>
    <definedName name="drillingequipment">#REF!</definedName>
    <definedName name="drod">#REF!</definedName>
    <definedName name="drsp">#REF!</definedName>
    <definedName name="drtht" localSheetId="3">#REF!</definedName>
    <definedName name="drtht">#REF!</definedName>
    <definedName name="drtthk" localSheetId="3">#REF!</definedName>
    <definedName name="drtthk">#REF!</definedName>
    <definedName name="drtwid" localSheetId="3">#REF!</definedName>
    <definedName name="drtwid">#REF!</definedName>
    <definedName name="Ds">#REF!</definedName>
    <definedName name="ds1pnc">#REF!</definedName>
    <definedName name="ds1pvl">#REF!</definedName>
    <definedName name="ds3pnc">#REF!</definedName>
    <definedName name="ds3pvl">#REF!</definedName>
    <definedName name="dsadaD" localSheetId="3" hidden="1">{#N/A,#N/A,FALSE,"COVER1.XLS ";#N/A,#N/A,FALSE,"RACT1.XLS";#N/A,#N/A,FALSE,"RACT2.XLS";#N/A,#N/A,FALSE,"ECCMP";#N/A,#N/A,FALSE,"WELDER.XLS"}</definedName>
    <definedName name="dsadaD" hidden="1">{#N/A,#N/A,FALSE,"COVER1.XLS ";#N/A,#N/A,FALSE,"RACT1.XLS";#N/A,#N/A,FALSE,"RACT2.XLS";#N/A,#N/A,FALSE,"ECCMP";#N/A,#N/A,FALSE,"WELDER.XLS"}</definedName>
    <definedName name="dsct3pnc">#REF!</definedName>
    <definedName name="dsct3pvl">#REF!</definedName>
    <definedName name="dsd" localSheetId="3">Scheduled_Payment+Extra_Payment</definedName>
    <definedName name="dsd" localSheetId="11">Scheduled_Payment+Extra_Payment</definedName>
    <definedName name="dsd">Scheduled_Payment+Extra_Payment</definedName>
    <definedName name="DSDS" localSheetId="3">#REF!</definedName>
    <definedName name="DSDS">#REF!</definedName>
    <definedName name="dsecc" localSheetId="3">#REF!</definedName>
    <definedName name="dsecc">#REF!</definedName>
    <definedName name="dseccab" localSheetId="3">#REF!</definedName>
    <definedName name="dseccab">#REF!</definedName>
    <definedName name="dsefgh">#REF!</definedName>
    <definedName name="dsf" localSheetId="3">#REF!</definedName>
    <definedName name="dsf">#REF!</definedName>
    <definedName name="DSG" localSheetId="3">#REF!</definedName>
    <definedName name="DSG">#REF!</definedName>
    <definedName name="Dslab">#REF!</definedName>
    <definedName name="dsth" localSheetId="3">#REF!</definedName>
    <definedName name="dsth">#REF!</definedName>
    <definedName name="dt" localSheetId="3">#REF!</definedName>
    <definedName name="dt">#REF!</definedName>
    <definedName name="DTHU" localSheetId="3">#REF!</definedName>
    <definedName name="DTHU">#REF!</definedName>
    <definedName name="du">#REF!</definedName>
    <definedName name="dual_plate_check" localSheetId="3">#REF!</definedName>
    <definedName name="dual_plate_check">#REF!</definedName>
    <definedName name="Duct" localSheetId="3">#REF!</definedName>
    <definedName name="Duct">#REF!</definedName>
    <definedName name="DuctAcc" localSheetId="3">#REF!</definedName>
    <definedName name="DuctAcc">#REF!</definedName>
    <definedName name="ducting">#REF!</definedName>
    <definedName name="ductlabourcost">#REF!</definedName>
    <definedName name="DuctworkCarpark">#REF!</definedName>
    <definedName name="DuctworkCarpark1">#REF!</definedName>
    <definedName name="dummy">#N/A</definedName>
    <definedName name="duong1">#REF!</definedName>
    <definedName name="duong2">#REF!</definedName>
    <definedName name="duong3">#REF!</definedName>
    <definedName name="duong4">#REF!</definedName>
    <definedName name="duong5">#REF!</definedName>
    <definedName name="duplex_strainer" localSheetId="3">#REF!</definedName>
    <definedName name="duplex_strainer">#REF!</definedName>
    <definedName name="Dur">#REF!</definedName>
    <definedName name="DUREE" localSheetId="3">#REF!</definedName>
    <definedName name="DUREE">#REF!</definedName>
    <definedName name="dust">#REF!</definedName>
    <definedName name="duty">#REF!</definedName>
    <definedName name="Dvoid">#REF!</definedName>
    <definedName name="dvv" localSheetId="3">#REF!</definedName>
    <definedName name="dvv">#REF!</definedName>
    <definedName name="dw" localSheetId="3">#REF!</definedName>
    <definedName name="dw">#REF!</definedName>
    <definedName name="DW_Sched" localSheetId="3">#REF!</definedName>
    <definedName name="DW_Sched">#REF!</definedName>
    <definedName name="dwdwdw">#REF!</definedName>
    <definedName name="dwdwdw_1">#REF!</definedName>
    <definedName name="dwdwdw_10">#REF!</definedName>
    <definedName name="dwdwdw_11">#REF!</definedName>
    <definedName name="dwdwdw_12">#REF!</definedName>
    <definedName name="dwdwdw_16">#REF!</definedName>
    <definedName name="dwdwdw_17">#REF!</definedName>
    <definedName name="dwdwdw_2">#REF!</definedName>
    <definedName name="dwdwdw_3">#REF!</definedName>
    <definedName name="dwdwdw_4">#REF!</definedName>
    <definedName name="dwdwdw_5">#REF!</definedName>
    <definedName name="dwdwdw_6">#REF!</definedName>
    <definedName name="dwdwdw_7">#REF!</definedName>
    <definedName name="dwdwdw_8">#REF!</definedName>
    <definedName name="dwdwdw_9">#REF!</definedName>
    <definedName name="DWG">#REF!</definedName>
    <definedName name="Dx">#REF!</definedName>
    <definedName name="dx_shape">#REF!</definedName>
    <definedName name="Dy">#REF!</definedName>
    <definedName name="E">#REF!</definedName>
    <definedName name="ë" localSheetId="3">#REF!</definedName>
    <definedName name="ë">#REF!</definedName>
    <definedName name="e___0" localSheetId="3">#REF!</definedName>
    <definedName name="e___0">#REF!</definedName>
    <definedName name="e___0___0">"$#REF!.$#REF!$#REF!"</definedName>
    <definedName name="e___0___3">"$#REF!.$#REF!$#REF!"</definedName>
    <definedName name="e___0___4">"$#REF!.$#REF!$#REF!"</definedName>
    <definedName name="e___0_1">#REF!</definedName>
    <definedName name="e___0_10">#REF!</definedName>
    <definedName name="e___0_11">#REF!</definedName>
    <definedName name="e___0_16">#REF!</definedName>
    <definedName name="e___0_17">#REF!</definedName>
    <definedName name="e___0_8">#REF!</definedName>
    <definedName name="e___2">#REF!</definedName>
    <definedName name="e___2___0">"$#REF!.$#REF!$#REF!"</definedName>
    <definedName name="e___2___3">"$#REF!.$#REF!$#REF!"</definedName>
    <definedName name="e___2_1">#REF!</definedName>
    <definedName name="e___2_10">#REF!</definedName>
    <definedName name="e___2_11">#REF!</definedName>
    <definedName name="e___2_16">#REF!</definedName>
    <definedName name="e___2_17">#REF!</definedName>
    <definedName name="e___2_8">#REF!</definedName>
    <definedName name="e___3">#REF!</definedName>
    <definedName name="e___3___0">"$#REF!.$#REF!$#REF!"</definedName>
    <definedName name="e___3___3">"$#REF!.$#REF!$#REF!"</definedName>
    <definedName name="e___3___4">"$#REF!.$#REF!$#REF!"</definedName>
    <definedName name="e___3_1">#REF!</definedName>
    <definedName name="e___3_10">#REF!</definedName>
    <definedName name="e___3_11">#REF!</definedName>
    <definedName name="e___3_16">#REF!</definedName>
    <definedName name="e___3_17">#REF!</definedName>
    <definedName name="e___3_8">#REF!</definedName>
    <definedName name="e___4">#REF!</definedName>
    <definedName name="e___4___0">"$#REF!.$#REF!$#REF!"</definedName>
    <definedName name="e___4___3">"$#REF!.$#REF!$#REF!"</definedName>
    <definedName name="e___4_1">#REF!</definedName>
    <definedName name="e___4_10">#REF!</definedName>
    <definedName name="e___4_11">#REF!</definedName>
    <definedName name="e___4_16">#REF!</definedName>
    <definedName name="e___4_17">#REF!</definedName>
    <definedName name="e___4_8">#REF!</definedName>
    <definedName name="e___7">"$#REF!.$#REF!$#REF!"</definedName>
    <definedName name="e_1">#REF!</definedName>
    <definedName name="e_10">#REF!</definedName>
    <definedName name="e_11">#REF!</definedName>
    <definedName name="e_12">#REF!</definedName>
    <definedName name="e_16">#REF!</definedName>
    <definedName name="e_17">#REF!</definedName>
    <definedName name="e_2">"$#REF!.$#REF!$#REF!"</definedName>
    <definedName name="e_3">#REF!</definedName>
    <definedName name="e_4">#REF!</definedName>
    <definedName name="e_5">#REF!</definedName>
    <definedName name="E_6">#REF!</definedName>
    <definedName name="e_7">#REF!</definedName>
    <definedName name="e_8">#REF!</definedName>
    <definedName name="e_9">#REF!</definedName>
    <definedName name="E_I_Eq">#REF!</definedName>
    <definedName name="e_margin">#REF!</definedName>
    <definedName name="E_score">#REF!</definedName>
    <definedName name="ë74">#REF!</definedName>
    <definedName name="EandI_Eqt_FC" localSheetId="3">#REF!</definedName>
    <definedName name="EandI_Eqt_FC">#REF!</definedName>
    <definedName name="EandI_Eqt_LC" localSheetId="3">#REF!</definedName>
    <definedName name="EandI_Eqt_LC">#REF!</definedName>
    <definedName name="EandI_McxMth" localSheetId="3">#REF!</definedName>
    <definedName name="EandI_McxMth">#REF!</definedName>
    <definedName name="EAREA">#REF!</definedName>
    <definedName name="EAREA_">#REF!</definedName>
    <definedName name="EARTH">#REF!</definedName>
    <definedName name="Earthing_Strips" localSheetId="3">#REF!</definedName>
    <definedName name="Earthing_Strips">#REF!</definedName>
    <definedName name="Ebc" localSheetId="3">#REF!</definedName>
    <definedName name="Ebc">#REF!</definedName>
    <definedName name="ec1c10" localSheetId="3">#REF!</definedName>
    <definedName name="ec1c10">#REF!</definedName>
    <definedName name="ec1c120">#REF!</definedName>
    <definedName name="ec1c150">#REF!</definedName>
    <definedName name="ec1c16">#REF!</definedName>
    <definedName name="ec1c185">#REF!</definedName>
    <definedName name="ec1c240">#REF!</definedName>
    <definedName name="ec1c25">#REF!</definedName>
    <definedName name="ec1c300">#REF!</definedName>
    <definedName name="ec1c35">#REF!</definedName>
    <definedName name="ec1c4">#REF!</definedName>
    <definedName name="ec1c50">#REF!</definedName>
    <definedName name="ec1c6">#REF!</definedName>
    <definedName name="ec1c70">#REF!</definedName>
    <definedName name="ec1c95">#REF!</definedName>
    <definedName name="ecable">#REF!</definedName>
    <definedName name="Ecapturedmarket">#REF!</definedName>
    <definedName name="ECC">#REF!</definedName>
    <definedName name="ECC_">#REF!</definedName>
    <definedName name="ecceff">#REF!</definedName>
    <definedName name="ECG">#REF!</definedName>
    <definedName name="ECG_">#REF!</definedName>
    <definedName name="econ">#REF!</definedName>
    <definedName name="econc28">#REF!</definedName>
    <definedName name="econc7">#REF!</definedName>
    <definedName name="ED">#REF!</definedName>
    <definedName name="EDCDMA">#REF!</definedName>
    <definedName name="EDFTTB">#REF!</definedName>
    <definedName name="edgestripdism">#REF!</definedName>
    <definedName name="EDHFC" localSheetId="3">#REF!</definedName>
    <definedName name="EDHFC">#REF!</definedName>
    <definedName name="edld" localSheetId="3">#REF!</definedName>
    <definedName name="edld">#REF!</definedName>
    <definedName name="EDO" localSheetId="3">#REF!</definedName>
    <definedName name="EDO">#REF!</definedName>
    <definedName name="edpcas">#REF!</definedName>
    <definedName name="ee">#REF!</definedName>
    <definedName name="EE_1">#REF!</definedName>
    <definedName name="EE_10">#REF!</definedName>
    <definedName name="EE_11">#REF!</definedName>
    <definedName name="EE_16">#REF!</definedName>
    <definedName name="EE_2">#REF!</definedName>
    <definedName name="EE_6">#REF!</definedName>
    <definedName name="EE_8">#REF!</definedName>
    <definedName name="eee">#REF!</definedName>
    <definedName name="EEEE" localSheetId="3" hidden="1">{#N/A,#N/A,FALSE,"CCTV"}</definedName>
    <definedName name="EEEE" hidden="1">{#N/A,#N/A,FALSE,"CCTV"}</definedName>
    <definedName name="eehr">#REF!</definedName>
    <definedName name="eehri">#REF!</definedName>
    <definedName name="eehrw">#REF!</definedName>
    <definedName name="eela">#REF!</definedName>
    <definedName name="ef">ROUNDUP(#REF!*#REF!, 1)</definedName>
    <definedName name="EFA" localSheetId="3">#REF!</definedName>
    <definedName name="EFA">#REF!</definedName>
    <definedName name="effd" localSheetId="3">#REF!</definedName>
    <definedName name="effd">#REF!</definedName>
    <definedName name="effpr" localSheetId="3">#REF!</definedName>
    <definedName name="effpr">#REF!</definedName>
    <definedName name="efg">ROUNDUP(#REF!*#REF!*#REF!,1)</definedName>
    <definedName name="efgh">ROUNDUP(#REF!*#REF!*#REF!*#REF!,1)</definedName>
    <definedName name="efghi">ROUNDUP(#REF!*#REF!*#REF!*#REF!*#REF!,1)</definedName>
    <definedName name="efh">ROUNDUP(#REF!*#REF!*#REF!,1)</definedName>
    <definedName name="egr">#REF!</definedName>
    <definedName name="Eh" localSheetId="3">#REF!</definedName>
    <definedName name="Eh">#REF!</definedName>
    <definedName name="EIM" localSheetId="3">#REF!</definedName>
    <definedName name="EIM">#REF!</definedName>
    <definedName name="EIM_" localSheetId="3">#REF!</definedName>
    <definedName name="EIM_">#REF!</definedName>
    <definedName name="el">#REF!</definedName>
    <definedName name="elasmod">#REF!</definedName>
    <definedName name="elasticity">#REF!</definedName>
    <definedName name="elasticity_ild">#REF!</definedName>
    <definedName name="Ele" localSheetId="3" hidden="1">{"'Break down'!$A$4"}</definedName>
    <definedName name="Ele" hidden="1">{"'Break down'!$A$4"}</definedName>
    <definedName name="Elead">#REF!</definedName>
    <definedName name="elec">#REF!</definedName>
    <definedName name="ELECT">#N/A</definedName>
    <definedName name="ELECTRICAL__INSTALLATIONS">#REF!</definedName>
    <definedName name="electrician" localSheetId="3">#REF!</definedName>
    <definedName name="electrician">#REF!</definedName>
    <definedName name="Electricity_tariff_eff">#REF!</definedName>
    <definedName name="Electricity_tariff_eff_C">#REF!</definedName>
    <definedName name="Electricity_tariff_eff2">#REF!</definedName>
    <definedName name="Electricity_tariff_eff3">#REF!</definedName>
    <definedName name="Electricity_tariff_eff4">#REF!</definedName>
    <definedName name="Electricity_tariff_eff5">#REF!</definedName>
    <definedName name="electricpoles" localSheetId="3">#REF!</definedName>
    <definedName name="electricpoles">#REF!</definedName>
    <definedName name="ELECTSUM" localSheetId="3">#REF!</definedName>
    <definedName name="ELECTSUM">#REF!</definedName>
    <definedName name="ELLEN1" localSheetId="3" hidden="1">{#N/A,#N/A,FALSE,"CCTV"}</definedName>
    <definedName name="ELLEN1" hidden="1">{#N/A,#N/A,FALSE,"CCTV"}</definedName>
    <definedName name="ELLEN10" localSheetId="3" hidden="1">{#N/A,#N/A,FALSE,"CCTV"}</definedName>
    <definedName name="ELLEN10" hidden="1">{#N/A,#N/A,FALSE,"CCTV"}</definedName>
    <definedName name="ELLEN11" localSheetId="3" hidden="1">{#N/A,#N/A,FALSE,"CCTV"}</definedName>
    <definedName name="ELLEN11" hidden="1">{#N/A,#N/A,FALSE,"CCTV"}</definedName>
    <definedName name="ELLEN12" localSheetId="3" hidden="1">{#N/A,#N/A,FALSE,"CCTV"}</definedName>
    <definedName name="ELLEN12" hidden="1">{#N/A,#N/A,FALSE,"CCTV"}</definedName>
    <definedName name="ELLEN13" localSheetId="3" hidden="1">{#N/A,#N/A,FALSE,"CCTV"}</definedName>
    <definedName name="ELLEN13" hidden="1">{#N/A,#N/A,FALSE,"CCTV"}</definedName>
    <definedName name="ELLEN14" localSheetId="3" hidden="1">{#N/A,#N/A,FALSE,"CCTV"}</definedName>
    <definedName name="ELLEN14" hidden="1">{#N/A,#N/A,FALSE,"CCTV"}</definedName>
    <definedName name="ELLEN15" localSheetId="3" hidden="1">{#N/A,#N/A,FALSE,"CCTV"}</definedName>
    <definedName name="ELLEN15" hidden="1">{#N/A,#N/A,FALSE,"CCTV"}</definedName>
    <definedName name="ELLEN16" localSheetId="3" hidden="1">{#N/A,#N/A,FALSE,"CCTV"}</definedName>
    <definedName name="ELLEN16" hidden="1">{#N/A,#N/A,FALSE,"CCTV"}</definedName>
    <definedName name="ELLEN17" localSheetId="3" hidden="1">{#N/A,#N/A,FALSE,"CCTV"}</definedName>
    <definedName name="ELLEN17" hidden="1">{#N/A,#N/A,FALSE,"CCTV"}</definedName>
    <definedName name="ELLEN18" localSheetId="3" hidden="1">{#N/A,#N/A,FALSE,"CCTV"}</definedName>
    <definedName name="ELLEN18" hidden="1">{#N/A,#N/A,FALSE,"CCTV"}</definedName>
    <definedName name="ELLEN19" localSheetId="3" hidden="1">{#N/A,#N/A,FALSE,"CCTV"}</definedName>
    <definedName name="ELLEN19" hidden="1">{#N/A,#N/A,FALSE,"CCTV"}</definedName>
    <definedName name="ELLEN2" localSheetId="3" hidden="1">{#N/A,#N/A,FALSE,"CCTV"}</definedName>
    <definedName name="ELLEN2" hidden="1">{#N/A,#N/A,FALSE,"CCTV"}</definedName>
    <definedName name="ELLEN3" localSheetId="3" hidden="1">{#N/A,#N/A,FALSE,"CCTV"}</definedName>
    <definedName name="ELLEN3" hidden="1">{#N/A,#N/A,FALSE,"CCTV"}</definedName>
    <definedName name="ELLEN4" localSheetId="3" hidden="1">{#N/A,#N/A,FALSE,"CCTV"}</definedName>
    <definedName name="ELLEN4" hidden="1">{#N/A,#N/A,FALSE,"CCTV"}</definedName>
    <definedName name="ELLEN5" localSheetId="3" hidden="1">{#N/A,#N/A,FALSE,"CCTV"}</definedName>
    <definedName name="ELLEN5" hidden="1">{#N/A,#N/A,FALSE,"CCTV"}</definedName>
    <definedName name="ELLEN6" localSheetId="3" hidden="1">{#N/A,#N/A,FALSE,"CCTV"}</definedName>
    <definedName name="ELLEN6" hidden="1">{#N/A,#N/A,FALSE,"CCTV"}</definedName>
    <definedName name="ELLEN7" localSheetId="3" hidden="1">{#N/A,#N/A,FALSE,"CCTV"}</definedName>
    <definedName name="ELLEN7" hidden="1">{#N/A,#N/A,FALSE,"CCTV"}</definedName>
    <definedName name="ELLEN8" localSheetId="3" hidden="1">{#N/A,#N/A,FALSE,"CCTV"}</definedName>
    <definedName name="ELLEN8" hidden="1">{#N/A,#N/A,FALSE,"CCTV"}</definedName>
    <definedName name="ELLEN9" localSheetId="3" hidden="1">{#N/A,#N/A,FALSE,"CCTV"}</definedName>
    <definedName name="ELLEN9" hidden="1">{#N/A,#N/A,FALSE,"CCTV"}</definedName>
    <definedName name="ELP">#REF!</definedName>
    <definedName name="Em" localSheetId="3">#REF!</definedName>
    <definedName name="Em">#REF!</definedName>
    <definedName name="emb" localSheetId="3" hidden="1">{"Execavation",#N/A,FALSE,"furniture (employer)"}</definedName>
    <definedName name="emb" hidden="1">{"Execavation",#N/A,FALSE,"furniture (employer)"}</definedName>
    <definedName name="EmbedQty1">#N/A</definedName>
    <definedName name="EMBL" localSheetId="3" hidden="1">{"Execavation",#N/A,FALSE,"furniture (employer)"}</definedName>
    <definedName name="EMBL" hidden="1">{"Execavation",#N/A,FALSE,"furniture (employer)"}</definedName>
    <definedName name="Emf" localSheetId="3">#REF!</definedName>
    <definedName name="Emf">#REF!</definedName>
    <definedName name="emulsion" localSheetId="3">#REF!</definedName>
    <definedName name="emulsion">#REF!</definedName>
    <definedName name="End_Bal" localSheetId="3">#REF!</definedName>
    <definedName name="End_Bal">#REF!</definedName>
    <definedName name="EndTime">#REF!</definedName>
    <definedName name="energy_loss">#REF!</definedName>
    <definedName name="energy_loss_C">#REF!</definedName>
    <definedName name="energy_loss2">#REF!</definedName>
    <definedName name="energy_loss3">#REF!</definedName>
    <definedName name="energy_loss4">#REF!</definedName>
    <definedName name="energy_loss5">#REF!</definedName>
    <definedName name="energy_meter">#REF!</definedName>
    <definedName name="ENG">#REF!</definedName>
    <definedName name="Engineer">#REF!</definedName>
    <definedName name="ENTRY">#REF!</definedName>
    <definedName name="environmentalcost">#REF!</definedName>
    <definedName name="EOL">#REF!</definedName>
    <definedName name="Epenrate">#REF!</definedName>
    <definedName name="epi">#REF!</definedName>
    <definedName name="eprld">#REF!</definedName>
    <definedName name="eprld1">#REF!</definedName>
    <definedName name="eprld2">#REF!</definedName>
    <definedName name="EQ">#REF!</definedName>
    <definedName name="eq_index">#REF!</definedName>
    <definedName name="eqabbs">#REF!</definedName>
    <definedName name="eqabsft">#REF!</definedName>
    <definedName name="eqac">#REF!</definedName>
    <definedName name="eqac11">#REF!</definedName>
    <definedName name="eqacab">#REF!</definedName>
    <definedName name="eqacabn">#REF!</definedName>
    <definedName name="eqas1">#REF!</definedName>
    <definedName name="eqas2">#REF!</definedName>
    <definedName name="eqasab1">#REF!</definedName>
    <definedName name="eqasab1n">#REF!</definedName>
    <definedName name="eqasab2">#REF!</definedName>
    <definedName name="eqasab2n">#REF!</definedName>
    <definedName name="eqc">#REF!</definedName>
    <definedName name="eqfp">#REF!</definedName>
    <definedName name="EQMOB">#REF!</definedName>
    <definedName name="eqsupstr">#REF!</definedName>
    <definedName name="equip">#REF!</definedName>
    <definedName name="Equipment">#REF!</definedName>
    <definedName name="Equity_ratio">#REF!</definedName>
    <definedName name="Equity_ratio_C">#REF!</definedName>
    <definedName name="Equity_ratio2">#REF!</definedName>
    <definedName name="Equity_ratio3">#REF!</definedName>
    <definedName name="Equity_ratio4">#REF!</definedName>
    <definedName name="Equity_ratio5">#REF!</definedName>
    <definedName name="equityupfront">#REF!</definedName>
    <definedName name="er">#REF!</definedName>
    <definedName name="ere">#REF!</definedName>
    <definedName name="erec">#REF!</definedName>
    <definedName name="Erection_and_Civil" localSheetId="3">#REF!</definedName>
    <definedName name="Erection_and_Civil">#REF!</definedName>
    <definedName name="ert" localSheetId="3">#REF!</definedName>
    <definedName name="ert">#REF!</definedName>
    <definedName name="erthwtap" localSheetId="3">#REF!</definedName>
    <definedName name="erthwtap">#REF!</definedName>
    <definedName name="erthwtrvs" localSheetId="3">#REF!</definedName>
    <definedName name="erthwtrvs">#REF!</definedName>
    <definedName name="ertwertewrt6asdr45" localSheetId="3">#REF!</definedName>
    <definedName name="ertwertewrt6asdr45">#REF!</definedName>
    <definedName name="ertwertewrt6asdr45_10">#REF!</definedName>
    <definedName name="ertwertewrt6asdr45_11">#REF!</definedName>
    <definedName name="ertwertewrt6asdr45_16">#REF!</definedName>
    <definedName name="ertwertewrt6asdr45_8">#REF!</definedName>
    <definedName name="ERU">#REF!</definedName>
    <definedName name="ERUx">#REF!</definedName>
    <definedName name="ERW">#REF!</definedName>
    <definedName name="ERW_10">#REF!</definedName>
    <definedName name="ERW_11">#REF!</definedName>
    <definedName name="ERW_16">#REF!</definedName>
    <definedName name="ERW_8">#REF!</definedName>
    <definedName name="Es" localSheetId="3">#REF!</definedName>
    <definedName name="Es">#REF!</definedName>
    <definedName name="Esa" localSheetId="3">#REF!</definedName>
    <definedName name="Esa">#REF!</definedName>
    <definedName name="ess" localSheetId="3">#REF!</definedName>
    <definedName name="ess">#REF!</definedName>
    <definedName name="ESSR1">#REF!</definedName>
    <definedName name="ESSR10">#REF!</definedName>
    <definedName name="ESSR11">#REF!</definedName>
    <definedName name="ESSR12">#REF!</definedName>
    <definedName name="ESSR13">#REF!</definedName>
    <definedName name="ESSR2">#REF!</definedName>
    <definedName name="ESSR3">#REF!</definedName>
    <definedName name="ESSR4">#REF!</definedName>
    <definedName name="ESSR5">#REF!</definedName>
    <definedName name="ESSR6">#REF!</definedName>
    <definedName name="ESSR7">#REF!</definedName>
    <definedName name="ESSR8">#REF!</definedName>
    <definedName name="ESSR9">#REF!</definedName>
    <definedName name="Est">#REF!</definedName>
    <definedName name="Estimating_Click_PDBT">#N/A</definedName>
    <definedName name="EstSumM">#REF!</definedName>
    <definedName name="esv" localSheetId="3">#REF!</definedName>
    <definedName name="esv">#REF!</definedName>
    <definedName name="Et" localSheetId="3">#REF!</definedName>
    <definedName name="Et">#REF!</definedName>
    <definedName name="Eta">#REF!</definedName>
    <definedName name="etbs">#REF!</definedName>
    <definedName name="ETC_CST_HDG">#REF!</definedName>
    <definedName name="ETCDISC" localSheetId="3">#REF!</definedName>
    <definedName name="ETCDISC">#REF!</definedName>
    <definedName name="ETCrise" localSheetId="3">#REF!</definedName>
    <definedName name="ETCrise">#REF!</definedName>
    <definedName name="eth" localSheetId="3">#REF!</definedName>
    <definedName name="eth">#REF!</definedName>
    <definedName name="etlw">#REF!</definedName>
    <definedName name="ETRAS">#REF!</definedName>
    <definedName name="etswh">#REF!</definedName>
    <definedName name="etswv">#REF!</definedName>
    <definedName name="Ett">#REF!</definedName>
    <definedName name="etta">#REF!</definedName>
    <definedName name="EU">#REF!</definedName>
    <definedName name="EUR">#REF!</definedName>
    <definedName name="EURO">#REF!</definedName>
    <definedName name="Euro_to_INR">#REF!</definedName>
    <definedName name="ev">#REF!</definedName>
    <definedName name="ew">#REF!</definedName>
    <definedName name="ew4_">#REF!</definedName>
    <definedName name="ew4a">#REF!</definedName>
    <definedName name="ewcompact">#REF!</definedName>
    <definedName name="EWF">#REF!</definedName>
    <definedName name="ewk" localSheetId="3">#REF!</definedName>
    <definedName name="ewk">#REF!</definedName>
    <definedName name="ex_joint" localSheetId="3">#REF!</definedName>
    <definedName name="ex_joint">#REF!</definedName>
    <definedName name="Ex_Rate_LC_per_FC" localSheetId="3">#REF!</definedName>
    <definedName name="Ex_Rate_LC_per_FC">#REF!</definedName>
    <definedName name="excavator">#REF!</definedName>
    <definedName name="excavcl">#REF!</definedName>
    <definedName name="Excel_BuiltIn__FilterDatabase_1">#REF!</definedName>
    <definedName name="Excel_BuiltIn__FilterDatabase_1_1">#REF!</definedName>
    <definedName name="Excel_BuiltIn__FilterDatabase_2">"$#REF!.$C$4:$C$177"</definedName>
    <definedName name="Excel_BuiltIn__FilterDatabase_2_1">"$#REF!.$A$1:$J$439"</definedName>
    <definedName name="Excel_BuiltIn__FilterDatabase_3" localSheetId="3">#REF!</definedName>
    <definedName name="Excel_BuiltIn__FilterDatabase_3">#REF!</definedName>
    <definedName name="Excel_BuiltIn__FilterDatabase_4" localSheetId="3">#REF!</definedName>
    <definedName name="Excel_BuiltIn__FilterDatabase_4">#REF!</definedName>
    <definedName name="Excel_BuiltIn_Criteria" localSheetId="3">#REF!</definedName>
    <definedName name="Excel_BuiltIn_Criteria">#REF!</definedName>
    <definedName name="Excel_BuiltIn_Criteria_1">#REF!</definedName>
    <definedName name="Excel_BuiltIn_Criteria_16">#REF!</definedName>
    <definedName name="Excel_BuiltIn_Criteria_2">#REF!</definedName>
    <definedName name="Excel_BuiltIn_Database">#REF!</definedName>
    <definedName name="Excel_BuiltIn_Database_1">#REF!</definedName>
    <definedName name="Excel_BuiltIn_Database_2">#REF!</definedName>
    <definedName name="Excel_BuiltIn_Database_6">#REF!</definedName>
    <definedName name="Excel_BuiltIn_Extract">#REF!</definedName>
    <definedName name="Excel_BuiltIn_Extract_1">#REF!</definedName>
    <definedName name="Excel_BuiltIn_Extract_16">#REF!</definedName>
    <definedName name="Excel_BuiltIn_Extract_2">#REF!</definedName>
    <definedName name="Excel_BuiltIn_Print_Area">#REF!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0" localSheetId="3">#REF!</definedName>
    <definedName name="Excel_BuiltIn_Print_Area_10">#REF!</definedName>
    <definedName name="Excel_BuiltIn_Print_Area_12" localSheetId="3">#REF!</definedName>
    <definedName name="Excel_BuiltIn_Print_Area_12">#REF!</definedName>
    <definedName name="Excel_BuiltIn_Print_Area_2_1">"$#REF!.$A$4:$H$158"</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5">#REF!</definedName>
    <definedName name="Excel_BuiltIn_Print_Area_6" localSheetId="3">#REF!</definedName>
    <definedName name="Excel_BuiltIn_Print_Area_6">#REF!</definedName>
    <definedName name="Excel_BuiltIn_Print_Area_6_1">"$#REF!.$A$4:$H$28"</definedName>
    <definedName name="Excel_BuiltIn_Print_Area_7">#REF!</definedName>
    <definedName name="Excel_BuiltIn_Print_Area_7_1">"$#REF!.$A$4:$I$147"</definedName>
    <definedName name="Excel_BuiltIn_Print_Area_9">#REF!</definedName>
    <definedName name="Excel_BuiltIn_Print_Titles" localSheetId="3">#REF!</definedName>
    <definedName name="Excel_BuiltIn_Print_Titles">#REF!</definedName>
    <definedName name="Excel_BuiltIn_Print_Titles_1" localSheetId="3">#REF!</definedName>
    <definedName name="Excel_BuiltIn_Print_Titles_1">#REF!</definedName>
    <definedName name="Excel_BuiltIn_Print_Titles_2" localSheetId="3">#REF!</definedName>
    <definedName name="Excel_BuiltIn_Print_Titles_2">#REF!</definedName>
    <definedName name="Excel_BuiltIn_Print_Titles_2_1">"$#REF!.$A$4:$IU$5"</definedName>
    <definedName name="Excel_BuiltIn_Print_Titles_4_1">#REF!</definedName>
    <definedName name="Excel_BuiltIn_Print_Titles_6">"$#REF!.$A$4:$IU$4"</definedName>
    <definedName name="Excel_BuiltIn_Print_Titles_7">"$#REF!.$A$4:$IU$4"</definedName>
    <definedName name="Excel_BuiltIn_Recorder">#REF!</definedName>
    <definedName name="Exch">#REF!</definedName>
    <definedName name="exf">ROUNDUP(#REF!*#REF!,0)</definedName>
    <definedName name="exfxg">ROUNDUP(#REF!*#REF!*#REF!, 1)</definedName>
    <definedName name="existing" localSheetId="3">#REF!</definedName>
    <definedName name="existing">#REF!</definedName>
    <definedName name="EXIT" localSheetId="3">#REF!</definedName>
    <definedName name="EXIT">#REF!</definedName>
    <definedName name="ExitSign" localSheetId="3">#REF!</definedName>
    <definedName name="ExitSign">#REF!</definedName>
    <definedName name="ExitSignEEx_d">#REF!</definedName>
    <definedName name="exp" localSheetId="3">chw</definedName>
    <definedName name="exp">chw</definedName>
    <definedName name="exp.joints" localSheetId="3">#REF!</definedName>
    <definedName name="exp.joints">#REF!</definedName>
    <definedName name="Expatriate_IDL_Cost_FC" localSheetId="3">#REF!</definedName>
    <definedName name="Expatriate_IDL_Cost_FC">#REF!</definedName>
    <definedName name="Expatriate_IDL_Cost_LC" localSheetId="3">#REF!</definedName>
    <definedName name="Expatriate_IDL_Cost_LC">#REF!</definedName>
    <definedName name="Expatriate_IDL_MM" localSheetId="3">#REF!</definedName>
    <definedName name="Expatriate_IDL_MM">#REF!</definedName>
    <definedName name="Expatriate_MH_Total">#REF!</definedName>
    <definedName name="Expatriate_MHCost_FC">#REF!</definedName>
    <definedName name="Expatriate_MHCost_LC">#REF!</definedName>
    <definedName name="Expatriate_Staff_Cost_FC">#REF!</definedName>
    <definedName name="Expatriate_Staff_Cost_LC">#REF!</definedName>
    <definedName name="Expatriate_Staff_MM">#REF!</definedName>
    <definedName name="ExpectedGrowthbysector">#REF!</definedName>
    <definedName name="ExpectedMarketSize">#REF!</definedName>
    <definedName name="EXPHEADS">#REF!</definedName>
    <definedName name="expjoint">#REF!</definedName>
    <definedName name="Exposed_external_Concrete_surfaces_150mm_below_ground_level." localSheetId="3">#REF!</definedName>
    <definedName name="Exposed_external_Concrete_surfaces_150mm_below_ground_level.">#REF!</definedName>
    <definedName name="external" localSheetId="3">#REF!</definedName>
    <definedName name="external">#REF!</definedName>
    <definedName name="EXTERNAL__SERVICES" localSheetId="3">#REF!</definedName>
    <definedName name="EXTERNAL__SERVICES">#REF!</definedName>
    <definedName name="EXTERNAL__WALLS" localSheetId="3">#REF!</definedName>
    <definedName name="EXTERNAL__WALLS">#REF!</definedName>
    <definedName name="Extra_Pay" localSheetId="3">#REF!</definedName>
    <definedName name="Extra_Pay">#REF!</definedName>
    <definedName name="extrac_a_trier" localSheetId="3">#REF!</definedName>
    <definedName name="extrac_a_trier">#REF!</definedName>
    <definedName name="_xlnm.Extract" localSheetId="3">#REF!</definedName>
    <definedName name="_xlnm.Extract">#REF!</definedName>
    <definedName name="extrckcost" localSheetId="3">#REF!</definedName>
    <definedName name="extrckcost">#REF!</definedName>
    <definedName name="exwks" localSheetId="3">#REF!</definedName>
    <definedName name="exwks">#REF!</definedName>
    <definedName name="eyteyt" localSheetId="3" hidden="1">{#N/A,#N/A,FALSE,"CCTV"}</definedName>
    <definedName name="eyteyt" hidden="1">{#N/A,#N/A,FALSE,"CCTV"}</definedName>
    <definedName name="f" localSheetId="3">#REF!</definedName>
    <definedName name="f">#REF!</definedName>
    <definedName name="f___0" localSheetId="3">#REF!</definedName>
    <definedName name="f___0">#REF!</definedName>
    <definedName name="f___0___0">"$#REF!.$#REF!$#REF!"</definedName>
    <definedName name="f___0___3">"$#REF!.$#REF!$#REF!"</definedName>
    <definedName name="f___0___4">"$#REF!.$#REF!$#REF!"</definedName>
    <definedName name="f___0_1">#REF!</definedName>
    <definedName name="f___0_10">#REF!</definedName>
    <definedName name="f___0_11">#REF!</definedName>
    <definedName name="f___0_16">#REF!</definedName>
    <definedName name="f___0_17">#REF!</definedName>
    <definedName name="f___0_8">#REF!</definedName>
    <definedName name="f___2">#REF!</definedName>
    <definedName name="f___2___0">"$#REF!.$#REF!$#REF!"</definedName>
    <definedName name="f___2___3">"$#REF!.$#REF!$#REF!"</definedName>
    <definedName name="f___2_1">#REF!</definedName>
    <definedName name="f___2_10">#REF!</definedName>
    <definedName name="f___2_11">#REF!</definedName>
    <definedName name="f___2_16">#REF!</definedName>
    <definedName name="f___2_17">#REF!</definedName>
    <definedName name="f___2_8">#REF!</definedName>
    <definedName name="f___3">#REF!</definedName>
    <definedName name="f___3___0">"$#REF!.$#REF!$#REF!"</definedName>
    <definedName name="f___3___3">"$#REF!.$#REF!$#REF!"</definedName>
    <definedName name="f___3___4">"$#REF!.$#REF!$#REF!"</definedName>
    <definedName name="f___3_1">#REF!</definedName>
    <definedName name="f___3_10">#REF!</definedName>
    <definedName name="f___3_11">#REF!</definedName>
    <definedName name="f___3_16">#REF!</definedName>
    <definedName name="f___3_17">#REF!</definedName>
    <definedName name="f___3_8">#REF!</definedName>
    <definedName name="f___4">#REF!</definedName>
    <definedName name="f___4___0">"$#REF!.$#REF!$#REF!"</definedName>
    <definedName name="f___4___3">"$#REF!.$#REF!$#REF!"</definedName>
    <definedName name="f___4_1">#REF!</definedName>
    <definedName name="f___4_10">#REF!</definedName>
    <definedName name="f___4_11">#REF!</definedName>
    <definedName name="f___4_16">#REF!</definedName>
    <definedName name="f___4_17">#REF!</definedName>
    <definedName name="f___4_8">#REF!</definedName>
    <definedName name="f___7">"$#REF!.$#REF!$#REF!"</definedName>
    <definedName name="f_1">#REF!</definedName>
    <definedName name="f_10">#REF!</definedName>
    <definedName name="f_11">#REF!</definedName>
    <definedName name="f_12">#REF!</definedName>
    <definedName name="f_16">#REF!</definedName>
    <definedName name="f_17">#REF!</definedName>
    <definedName name="f_2">"$#REF!.$#REF!$#REF!"</definedName>
    <definedName name="f_3">#REF!</definedName>
    <definedName name="f_4">#REF!</definedName>
    <definedName name="f_5">#REF!</definedName>
    <definedName name="F_6">#REF!</definedName>
    <definedName name="f_7">#REF!</definedName>
    <definedName name="f_8">#REF!</definedName>
    <definedName name="f_9">#REF!</definedName>
    <definedName name="f_shape">#REF!</definedName>
    <definedName name="f82E46">#REF!</definedName>
    <definedName name="f92F56">#REF!</definedName>
    <definedName name="facia" localSheetId="3">#REF!</definedName>
    <definedName name="facia">#REF!</definedName>
    <definedName name="faciastone">#REF!</definedName>
    <definedName name="facom">#REF!</definedName>
    <definedName name="Factor">#REF!</definedName>
    <definedName name="Factory_worker_No">#REF!</definedName>
    <definedName name="Factory_worker_No_C">#REF!</definedName>
    <definedName name="Factory_worker_No2">#REF!</definedName>
    <definedName name="Factory_worker_No3">#REF!</definedName>
    <definedName name="Factory_worker_No4">#REF!</definedName>
    <definedName name="Factory_worker_No5">#REF!</definedName>
    <definedName name="factory_worker_rate">#REF!</definedName>
    <definedName name="factory_worker_rate_C">#REF!</definedName>
    <definedName name="factory_worker_rate2">#REF!</definedName>
    <definedName name="factory_worker_rate3">#REF!</definedName>
    <definedName name="factory_worker_rate4">#REF!</definedName>
    <definedName name="factory_worker_rate5">#REF!</definedName>
    <definedName name="fafur">#REF!</definedName>
    <definedName name="FAIRMONT" localSheetId="3">#REF!</definedName>
    <definedName name="FAIRMONT">#REF!</definedName>
    <definedName name="FAIRMONT_1" localSheetId="3">#REF!</definedName>
    <definedName name="FAIRMONT_1">#REF!</definedName>
    <definedName name="FAIRMONT_10" localSheetId="3">#REF!</definedName>
    <definedName name="FAIRMONT_10">#REF!</definedName>
    <definedName name="FAIRMONT_11">#REF!</definedName>
    <definedName name="FAIRMONT_16">#REF!</definedName>
    <definedName name="FAIRMONT_17">#REF!</definedName>
    <definedName name="FAIRMONT_8">#REF!</definedName>
    <definedName name="faltu">#REF!</definedName>
    <definedName name="faltu1">#REF!</definedName>
    <definedName name="Famc">#REF!</definedName>
    <definedName name="FAMILY">#REF!</definedName>
    <definedName name="Fams">#REF!</definedName>
    <definedName name="faofeq">#REF!</definedName>
    <definedName name="faplm">#REF!</definedName>
    <definedName name="fapms">#REF!</definedName>
    <definedName name="faultMVA" localSheetId="3">#REF!</definedName>
    <definedName name="faultMVA">#REF!</definedName>
    <definedName name="faveh">#REF!</definedName>
    <definedName name="Fb" localSheetId="3">#REF!</definedName>
    <definedName name="Fb">#REF!</definedName>
    <definedName name="FC" localSheetId="3">#REF!</definedName>
    <definedName name="FC">#REF!</definedName>
    <definedName name="fcab" localSheetId="3">#REF!</definedName>
    <definedName name="fcab">#REF!</definedName>
    <definedName name="fcabn" localSheetId="3">#REF!</definedName>
    <definedName name="fcabn">#REF!</definedName>
    <definedName name="fcb" localSheetId="3">#REF!</definedName>
    <definedName name="fcb">#REF!</definedName>
    <definedName name="fcc">#REF!</definedName>
    <definedName name="FCCalculated">#REF!</definedName>
    <definedName name="FCError">#REF!</definedName>
    <definedName name="FCK">#REF!</definedName>
    <definedName name="FCL" localSheetId="3">#REF!</definedName>
    <definedName name="FCL">#REF!</definedName>
    <definedName name="fco">#REF!</definedName>
    <definedName name="FCPasted">#REF!</definedName>
    <definedName name="fcpl" localSheetId="3">#REF!</definedName>
    <definedName name="fcpl">#REF!</definedName>
    <definedName name="fcplab" localSheetId="3">#REF!</definedName>
    <definedName name="fcplab">#REF!</definedName>
    <definedName name="fcpr" localSheetId="3">#REF!</definedName>
    <definedName name="fcpr">#REF!</definedName>
    <definedName name="fcprab">#REF!</definedName>
    <definedName name="FCR" localSheetId="3">#REF!</definedName>
    <definedName name="FCR">#REF!</definedName>
    <definedName name="fct" localSheetId="3">#REF!</definedName>
    <definedName name="fct">#REF!</definedName>
    <definedName name="FCTcurex" localSheetId="3">#REF!</definedName>
    <definedName name="FCTcurex">#REF!</definedName>
    <definedName name="Fd" localSheetId="3">#REF!</definedName>
    <definedName name="Fd">#REF!</definedName>
    <definedName name="fddfhdfhdgh" localSheetId="3" hidden="1">{#N/A,#N/A,FALSE,"CCTV"}</definedName>
    <definedName name="fddfhdfhdgh" hidden="1">{#N/A,#N/A,FALSE,"CCTV"}</definedName>
    <definedName name="FDDFS">#REF!</definedName>
    <definedName name="fdf" localSheetId="3" hidden="1">{#N/A,#N/A,FALSE,"CCTV"}</definedName>
    <definedName name="fdf" hidden="1">{#N/A,#N/A,FALSE,"CCTV"}</definedName>
    <definedName name="FDFDF" localSheetId="3" hidden="1">{#N/A,#N/A,FALSE,"CCTV"}</definedName>
    <definedName name="FDFDF" hidden="1">{#N/A,#N/A,FALSE,"CCTV"}</definedName>
    <definedName name="fdfed">#REF!</definedName>
    <definedName name="Fdl">#REF!</definedName>
    <definedName name="fdlvl" localSheetId="3">#REF!</definedName>
    <definedName name="fdlvl">#REF!</definedName>
    <definedName name="fdn_no" localSheetId="3">#REF!</definedName>
    <definedName name="fdn_no">#REF!</definedName>
    <definedName name="Fdr" localSheetId="3">#REF!</definedName>
    <definedName name="Fdr">#REF!</definedName>
    <definedName name="FDSF" localSheetId="3">#REF!</definedName>
    <definedName name="FDSF">#REF!</definedName>
    <definedName name="feA" localSheetId="3">#REF!</definedName>
    <definedName name="feA">#REF!</definedName>
    <definedName name="FED" localSheetId="3">#REF!</definedName>
    <definedName name="FED">#REF!</definedName>
    <definedName name="FEF">#REF!</definedName>
    <definedName name="FENCING_WORK_WITH_AVALIABLE_LAND_BO">#REF!</definedName>
    <definedName name="FF">#REF!</definedName>
    <definedName name="FF_1">#REF!</definedName>
    <definedName name="FF_10">#REF!</definedName>
    <definedName name="FF_11">#REF!</definedName>
    <definedName name="FF_16">#REF!</definedName>
    <definedName name="FF_2">#REF!</definedName>
    <definedName name="FF_6">#REF!</definedName>
    <definedName name="FF_8">#REF!</definedName>
    <definedName name="FF_Beam">#REF!</definedName>
    <definedName name="ff_line">#REF!</definedName>
    <definedName name="ff_rrom">#REF!</definedName>
    <definedName name="FFboh">#REF!</definedName>
    <definedName name="FFE">#REF!</definedName>
    <definedName name="FFFF">#N/A</definedName>
    <definedName name="ffffff" localSheetId="3" hidden="1">{#N/A,#N/A,FALSE,"CCTV"}</definedName>
    <definedName name="ffffff" hidden="1">{#N/A,#N/A,FALSE,"CCTV"}</definedName>
    <definedName name="fffffffffffffffghk">#REF!</definedName>
    <definedName name="fffffffffffffffghk_1">#REF!</definedName>
    <definedName name="fffffffffffffffghk_17">#REF!</definedName>
    <definedName name="fffffffffffffffghk_2">#REF!</definedName>
    <definedName name="fffffffffffffffghk_6">#REF!</definedName>
    <definedName name="ffgf">#REF!</definedName>
    <definedName name="FFN" localSheetId="3">#REF!</definedName>
    <definedName name="FFN">#REF!</definedName>
    <definedName name="FFV" localSheetId="3">#REF!</definedName>
    <definedName name="FFV">#REF!</definedName>
    <definedName name="FG" localSheetId="3">#REF!</definedName>
    <definedName name="FG">#REF!</definedName>
    <definedName name="fgf">#REF!</definedName>
    <definedName name="fgff">#REF!</definedName>
    <definedName name="FGH" localSheetId="3">#REF!</definedName>
    <definedName name="FGH">#REF!</definedName>
    <definedName name="Fh" localSheetId="3">#REF!</definedName>
    <definedName name="Fh">#REF!</definedName>
    <definedName name="Fha" localSheetId="3">#REF!</definedName>
    <definedName name="Fha">#REF!</definedName>
    <definedName name="fhgjfghfghgf" localSheetId="3" hidden="1">{#N/A,#N/A,FALSE,"CCTV"}</definedName>
    <definedName name="fhgjfghfghgf" hidden="1">{#N/A,#N/A,FALSE,"CCTV"}</definedName>
    <definedName name="fhhhh" localSheetId="3"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 localSheetId="3">#REF!</definedName>
    <definedName name="Fhwa">#REF!</definedName>
    <definedName name="Fhwl" localSheetId="3">#REF!</definedName>
    <definedName name="Fhwl">#REF!</definedName>
    <definedName name="Fi" localSheetId="3">#REF!</definedName>
    <definedName name="Fi">#REF!</definedName>
    <definedName name="fi4_" localSheetId="3">#REF!</definedName>
    <definedName name="fi4_">#REF!</definedName>
    <definedName name="fi4a" localSheetId="3">#REF!</definedName>
    <definedName name="fi4a">#REF!</definedName>
    <definedName name="fiberboard" localSheetId="3">#REF!</definedName>
    <definedName name="fiberboard">#REF!</definedName>
    <definedName name="fiberboard20">#REF!</definedName>
    <definedName name="fiberboard5">#REF!</definedName>
    <definedName name="fibreboard12">#REF!</definedName>
    <definedName name="FileName">#REF!</definedName>
    <definedName name="filtermaterial">#REF!</definedName>
    <definedName name="Fine_sand">#REF!</definedName>
    <definedName name="finesand" localSheetId="3">#REF!</definedName>
    <definedName name="finesand">#REF!</definedName>
    <definedName name="fini" localSheetId="3">#REF!</definedName>
    <definedName name="fini">#REF!</definedName>
    <definedName name="fini4" localSheetId="3">#REF!</definedName>
    <definedName name="fini4">#REF!</definedName>
    <definedName name="Fire" localSheetId="3">#REF!</definedName>
    <definedName name="Fire">#REF!</definedName>
    <definedName name="firstmom" localSheetId="3">#REF!</definedName>
    <definedName name="firstmom">#REF!</definedName>
    <definedName name="firstmomn" localSheetId="3">#REF!</definedName>
    <definedName name="firstmomn">#REF!</definedName>
    <definedName name="Fitments" localSheetId="3">#REF!</definedName>
    <definedName name="Fitments">#REF!</definedName>
    <definedName name="FITTER">#REF!</definedName>
    <definedName name="Fittings" localSheetId="3">#REF!</definedName>
    <definedName name="Fittings">#REF!</definedName>
    <definedName name="fixc" localSheetId="3">#REF!</definedName>
    <definedName name="fixc">#REF!</definedName>
    <definedName name="fixca" localSheetId="3">#REF!</definedName>
    <definedName name="fixca">#REF!</definedName>
    <definedName name="fjhgfd" localSheetId="3" hidden="1">{"'Sheet1'!$A$4386:$N$4591"}</definedName>
    <definedName name="fjhgfd" hidden="1">{"'Sheet1'!$A$4386:$N$4591"}</definedName>
    <definedName name="fl">#REF!</definedName>
    <definedName name="FL10mx250HPS">#REF!</definedName>
    <definedName name="flatstone">#REF!</definedName>
    <definedName name="flex3c2.5" localSheetId="3">#REF!</definedName>
    <definedName name="flex3c2.5">#REF!</definedName>
    <definedName name="FLG" localSheetId="3">#REF!</definedName>
    <definedName name="FLG">#REF!</definedName>
    <definedName name="FLG_Orifice" localSheetId="3">#REF!</definedName>
    <definedName name="FLG_Orifice">#REF!</definedName>
    <definedName name="FLOOR__FINISHES" localSheetId="3">#REF!</definedName>
    <definedName name="FLOOR__FINISHES">#REF!</definedName>
    <definedName name="FLOW" localSheetId="3">#REF!</definedName>
    <definedName name="FLOW">#REF!</definedName>
    <definedName name="Fm" localSheetId="3">#REF!</definedName>
    <definedName name="Fm">#REF!</definedName>
    <definedName name="fme" localSheetId="3">#REF!</definedName>
    <definedName name="fme">#REF!</definedName>
    <definedName name="Fml" localSheetId="3">#REF!</definedName>
    <definedName name="Fml">#REF!</definedName>
    <definedName name="fmn" localSheetId="3">#REF!</definedName>
    <definedName name="fmn">#REF!</definedName>
    <definedName name="Fmr" localSheetId="3">#REF!</definedName>
    <definedName name="Fmr">#REF!</definedName>
    <definedName name="fmw" localSheetId="3">#REF!</definedName>
    <definedName name="fmw">#REF!</definedName>
    <definedName name="fn" localSheetId="3">#REF!</definedName>
    <definedName name="fn">#REF!</definedName>
    <definedName name="fo" localSheetId="3">#REF!</definedName>
    <definedName name="fo">#REF!</definedName>
    <definedName name="foa">#REF!</definedName>
    <definedName name="FOHLights">#REF!</definedName>
    <definedName name="FOR" localSheetId="3" hidden="1">{#N/A,#N/A,FALSE,"CCTV"}</definedName>
    <definedName name="FOR" hidden="1">{#N/A,#N/A,FALSE,"CCTV"}</definedName>
    <definedName name="FOREMAN">#REF!</definedName>
    <definedName name="FORM" localSheetId="3">#REF!</definedName>
    <definedName name="FORM">#REF!</definedName>
    <definedName name="FORM___0" localSheetId="3">#REF!</definedName>
    <definedName name="FORM___0">#REF!</definedName>
    <definedName name="FORM___0___0">"$#REF!.$#REF!$#REF!:$#REF!$#REF!"</definedName>
    <definedName name="FORM___0___3">"$#REF!.$#REF!$#REF!:$#REF!$#REF!"</definedName>
    <definedName name="FORM___0___4">"$#REF!.$#REF!$#REF!:$#REF!$#REF!"</definedName>
    <definedName name="FORM___0_1">#REF!</definedName>
    <definedName name="FORM___0_10">#REF!</definedName>
    <definedName name="FORM___0_11">#REF!</definedName>
    <definedName name="FORM___0_16">#REF!</definedName>
    <definedName name="FORM___0_17">#REF!</definedName>
    <definedName name="FORM___0_8">#REF!</definedName>
    <definedName name="FORM___2">#REF!</definedName>
    <definedName name="FORM___2___0">"$#REF!.$#REF!$#REF!:$#REF!$#REF!"</definedName>
    <definedName name="FORM___2___3">"$#REF!.$#REF!$#REF!:$#REF!$#REF!"</definedName>
    <definedName name="FORM___2_1">#REF!</definedName>
    <definedName name="FORM___2_10">#REF!</definedName>
    <definedName name="FORM___2_11">#REF!</definedName>
    <definedName name="FORM___2_16">#REF!</definedName>
    <definedName name="FORM___2_17">#REF!</definedName>
    <definedName name="FORM___2_8">#REF!</definedName>
    <definedName name="FORM___3">#REF!</definedName>
    <definedName name="FORM___3___0">"$#REF!.$#REF!$#REF!:$#REF!$#REF!"</definedName>
    <definedName name="FORM___3___3">"$#REF!.$#REF!$#REF!:$#REF!$#REF!"</definedName>
    <definedName name="FORM___3___4">"$#REF!.$#REF!$#REF!:$#REF!$#REF!"</definedName>
    <definedName name="FORM___3_1">#REF!</definedName>
    <definedName name="FORM___3_10">#REF!</definedName>
    <definedName name="FORM___3_11">#REF!</definedName>
    <definedName name="FORM___3_16">#REF!</definedName>
    <definedName name="FORM___3_17">#REF!</definedName>
    <definedName name="FORM___3_8">#REF!</definedName>
    <definedName name="FORM___4">#REF!</definedName>
    <definedName name="FORM___4___0">"$#REF!.$#REF!$#REF!:$#REF!$#REF!"</definedName>
    <definedName name="FORM___4___3">"$#REF!.$#REF!$#REF!:$#REF!$#REF!"</definedName>
    <definedName name="FORM___4_1">#REF!</definedName>
    <definedName name="FORM___4_10">#REF!</definedName>
    <definedName name="FORM___4_11">#REF!</definedName>
    <definedName name="FORM___4_16">#REF!</definedName>
    <definedName name="FORM___4_17">#REF!</definedName>
    <definedName name="FORM___4_8">#REF!</definedName>
    <definedName name="FORM___7">"$#REF!.$#REF!$#REF!:$#REF!$#REF!"</definedName>
    <definedName name="FORM_1">#REF!</definedName>
    <definedName name="FORM_10">#REF!</definedName>
    <definedName name="FORM_11">#REF!</definedName>
    <definedName name="FORM_12">#REF!</definedName>
    <definedName name="FORM_16">#REF!</definedName>
    <definedName name="FORM_17">#REF!</definedName>
    <definedName name="FORM_2">"$#REF!.$#REF!$#REF!:$#REF!$#REF!"</definedName>
    <definedName name="FORM_3">#REF!</definedName>
    <definedName name="FORM_4">#REF!</definedName>
    <definedName name="FORM_5">#REF!</definedName>
    <definedName name="FORM_6">#REF!</definedName>
    <definedName name="FORM_7">#REF!</definedName>
    <definedName name="FORM_8">#REF!</definedName>
    <definedName name="FORM_9">#REF!</definedName>
    <definedName name="FORMAT" localSheetId="3" hidden="1">{#N/A,#N/A,FALSE,"CCTV"}</definedName>
    <definedName name="FORMAT" hidden="1">{#N/A,#N/A,FALSE,"CCTV"}</definedName>
    <definedName name="formlvl">#REF!</definedName>
    <definedName name="FormQty1">#N/A</definedName>
    <definedName name="formu">#REF!</definedName>
    <definedName name="formula">"#NAME!()"</definedName>
    <definedName name="formula_1">"#NAME!()"</definedName>
    <definedName name="formula_1_1">"#NAME!()"</definedName>
    <definedName name="formula_1_7">"#NAME!()"</definedName>
    <definedName name="formula_2">"#NAME!()"</definedName>
    <definedName name="formula_2_1">"#NAME!()"</definedName>
    <definedName name="formula_2_7">"#NAME!()"</definedName>
    <definedName name="formula_7">"#NAME!()"</definedName>
    <definedName name="formula_8">"#NAME!()"</definedName>
    <definedName name="FORMULA119">#N/A</definedName>
    <definedName name="FORMULA19">#N/A</definedName>
    <definedName name="FORMULA201">#N/A</definedName>
    <definedName name="FORMULA301">#N/A</definedName>
    <definedName name="FORMULA401">#N/A</definedName>
    <definedName name="FORMULA5">#N/A</definedName>
    <definedName name="FORMULA501">#N/A</definedName>
    <definedName name="FORMULA507">#N/A</definedName>
    <definedName name="FORMULA7">#N/A</definedName>
    <definedName name="FORMULA9">#N/A</definedName>
    <definedName name="forthemonth">#REF!</definedName>
    <definedName name="fos">#REF!</definedName>
    <definedName name="foundation">#REF!</definedName>
    <definedName name="FOURTEEN\">#REF!</definedName>
    <definedName name="FOURTEEN_">#REF!</definedName>
    <definedName name="Fp" localSheetId="3">#REF!</definedName>
    <definedName name="Fp">#REF!</definedName>
    <definedName name="fpikg" localSheetId="3">#REF!</definedName>
    <definedName name="fpikg">#REF!</definedName>
    <definedName name="fpikn" localSheetId="3">#REF!</definedName>
    <definedName name="fpikn">#REF!</definedName>
    <definedName name="Fr" localSheetId="3">#REF!</definedName>
    <definedName name="Fr">#REF!</definedName>
    <definedName name="FRAME" localSheetId="3">#REF!</definedName>
    <definedName name="FRAME">#REF!</definedName>
    <definedName name="frcnco" localSheetId="3">#REF!</definedName>
    <definedName name="frcnco">#REF!</definedName>
    <definedName name="FRE" localSheetId="3">#REF!</definedName>
    <definedName name="FRE">#REF!</definedName>
    <definedName name="freq" localSheetId="3">#REF!</definedName>
    <definedName name="freq">#REF!</definedName>
    <definedName name="FRF">#REF!</definedName>
    <definedName name="Frl" localSheetId="3">#REF!</definedName>
    <definedName name="Frl">#REF!</definedName>
    <definedName name="frlvclcw" localSheetId="3">#REF!</definedName>
    <definedName name="frlvclcw">#REF!</definedName>
    <definedName name="frlvclpr" localSheetId="3">#REF!</definedName>
    <definedName name="frlvclpr">#REF!</definedName>
    <definedName name="frlvl" localSheetId="3">#REF!</definedName>
    <definedName name="frlvl">#REF!</definedName>
    <definedName name="from" localSheetId="3" hidden="1">{"'Typical Costs Estimates'!$C$158:$H$161"}</definedName>
    <definedName name="from" hidden="1">{"'Typical Costs Estimates'!$C$158:$H$161"}</definedName>
    <definedName name="Frr">#REF!</definedName>
    <definedName name="Fs" localSheetId="3">#REF!</definedName>
    <definedName name="Fs">#REF!</definedName>
    <definedName name="fsab" localSheetId="3">#REF!</definedName>
    <definedName name="fsab">#REF!</definedName>
    <definedName name="fsabn" localSheetId="3">#REF!</definedName>
    <definedName name="fsabn">#REF!</definedName>
    <definedName name="fscc">#REF!</definedName>
    <definedName name="Fsct">#REF!</definedName>
    <definedName name="fSD" localSheetId="3">#REF!</definedName>
    <definedName name="fSD">#REF!</definedName>
    <definedName name="fsDd" localSheetId="3">#REF!</definedName>
    <definedName name="fsDd">#REF!</definedName>
    <definedName name="fsdf" localSheetId="3" hidden="1">#REF!</definedName>
    <definedName name="fsdf" hidden="1">#REF!</definedName>
    <definedName name="FSDFFF" localSheetId="3" hidden="1">{#N/A,#N/A,FALSE,"COVER1.XLS ";#N/A,#N/A,FALSE,"RACT1.XLS";#N/A,#N/A,FALSE,"RACT2.XLS";#N/A,#N/A,FALSE,"ECCMP";#N/A,#N/A,FALSE,"WELDER.XLS"}</definedName>
    <definedName name="FSDFFF" hidden="1">{#N/A,#N/A,FALSE,"COVER1.XLS ";#N/A,#N/A,FALSE,"RACT1.XLS";#N/A,#N/A,FALSE,"RACT2.XLS";#N/A,#N/A,FALSE,"ECCMP";#N/A,#N/A,FALSE,"WELDER.XLS"}</definedName>
    <definedName name="fsg" localSheetId="3">#REF!</definedName>
    <definedName name="fsg">#REF!</definedName>
    <definedName name="fspl" localSheetId="3">#REF!</definedName>
    <definedName name="fspl">#REF!</definedName>
    <definedName name="fsplab" localSheetId="3">#REF!</definedName>
    <definedName name="fsplab">#REF!</definedName>
    <definedName name="fspr">#REF!</definedName>
    <definedName name="fsprab">#REF!</definedName>
    <definedName name="fspsubscribersperE1">#REF!</definedName>
    <definedName name="fst">#REF!</definedName>
    <definedName name="ft">#REF!</definedName>
    <definedName name="ft_sch" localSheetId="3">#REF!</definedName>
    <definedName name="ft_sch">#REF!</definedName>
    <definedName name="Ftg" localSheetId="3">#REF!</definedName>
    <definedName name="Ftg">#REF!</definedName>
    <definedName name="FtgA" localSheetId="3">#REF!</definedName>
    <definedName name="FtgA">#REF!</definedName>
    <definedName name="FtgB">#REF!</definedName>
    <definedName name="FtgE">#REF!</definedName>
    <definedName name="FtgP">#REF!</definedName>
    <definedName name="Ftgs">#REF!</definedName>
    <definedName name="fth">#REF!</definedName>
    <definedName name="FTV">#REF!</definedName>
    <definedName name="FTVN">#REF!</definedName>
    <definedName name="Fuel_consumption">#REF!</definedName>
    <definedName name="Full_Print" localSheetId="3">#REF!</definedName>
    <definedName name="Full_Print">#REF!</definedName>
    <definedName name="fullTl" localSheetId="3">#REF!</definedName>
    <definedName name="fullTl">#REF!</definedName>
    <definedName name="fullview" localSheetId="3">#REF!</definedName>
    <definedName name="fullview">#REF!</definedName>
    <definedName name="funds" localSheetId="3" hidden="1">{"'Sheet1'!$A$4386:$N$4591"}</definedName>
    <definedName name="funds" hidden="1">{"'Sheet1'!$A$4386:$N$4591"}</definedName>
    <definedName name="fusewire">#REF!</definedName>
    <definedName name="Fv" localSheetId="3">#REF!</definedName>
    <definedName name="Fv">#REF!</definedName>
    <definedName name="fvgdf" localSheetId="3">#REF!</definedName>
    <definedName name="fvgdf">#REF!</definedName>
    <definedName name="Fvl" localSheetId="3">#REF!</definedName>
    <definedName name="Fvl">#REF!</definedName>
    <definedName name="Fvr" localSheetId="3">#REF!</definedName>
    <definedName name="Fvr">#REF!</definedName>
    <definedName name="fvv" localSheetId="3">#REF!</definedName>
    <definedName name="fvv">#REF!</definedName>
    <definedName name="fw">12</definedName>
    <definedName name="Fwi" localSheetId="3">#REF!</definedName>
    <definedName name="Fwi">#REF!</definedName>
    <definedName name="fx" localSheetId="3">#REF!</definedName>
    <definedName name="fx">#REF!</definedName>
    <definedName name="Fy" localSheetId="3">#REF!</definedName>
    <definedName name="Fy">#REF!</definedName>
    <definedName name="g" localSheetId="3">#REF!</definedName>
    <definedName name="g">#REF!</definedName>
    <definedName name="g___0">#REF!</definedName>
    <definedName name="g___0___0">"$#REF!.$#REF!$#REF!"</definedName>
    <definedName name="g___0___3">"$#REF!.$#REF!$#REF!"</definedName>
    <definedName name="g___0___4">"$#REF!.$#REF!$#REF!"</definedName>
    <definedName name="g___0_1">#REF!</definedName>
    <definedName name="g___0_10">#REF!</definedName>
    <definedName name="g___0_11">#REF!</definedName>
    <definedName name="g___0_16">#REF!</definedName>
    <definedName name="g___0_17">#REF!</definedName>
    <definedName name="g___0_8">#REF!</definedName>
    <definedName name="g___2">#REF!</definedName>
    <definedName name="g___2___0">"$#REF!.$#REF!$#REF!"</definedName>
    <definedName name="g___2___3">"$#REF!.$#REF!$#REF!"</definedName>
    <definedName name="g___2_1">#REF!</definedName>
    <definedName name="g___2_10">#REF!</definedName>
    <definedName name="g___2_11">#REF!</definedName>
    <definedName name="g___2_16">#REF!</definedName>
    <definedName name="g___2_17">#REF!</definedName>
    <definedName name="g___2_8">#REF!</definedName>
    <definedName name="g___3">#REF!</definedName>
    <definedName name="g___3___0">"$#REF!.$#REF!$#REF!"</definedName>
    <definedName name="g___3___3">"$#REF!.$#REF!$#REF!"</definedName>
    <definedName name="g___3___4">"$#REF!.$#REF!$#REF!"</definedName>
    <definedName name="g___3_1">#REF!</definedName>
    <definedName name="g___3_10">#REF!</definedName>
    <definedName name="g___3_11">#REF!</definedName>
    <definedName name="g___3_16">#REF!</definedName>
    <definedName name="g___3_17">#REF!</definedName>
    <definedName name="g___3_8">#REF!</definedName>
    <definedName name="g___4">#REF!</definedName>
    <definedName name="g___4___0">"$#REF!.$#REF!$#REF!"</definedName>
    <definedName name="g___4___3">"$#REF!.$#REF!$#REF!"</definedName>
    <definedName name="g___4_1">#REF!</definedName>
    <definedName name="g___4_10">#REF!</definedName>
    <definedName name="g___4_11">#REF!</definedName>
    <definedName name="g___4_16">#REF!</definedName>
    <definedName name="g___4_17">#REF!</definedName>
    <definedName name="g___4_8">#REF!</definedName>
    <definedName name="g___7">"$#REF!.$#REF!$#REF!"</definedName>
    <definedName name="g_1">#REF!</definedName>
    <definedName name="g_10">#REF!</definedName>
    <definedName name="g_11">#REF!</definedName>
    <definedName name="g_12">#REF!</definedName>
    <definedName name="g_16">#REF!</definedName>
    <definedName name="g_17">#REF!</definedName>
    <definedName name="g_2">"$#REF!.$#REF!$#REF!"</definedName>
    <definedName name="g_3">#REF!</definedName>
    <definedName name="g_4">#REF!</definedName>
    <definedName name="g_5">#REF!</definedName>
    <definedName name="G_6">#REF!</definedName>
    <definedName name="g_7">#REF!</definedName>
    <definedName name="g_8">#REF!</definedName>
    <definedName name="g_9">#REF!</definedName>
    <definedName name="gama">#REF!</definedName>
    <definedName name="gamah">#REF!</definedName>
    <definedName name="GAS">#REF!</definedName>
    <definedName name="gate" localSheetId="3">#REF!</definedName>
    <definedName name="gate">#REF!</definedName>
    <definedName name="gb" localSheetId="3">#REF!</definedName>
    <definedName name="gb">#REF!</definedName>
    <definedName name="GB_Sched" localSheetId="3">#REF!</definedName>
    <definedName name="GB_Sched">#REF!</definedName>
    <definedName name="GBP">#REF!</definedName>
    <definedName name="GBPtoDhs">#REF!</definedName>
    <definedName name="Gc" localSheetId="3">#REF!</definedName>
    <definedName name="Gc">#REF!</definedName>
    <definedName name="Gci" localSheetId="3">#REF!</definedName>
    <definedName name="Gci">#REF!</definedName>
    <definedName name="GCinH" localSheetId="3">#REF!</definedName>
    <definedName name="GCinH">#REF!</definedName>
    <definedName name="GCinL" localSheetId="3">#REF!</definedName>
    <definedName name="GCinL">#REF!</definedName>
    <definedName name="GCinW" localSheetId="3">#REF!</definedName>
    <definedName name="GCinW">#REF!</definedName>
    <definedName name="GCinWt">#REF!</definedName>
    <definedName name="GCocH">#REF!</definedName>
    <definedName name="GCocL">#REF!</definedName>
    <definedName name="GCocW">#REF!</definedName>
    <definedName name="GCocWt">#REF!</definedName>
    <definedName name="GD" localSheetId="3" hidden="1">{#N/A,#N/A,FALSE,"CCTV"}</definedName>
    <definedName name="GD" hidden="1">{#N/A,#N/A,FALSE,"CCTV"}</definedName>
    <definedName name="GDF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Tubecost">#REF!</definedName>
    <definedName name="gelatine" localSheetId="3">#REF!</definedName>
    <definedName name="gelatine">#REF!</definedName>
    <definedName name="Gen" localSheetId="3">BOQ_G!Gen</definedName>
    <definedName name="Gen">BOQ_G!Gen</definedName>
    <definedName name="genandadmin" localSheetId="3">#REF!</definedName>
    <definedName name="genandadmin">#REF!</definedName>
    <definedName name="Gene_Rig_McxMth" localSheetId="3">#REF!</definedName>
    <definedName name="Gene_Rig_McxMth">#REF!</definedName>
    <definedName name="General" localSheetId="3">#REF!</definedName>
    <definedName name="General">#REF!</definedName>
    <definedName name="General_Rig_FC">#REF!</definedName>
    <definedName name="General_Rig_LC">#REF!</definedName>
    <definedName name="GeneralInformation" localSheetId="3">BOQ_G!GeneralInformation</definedName>
    <definedName name="GeneralInformation">BOQ_G!GeneralInformation</definedName>
    <definedName name="geofabric" localSheetId="3">#REF!</definedName>
    <definedName name="geofabric">#REF!</definedName>
    <definedName name="Gera" localSheetId="3">#REF!</definedName>
    <definedName name="Gera">#REF!</definedName>
    <definedName name="gf" localSheetId="3">#REF!</definedName>
    <definedName name="gf">#REF!</definedName>
    <definedName name="gf_room" localSheetId="3">#REF!</definedName>
    <definedName name="gf_room">#REF!</definedName>
    <definedName name="GF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jgfh" localSheetId="3" hidden="1">{#N/A,#N/A,FALSE,"CCTV"}</definedName>
    <definedName name="gfjgfh" hidden="1">{#N/A,#N/A,FALSE,"CCTV"}</definedName>
    <definedName name="gfjgfhfg" localSheetId="3" hidden="1">{#N/A,#N/A,FALSE,"CCTV"}</definedName>
    <definedName name="gfjgfhfg" hidden="1">{#N/A,#N/A,FALSE,"CCTV"}</definedName>
    <definedName name="gfjh">#REF!</definedName>
    <definedName name="gfkk" localSheetId="3">#REF!</definedName>
    <definedName name="gfkk">#REF!</definedName>
    <definedName name="GG" localSheetId="3" hidden="1">{#N/A,#N/A,TRUE,"Front";#N/A,#N/A,TRUE,"Simple Letter";#N/A,#N/A,TRUE,"Inside";#N/A,#N/A,TRUE,"Contents";#N/A,#N/A,TRUE,"Basis";#N/A,#N/A,TRUE,"Inclusions";#N/A,#N/A,TRUE,"Exclusions";#N/A,#N/A,TRUE,"Areas";#N/A,#N/A,TRUE,"Summary";#N/A,#N/A,TRUE,"Detail"}</definedName>
    <definedName name="GG" hidden="1">{#N/A,#N/A,TRUE,"Front";#N/A,#N/A,TRUE,"Simple Letter";#N/A,#N/A,TRUE,"Inside";#N/A,#N/A,TRUE,"Contents";#N/A,#N/A,TRUE,"Basis";#N/A,#N/A,TRUE,"Inclusions";#N/A,#N/A,TRUE,"Exclusions";#N/A,#N/A,TRUE,"Areas";#N/A,#N/A,TRUE,"Summary";#N/A,#N/A,TRUE,"Detail"}</definedName>
    <definedName name="ggfcgf">#REF!</definedName>
    <definedName name="ggffg" localSheetId="3">#REF!</definedName>
    <definedName name="ggffg">#REF!</definedName>
    <definedName name="ggg" localSheetId="3">#REF!</definedName>
    <definedName name="ggg">#REF!</definedName>
    <definedName name="gggg" localSheetId="3" hidden="1">{"'Typical Costs Estimates'!$C$158:$H$161"}</definedName>
    <definedName name="gggg" hidden="1">{"'Typical Costs Estimates'!$C$158:$H$161"}</definedName>
    <definedName name="GHG">#REF!</definedName>
    <definedName name="ghghgh">#REF!</definedName>
    <definedName name="ghj" hidden="1">#REF!</definedName>
    <definedName name="ghjjkh">#REF!</definedName>
    <definedName name="Gi" localSheetId="3">#REF!</definedName>
    <definedName name="Gi">#REF!</definedName>
    <definedName name="GI75X10" localSheetId="3">#REF!</definedName>
    <definedName name="GI75X10">#REF!</definedName>
    <definedName name="giathucte">#REF!</definedName>
    <definedName name="GiaThucTe1">#REF!</definedName>
    <definedName name="Giavatlieu">#REF!</definedName>
    <definedName name="GInfo" localSheetId="3">BOQ_G!GInfo</definedName>
    <definedName name="GInfo">BOQ_G!GInfo</definedName>
    <definedName name="GIpipecost" localSheetId="3">#REF!</definedName>
    <definedName name="GIpipecost">#REF!</definedName>
    <definedName name="GIpipelength" localSheetId="3">#REF!</definedName>
    <definedName name="GIpipelength">#REF!</definedName>
    <definedName name="Girder_Length">#REF!</definedName>
    <definedName name="GIRDERDIST">#REF!</definedName>
    <definedName name="GIRDERWMS">#REF!</definedName>
    <definedName name="GIRDERWS">#REF!</definedName>
    <definedName name="GITRK15x15" localSheetId="3">#REF!</definedName>
    <definedName name="GITRK15x15">#REF!</definedName>
    <definedName name="GITRK5x5" localSheetId="3">#REF!</definedName>
    <definedName name="GITRK5x5">#REF!</definedName>
    <definedName name="gl3p" localSheetId="3">#REF!</definedName>
    <definedName name="gl3p">#REF!</definedName>
    <definedName name="GlassFactors">#REF!</definedName>
    <definedName name="GlassType">#REF!</definedName>
    <definedName name="GlassTypeMenu">#REF!</definedName>
    <definedName name="Glazing">#REF!</definedName>
    <definedName name="GLevel" localSheetId="3">#REF!</definedName>
    <definedName name="GLevel">#REF!</definedName>
    <definedName name="globe" localSheetId="3">#REF!</definedName>
    <definedName name="globe">#REF!</definedName>
    <definedName name="globref">INDIRECT("rc",FALSE)</definedName>
    <definedName name="globref_1">INDIRECT("rc")</definedName>
    <definedName name="globref_2">INDIRECT("rc")</definedName>
    <definedName name="globref_8">INDIRECT("rc")</definedName>
    <definedName name="gmain3">#REF!</definedName>
    <definedName name="gmr" localSheetId="3">#REF!</definedName>
    <definedName name="gmr">#REF!</definedName>
    <definedName name="Goto_Quants_Generator">#N/A</definedName>
    <definedName name="gr" localSheetId="3">#REF!</definedName>
    <definedName name="gr">#REF!</definedName>
    <definedName name="Grade_seperator" localSheetId="3">#REF!</definedName>
    <definedName name="Grade_seperator">#REF!</definedName>
    <definedName name="grader" localSheetId="3">#REF!</definedName>
    <definedName name="grader">#REF!</definedName>
    <definedName name="grav" localSheetId="3">#REF!</definedName>
    <definedName name="grav">#REF!</definedName>
    <definedName name="gravel">#REF!</definedName>
    <definedName name="grbs">#REF!</definedName>
    <definedName name="grg">#REF!</definedName>
    <definedName name="grid" localSheetId="3">#REF!</definedName>
    <definedName name="grid">#REF!</definedName>
    <definedName name="GRLvl" localSheetId="3">#REF!</definedName>
    <definedName name="GRLvl">#REF!</definedName>
    <definedName name="gross" localSheetId="3">#REF!</definedName>
    <definedName name="gross">#REF!</definedName>
    <definedName name="Group1" localSheetId="3">#REF!</definedName>
    <definedName name="Group1">#REF!</definedName>
    <definedName name="Group2">#REF!</definedName>
    <definedName name="Group3">#REF!</definedName>
    <definedName name="Group4">#REF!</definedName>
    <definedName name="group5">#REF!</definedName>
    <definedName name="grout_type">#REF!</definedName>
    <definedName name="gs">#REF!</definedName>
    <definedName name="gsf">#REF!</definedName>
    <definedName name="gsm">#REF!</definedName>
    <definedName name="gsub">#REF!</definedName>
    <definedName name="GSubase">#REF!</definedName>
    <definedName name="GTG">#REF!</definedName>
    <definedName name="GTGx">#REF!</definedName>
    <definedName name="GTN10pr1.0">#REF!</definedName>
    <definedName name="GTN12c1.5">#REF!</definedName>
    <definedName name="GTN12c2.5">#REF!</definedName>
    <definedName name="GTN19c1.5">#REF!</definedName>
    <definedName name="GTN1c10">#REF!</definedName>
    <definedName name="GTN1c120">#REF!</definedName>
    <definedName name="GTN1c150">#REF!</definedName>
    <definedName name="GTN1c16">#REF!</definedName>
    <definedName name="GTN1c185">#REF!</definedName>
    <definedName name="GTN1c240">#REF!</definedName>
    <definedName name="GTN1c25">#REF!</definedName>
    <definedName name="GTN1c300">#REF!</definedName>
    <definedName name="GTN1c35">#REF!</definedName>
    <definedName name="GTN1c50">#REF!</definedName>
    <definedName name="GTN1c70">#REF!</definedName>
    <definedName name="GTN1c95">#REF!</definedName>
    <definedName name="GTN1pr1.0">#REF!</definedName>
    <definedName name="GTN1Q1.0">#REF!</definedName>
    <definedName name="GTN20pr1.0">#REF!</definedName>
    <definedName name="GTN27c1.5">#REF!</definedName>
    <definedName name="GTN2c2.5">#REF!</definedName>
    <definedName name="GTN2c4">#REF!</definedName>
    <definedName name="GTN37c1.5">#REF!</definedName>
    <definedName name="GTN3c185hv">#REF!</definedName>
    <definedName name="GTN3c2.5">#REF!</definedName>
    <definedName name="GTN3c240hv">#REF!</definedName>
    <definedName name="GTN4c10">#REF!</definedName>
    <definedName name="GTN4c120">#REF!</definedName>
    <definedName name="GTN4c150">#REF!</definedName>
    <definedName name="GTN4c16">#REF!</definedName>
    <definedName name="GTN4c185">#REF!</definedName>
    <definedName name="GTN4c2.5">#REF!</definedName>
    <definedName name="GTN4c240">#REF!</definedName>
    <definedName name="GTN4c25">#REF!</definedName>
    <definedName name="GTN4c300">#REF!</definedName>
    <definedName name="GTN4c35">#REF!</definedName>
    <definedName name="GTN4c4">#REF!</definedName>
    <definedName name="GTN4c50">#REF!</definedName>
    <definedName name="GTN4c6">#REF!</definedName>
    <definedName name="GTN4c70">#REF!</definedName>
    <definedName name="GTN4c95">#REF!</definedName>
    <definedName name="GTN7c1.5">#REF!</definedName>
    <definedName name="GTNflex3c2.5">#REF!</definedName>
    <definedName name="GTOT">#REF!</definedName>
    <definedName name="GTOT___0">#REF!</definedName>
    <definedName name="GTOT___0___0">"$#REF!.$#REF!$#REF!"</definedName>
    <definedName name="GTOT___0___3">"$#REF!.$#REF!$#REF!"</definedName>
    <definedName name="GTOT___0___4">"$#REF!.$#REF!$#REF!"</definedName>
    <definedName name="GTOT___0_1">#REF!</definedName>
    <definedName name="GTOT___0_10">#REF!</definedName>
    <definedName name="GTOT___0_11">#REF!</definedName>
    <definedName name="GTOT___0_16">#REF!</definedName>
    <definedName name="GTOT___0_17">#REF!</definedName>
    <definedName name="GTOT___0_8">#REF!</definedName>
    <definedName name="GTOT___2">#REF!</definedName>
    <definedName name="GTOT___2___0">"$#REF!.$#REF!$#REF!"</definedName>
    <definedName name="GTOT___2___3">"$#REF!.$#REF!$#REF!"</definedName>
    <definedName name="GTOT___2_1">#REF!</definedName>
    <definedName name="GTOT___2_10">#REF!</definedName>
    <definedName name="GTOT___2_11">#REF!</definedName>
    <definedName name="GTOT___2_16">#REF!</definedName>
    <definedName name="GTOT___2_17">#REF!</definedName>
    <definedName name="GTOT___2_8">#REF!</definedName>
    <definedName name="GTOT___3">#REF!</definedName>
    <definedName name="GTOT___3___0">"$#REF!.$#REF!$#REF!"</definedName>
    <definedName name="GTOT___3___3">"$#REF!.$#REF!$#REF!"</definedName>
    <definedName name="GTOT___3___4">"$#REF!.$#REF!$#REF!"</definedName>
    <definedName name="GTOT___3_1">#REF!</definedName>
    <definedName name="GTOT___3_10">#REF!</definedName>
    <definedName name="GTOT___3_11">#REF!</definedName>
    <definedName name="GTOT___3_16">#REF!</definedName>
    <definedName name="GTOT___3_17">#REF!</definedName>
    <definedName name="GTOT___3_8">#REF!</definedName>
    <definedName name="GTOT___4">#REF!</definedName>
    <definedName name="GTOT___4___0">"$#REF!.$#REF!$#REF!"</definedName>
    <definedName name="GTOT___4___3">"$#REF!.$#REF!$#REF!"</definedName>
    <definedName name="GTOT___4_1">#REF!</definedName>
    <definedName name="GTOT___4_10">#REF!</definedName>
    <definedName name="GTOT___4_11">#REF!</definedName>
    <definedName name="GTOT___4_16">#REF!</definedName>
    <definedName name="GTOT___4_17">#REF!</definedName>
    <definedName name="GTOT___4_8">#REF!</definedName>
    <definedName name="GTOT___7">"$#REF!.$#REF!$#REF!"</definedName>
    <definedName name="GTOT_1">#REF!</definedName>
    <definedName name="GTOT_10">#REF!</definedName>
    <definedName name="GTOT_11">#REF!</definedName>
    <definedName name="GTOT_12">#REF!</definedName>
    <definedName name="GTOT_16">#REF!</definedName>
    <definedName name="GTOT_17">#REF!</definedName>
    <definedName name="GTOT_2">"$#REF!.$#REF!$#REF!"</definedName>
    <definedName name="GTOT_3">#REF!</definedName>
    <definedName name="GTOT_4">#REF!</definedName>
    <definedName name="GTOT_5">#REF!</definedName>
    <definedName name="GTOT_6">#REF!</definedName>
    <definedName name="GTOT_7">#REF!</definedName>
    <definedName name="GTOT_8">#REF!</definedName>
    <definedName name="GTOT_9">#REF!</definedName>
    <definedName name="GTX10pr1.0">#REF!</definedName>
    <definedName name="GTX12c1.5">#REF!</definedName>
    <definedName name="GTX12c2.5">#REF!</definedName>
    <definedName name="GTX19c1.5">#REF!</definedName>
    <definedName name="GTX1c400">#REF!</definedName>
    <definedName name="GTX1c630">#REF!</definedName>
    <definedName name="GTX1pr1.0">#REF!</definedName>
    <definedName name="GTX1Q1.0">#REF!</definedName>
    <definedName name="GTX20pr1.0">#REF!</definedName>
    <definedName name="GTX27c1.5">#REF!</definedName>
    <definedName name="GTX2c2.5">#REF!</definedName>
    <definedName name="GTX2c4">#REF!</definedName>
    <definedName name="GTX37c1.5">#REF!</definedName>
    <definedName name="GTX3c185hv">#REF!</definedName>
    <definedName name="GTX3c2.5">#REF!</definedName>
    <definedName name="GTX3c240hv">#REF!</definedName>
    <definedName name="GTX7c1.5">#REF!</definedName>
    <definedName name="GTXflex3c2.5">#REF!</definedName>
    <definedName name="guardstonedism">#REF!</definedName>
    <definedName name="GW" localSheetId="3">#REF!</definedName>
    <definedName name="GW">#REF!</definedName>
    <definedName name="Gxl">#REF!</definedName>
    <definedName name="h" localSheetId="3">#REF!</definedName>
    <definedName name="h">#REF!</definedName>
    <definedName name="h.1" localSheetId="3">#REF!</definedName>
    <definedName name="h.1">#REF!</definedName>
    <definedName name="h.2" localSheetId="3">#REF!</definedName>
    <definedName name="h.2">#REF!</definedName>
    <definedName name="h.3">#REF!</definedName>
    <definedName name="h.4">#REF!</definedName>
    <definedName name="h.5">#REF!</definedName>
    <definedName name="h___0">#REF!</definedName>
    <definedName name="h___0___0">"$#REF!.$#REF!$#REF!"</definedName>
    <definedName name="h___0___3">"$#REF!.$#REF!$#REF!"</definedName>
    <definedName name="h___0___4">"$#REF!.$#REF!$#REF!"</definedName>
    <definedName name="h___0_1">#REF!</definedName>
    <definedName name="h___0_10">#REF!</definedName>
    <definedName name="h___0_11">#REF!</definedName>
    <definedName name="h___0_16">#REF!</definedName>
    <definedName name="h___0_17">#REF!</definedName>
    <definedName name="h___0_8">#REF!</definedName>
    <definedName name="h___2">#REF!</definedName>
    <definedName name="h___2___0">"$#REF!.$#REF!$#REF!"</definedName>
    <definedName name="h___2___3">"$#REF!.$#REF!$#REF!"</definedName>
    <definedName name="h___2_1">#REF!</definedName>
    <definedName name="h___2_10">#REF!</definedName>
    <definedName name="h___2_11">#REF!</definedName>
    <definedName name="h___2_16">#REF!</definedName>
    <definedName name="h___2_17">#REF!</definedName>
    <definedName name="h___2_8">#REF!</definedName>
    <definedName name="h___3">#REF!</definedName>
    <definedName name="h___3___0">"$#REF!.$#REF!$#REF!"</definedName>
    <definedName name="h___3___3">"$#REF!.$#REF!$#REF!"</definedName>
    <definedName name="h___3___4">"$#REF!.$#REF!$#REF!"</definedName>
    <definedName name="h___3_1">#REF!</definedName>
    <definedName name="h___3_10">#REF!</definedName>
    <definedName name="h___3_11">#REF!</definedName>
    <definedName name="h___3_16">#REF!</definedName>
    <definedName name="h___3_17">#REF!</definedName>
    <definedName name="h___3_8">#REF!</definedName>
    <definedName name="h___4">#REF!</definedName>
    <definedName name="h___4___0">"$#REF!.$#REF!$#REF!"</definedName>
    <definedName name="h___4___3">"$#REF!.$#REF!$#REF!"</definedName>
    <definedName name="h___4_1">#REF!</definedName>
    <definedName name="h___4_10">#REF!</definedName>
    <definedName name="h___4_11">#REF!</definedName>
    <definedName name="h___4_16">#REF!</definedName>
    <definedName name="h___4_17">#REF!</definedName>
    <definedName name="h___4_8">#REF!</definedName>
    <definedName name="h___7">"$#REF!.$#REF!$#REF!"</definedName>
    <definedName name="h_1">#REF!</definedName>
    <definedName name="h_10">#REF!</definedName>
    <definedName name="h_11">#REF!</definedName>
    <definedName name="h_12">#REF!</definedName>
    <definedName name="h_16">#REF!</definedName>
    <definedName name="h_17">#REF!</definedName>
    <definedName name="h_2">"$#REF!.$#REF!$#REF!"</definedName>
    <definedName name="h_3">#REF!</definedName>
    <definedName name="h_4">#REF!</definedName>
    <definedName name="h_5">#REF!</definedName>
    <definedName name="H_6">#REF!</definedName>
    <definedName name="h_7">#REF!</definedName>
    <definedName name="h_8">#REF!</definedName>
    <definedName name="h_9">#REF!</definedName>
    <definedName name="h_af">#REF!</definedName>
    <definedName name="h_bf">#REF!</definedName>
    <definedName name="H0">#REF!</definedName>
    <definedName name="h1i">#REF!</definedName>
    <definedName name="Hammerman">#REF!</definedName>
    <definedName name="hap" localSheetId="3" hidden="1">{#N/A,#N/A,FALSE,"COVER1.XLS ";#N/A,#N/A,FALSE,"RACT1.XLS";#N/A,#N/A,FALSE,"RACT2.XLS";#N/A,#N/A,FALSE,"ECCMP";#N/A,#N/A,FALSE,"WELDER.XLS"}</definedName>
    <definedName name="hap" hidden="1">{#N/A,#N/A,FALSE,"COVER1.XLS ";#N/A,#N/A,FALSE,"RACT1.XLS";#N/A,#N/A,FALSE,"RACT2.XLS";#N/A,#N/A,FALSE,"ECCMP";#N/A,#N/A,FALSE,"WELDER.XLS"}</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dsurfacecutcost">#REF!</definedName>
    <definedName name="HBKJHLA">#REF!</definedName>
    <definedName name="hcurb">#REF!</definedName>
    <definedName name="HDPE40mmcost">#REF!</definedName>
    <definedName name="Heä_soá_laép_xaø_H">1.7</definedName>
    <definedName name="heä_soá_sình_laày">#REF!</definedName>
    <definedName name="headblacksmith">#REF!</definedName>
    <definedName name="HEADER">#REF!</definedName>
    <definedName name="Header_Row">ROW(#REF!)</definedName>
    <definedName name="HEADING">#REF!</definedName>
    <definedName name="headmason">#REF!</definedName>
    <definedName name="HEATER">#REF!</definedName>
    <definedName name="heavy">#REF!</definedName>
    <definedName name="heavyAGRU">#REF!</definedName>
    <definedName name="heavyAS">#REF!</definedName>
    <definedName name="heavyCOMMON">#REF!</definedName>
    <definedName name="heavyCW">#REF!</definedName>
    <definedName name="heavyERU">#REF!</definedName>
    <definedName name="heavyGTG">#REF!</definedName>
    <definedName name="heavyHO">#REF!</definedName>
    <definedName name="heavySG">#REF!</definedName>
    <definedName name="heavyTEG">#REF!</definedName>
    <definedName name="hello">#REF!</definedName>
    <definedName name="her" localSheetId="3">#REF!</definedName>
    <definedName name="her">#REF!</definedName>
    <definedName name="here" localSheetId="3">#REF!</definedName>
    <definedName name="here">#REF!</definedName>
    <definedName name="HessianCloth" localSheetId="3">#REF!</definedName>
    <definedName name="HessianCloth">#REF!</definedName>
    <definedName name="hf" localSheetId="3">#REF!</definedName>
    <definedName name="hf">#REF!</definedName>
    <definedName name="hfdgfdg" localSheetId="3" hidden="1">{#N/A,#N/A,FALSE,"CCTV"}</definedName>
    <definedName name="hfdgfdg" hidden="1">{#N/A,#N/A,FALSE,"CCTV"}</definedName>
    <definedName name="hfjhhjj" localSheetId="3" hidden="1">{#N/A,#N/A,FALSE,"CCTV"}</definedName>
    <definedName name="hfjhhjj" hidden="1">{#N/A,#N/A,FALSE,"CCTV"}</definedName>
    <definedName name="hfl">#REF!</definedName>
    <definedName name="hfla">#REF!</definedName>
    <definedName name="hg">#REF!</definedName>
    <definedName name="hgjfgh" localSheetId="3" hidden="1">{#N/A,#N/A,FALSE,"CCTV"}</definedName>
    <definedName name="hgjfgh" hidden="1">{#N/A,#N/A,FALSE,"CCTV"}</definedName>
    <definedName name="hgjgfhgh" localSheetId="3" hidden="1">{#N/A,#N/A,FALSE,"CCTV"}</definedName>
    <definedName name="hgjgfhgh" hidden="1">{#N/A,#N/A,FALSE,"CCTV"}</definedName>
    <definedName name="hgsdvh">#REF!</definedName>
    <definedName name="hgtfr_5" localSheetId="3">_1NAME()</definedName>
    <definedName name="hgtfr_5" localSheetId="11">_1NAME()</definedName>
    <definedName name="hgtfr_5">_1NAME()</definedName>
    <definedName name="hh" localSheetId="3">#REF!</definedName>
    <definedName name="hh">#REF!</definedName>
    <definedName name="HH_1" localSheetId="3">#REF!</definedName>
    <definedName name="HH_1">#REF!</definedName>
    <definedName name="HH_10" localSheetId="3">#REF!</definedName>
    <definedName name="HH_10">#REF!</definedName>
    <definedName name="HH_11">#REF!</definedName>
    <definedName name="HH_16">#REF!</definedName>
    <definedName name="HH_2">#REF!</definedName>
    <definedName name="HH_6">#REF!</definedName>
    <definedName name="HH_8">#REF!</definedName>
    <definedName name="HH15HT">#REF!</definedName>
    <definedName name="HH16HT">#REF!</definedName>
    <definedName name="HH19HT">#REF!</definedName>
    <definedName name="HH20HT">#REF!</definedName>
    <definedName name="HHH" localSheetId="3">#REF!</definedName>
    <definedName name="HHH">#REF!</definedName>
    <definedName name="HI" localSheetId="3">#REF!</definedName>
    <definedName name="HI">#REF!</definedName>
    <definedName name="HIBEEP" localSheetId="3">#REF!</definedName>
    <definedName name="HIBEEP">#REF!</definedName>
    <definedName name="HIBEEP_1" localSheetId="3">#REF!</definedName>
    <definedName name="HIBEEP_1">#REF!</definedName>
    <definedName name="HIBEEP_17" localSheetId="3">#REF!</definedName>
    <definedName name="HIBEEP_17">#REF!</definedName>
    <definedName name="HIBEEP_3">#REF!</definedName>
    <definedName name="HINDI">#REF!</definedName>
    <definedName name="HIns">#REF!</definedName>
    <definedName name="hjkbu">#REF!</definedName>
    <definedName name="hkbhi">#REF!</definedName>
    <definedName name="HKD" localSheetId="3">#REF!</definedName>
    <definedName name="HKD">#REF!</definedName>
    <definedName name="hkerb" localSheetId="3">#REF!</definedName>
    <definedName name="hkerb">#REF!</definedName>
    <definedName name="hkhkhkj" localSheetId="3">#REF!</definedName>
    <definedName name="hkhkhkj">#REF!</definedName>
    <definedName name="hkhkhkj_1" localSheetId="3">#REF!</definedName>
    <definedName name="hkhkhkj_1">#REF!</definedName>
    <definedName name="hkhkhkj_16" localSheetId="3">#REF!</definedName>
    <definedName name="hkhkhkj_16">#REF!</definedName>
    <definedName name="hkhkhkj_2">#REF!</definedName>
    <definedName name="hl">#REF!</definedName>
    <definedName name="hmplant" localSheetId="3">#REF!</definedName>
    <definedName name="hmplant">#REF!</definedName>
    <definedName name="hmplant10" localSheetId="3">#REF!</definedName>
    <definedName name="hmplant10">#REF!</definedName>
    <definedName name="hmplant25t" localSheetId="3">#REF!</definedName>
    <definedName name="hmplant25t">#REF!</definedName>
    <definedName name="hmplant30" localSheetId="3">#REF!</definedName>
    <definedName name="hmplant30">#REF!</definedName>
    <definedName name="hmplant40t" localSheetId="3">#REF!</definedName>
    <definedName name="hmplant40t">#REF!</definedName>
    <definedName name="hmplant50t" localSheetId="3">#REF!</definedName>
    <definedName name="hmplant50t">#REF!</definedName>
    <definedName name="hmplant8t" localSheetId="3">#REF!</definedName>
    <definedName name="hmplant8t">#REF!</definedName>
    <definedName name="hmsrl" localSheetId="3">#REF!</definedName>
    <definedName name="hmsrl">#REF!</definedName>
    <definedName name="hmsrm" localSheetId="3">#REF!</definedName>
    <definedName name="hmsrm">#REF!</definedName>
    <definedName name="ho" localSheetId="3">#REF!</definedName>
    <definedName name="ho">#REF!</definedName>
    <definedName name="HOME" localSheetId="3">#REF!</definedName>
    <definedName name="HOME">#REF!</definedName>
    <definedName name="HOOKUP" localSheetId="3">#REF!</definedName>
    <definedName name="HOOKUP">#REF!</definedName>
    <definedName name="hotmixmidium" localSheetId="3">#REF!</definedName>
    <definedName name="hotmixmidium">#REF!</definedName>
    <definedName name="hotmixplant">#REF!</definedName>
    <definedName name="hotmixsmall">#REF!</definedName>
    <definedName name="HOx">#REF!</definedName>
    <definedName name="HP">#REF!</definedName>
    <definedName name="hpfinisher">#REF!</definedName>
    <definedName name="Hpipe1000" localSheetId="3">#REF!</definedName>
    <definedName name="Hpipe1000">#REF!</definedName>
    <definedName name="Hpipe1200" localSheetId="3">#REF!</definedName>
    <definedName name="Hpipe1200">#REF!</definedName>
    <definedName name="Hpipe600" localSheetId="3">#REF!</definedName>
    <definedName name="Hpipe600">#REF!</definedName>
    <definedName name="Hpipe900">#REF!</definedName>
    <definedName name="HR">#REF!</definedName>
    <definedName name="HRSRGS" localSheetId="3">City&amp;" "&amp;State</definedName>
    <definedName name="HRSRGS" localSheetId="11">City&amp;" "&amp;State</definedName>
    <definedName name="HRSRGS">City&amp;" "&amp;State</definedName>
    <definedName name="hs" localSheetId="3">#REF!</definedName>
    <definedName name="hs">#REF!</definedName>
    <definedName name="HSCT3">0.1</definedName>
    <definedName name="hsdc1">#REF!</definedName>
    <definedName name="HSDD">#REF!</definedName>
    <definedName name="HSDN">2.5</definedName>
    <definedName name="hsh">#REF!</definedName>
    <definedName name="HSHH">#REF!</definedName>
    <definedName name="HSHHUT">#REF!</definedName>
    <definedName name="hskk1">#REF!</definedName>
    <definedName name="hslab" localSheetId="3">#REF!</definedName>
    <definedName name="hslab">#REF!</definedName>
    <definedName name="HSNC">#REF!</definedName>
    <definedName name="HSSL" localSheetId="3">#REF!</definedName>
    <definedName name="HSSL">#REF!</definedName>
    <definedName name="HSVC1" localSheetId="3">#REF!</definedName>
    <definedName name="HSVC1">#REF!</definedName>
    <definedName name="HSVC2" localSheetId="3">#REF!</definedName>
    <definedName name="HSVC2">#REF!</definedName>
    <definedName name="HSVC3">#REF!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flf" localSheetId="3">#REF!</definedName>
    <definedName name="htflf">#REF!</definedName>
    <definedName name="htflr" localSheetId="3">#REF!</definedName>
    <definedName name="htflr">#REF!</definedName>
    <definedName name="HTL" localSheetId="3">#REF!</definedName>
    <definedName name="HTL">#REF!</definedName>
    <definedName name="HTML_CodePage" hidden="1">949</definedName>
    <definedName name="HTML_Control" localSheetId="3" hidden="1">{"'장비'!$A$3:$M$12"}</definedName>
    <definedName name="HTML_Control" hidden="1">{"'장비'!$A$3:$M$12"}</definedName>
    <definedName name="HTML_Description" hidden="1">""</definedName>
    <definedName name="HTML_Email" hidden="1">"michael_woodrow@lendlease.co.uk"</definedName>
    <definedName name="HTML_Header" hidden="1">"Draft - test"</definedName>
    <definedName name="HTML_LastUpdate" hidden="1">"02/11/2000"</definedName>
    <definedName name="HTML_LineAfter" hidden="1">FALSE</definedName>
    <definedName name="HTML_LineBefore" hidden="1">FALSE</definedName>
    <definedName name="HTML_Name" hidden="1">"Michael Woodrow"</definedName>
    <definedName name="HTML_OBDlg2" hidden="1">TRUE</definedName>
    <definedName name="HTML_OBDlg4" hidden="1">TRUE</definedName>
    <definedName name="HTML_OS" hidden="1">0</definedName>
    <definedName name="HTML_PathFile" hidden="1">"G:\Finance\COGNOS\PPLAY\Test_Reports\HTML_Test\Mgmt_Test1005.htm"</definedName>
    <definedName name="HTML_Title" hidden="1">"1005"</definedName>
    <definedName name="HTNC">#REF!</definedName>
    <definedName name="HTVL">#REF!</definedName>
    <definedName name="htwing">#REF!</definedName>
    <definedName name="htwo" localSheetId="3">#REF!</definedName>
    <definedName name="htwo">#REF!</definedName>
    <definedName name="Hu" localSheetId="3">#REF!</definedName>
    <definedName name="Hu">#REF!</definedName>
    <definedName name="humepipe1000" localSheetId="3">#REF!</definedName>
    <definedName name="humepipe1000">#REF!</definedName>
    <definedName name="humepipe1200">#REF!</definedName>
    <definedName name="Humepipe600" localSheetId="3">#REF!</definedName>
    <definedName name="Humepipe600">#REF!</definedName>
    <definedName name="Humepipe900" localSheetId="3">#REF!</definedName>
    <definedName name="Humepipe900">#REF!</definedName>
    <definedName name="humepipenp3">#REF!</definedName>
    <definedName name="HVACPiping" localSheetId="3">#REF!</definedName>
    <definedName name="HVACPiping">#REF!</definedName>
    <definedName name="Hvy_Eqt_FC" localSheetId="3">#REF!</definedName>
    <definedName name="Hvy_Eqt_FC">#REF!</definedName>
    <definedName name="Hvy_Eqt_LC" localSheetId="3">#REF!</definedName>
    <definedName name="Hvy_Eqt_LC">#REF!</definedName>
    <definedName name="Hvy_McxMth">#REF!</definedName>
    <definedName name="HX" localSheetId="3">#REF!</definedName>
    <definedName name="HX">#REF!</definedName>
    <definedName name="hxd" localSheetId="3">#REF!</definedName>
    <definedName name="hxd">#REF!</definedName>
    <definedName name="hy" localSheetId="3" hidden="1">{#N/A,#N/A,TRUE,"Front";#N/A,#N/A,TRUE,"Simple Letter";#N/A,#N/A,TRUE,"Inside";#N/A,#N/A,TRUE,"Contents";#N/A,#N/A,TRUE,"Basis";#N/A,#N/A,TRUE,"Inclusions";#N/A,#N/A,TRUE,"Exclusions";#N/A,#N/A,TRUE,"Areas";#N/A,#N/A,TRUE,"Summary";#N/A,#N/A,TRUE,"Detail"}</definedName>
    <definedName name="hy" hidden="1">{#N/A,#N/A,TRUE,"Front";#N/A,#N/A,TRUE,"Simple Letter";#N/A,#N/A,TRUE,"Inside";#N/A,#N/A,TRUE,"Contents";#N/A,#N/A,TRUE,"Basis";#N/A,#N/A,TRUE,"Inclusions";#N/A,#N/A,TRUE,"Exclusions";#N/A,#N/A,TRUE,"Areas";#N/A,#N/A,TRUE,"Summary";#N/A,#N/A,TRUE,"Detail"}</definedName>
    <definedName name="hyh" localSheetId="3">#REF!</definedName>
    <definedName name="hyh">#REF!</definedName>
    <definedName name="HYSD">#REF!</definedName>
    <definedName name="HYSD_Steel">#REF!</definedName>
    <definedName name="i" localSheetId="3">#REF!</definedName>
    <definedName name="i">#REF!</definedName>
    <definedName name="i___0" localSheetId="3">#REF!</definedName>
    <definedName name="i___0">#REF!</definedName>
    <definedName name="i___0___0">"$#REF!.$#REF!$#REF!"</definedName>
    <definedName name="i___0___3">"$#REF!.$#REF!$#REF!"</definedName>
    <definedName name="i___0___4">"$#REF!.$#REF!$#REF!"</definedName>
    <definedName name="i___0_1">#REF!</definedName>
    <definedName name="i___0_10">#REF!</definedName>
    <definedName name="i___0_11">#REF!</definedName>
    <definedName name="i___0_16">#REF!</definedName>
    <definedName name="i___0_17">#REF!</definedName>
    <definedName name="i___0_8">#REF!</definedName>
    <definedName name="i___2">#REF!</definedName>
    <definedName name="i___2___0">"$#REF!.$#REF!$#REF!"</definedName>
    <definedName name="i___2___3">"$#REF!.$#REF!$#REF!"</definedName>
    <definedName name="i___2_1">#REF!</definedName>
    <definedName name="i___2_10">#REF!</definedName>
    <definedName name="i___2_11">#REF!</definedName>
    <definedName name="i___2_16">#REF!</definedName>
    <definedName name="i___2_17">#REF!</definedName>
    <definedName name="i___2_8">#REF!</definedName>
    <definedName name="i___3">#REF!</definedName>
    <definedName name="i___3___0">"$#REF!.$#REF!$#REF!"</definedName>
    <definedName name="i___3___3">"$#REF!.$#REF!$#REF!"</definedName>
    <definedName name="i___3___4">"$#REF!.$#REF!$#REF!"</definedName>
    <definedName name="i___3_1">#REF!</definedName>
    <definedName name="i___3_10">#REF!</definedName>
    <definedName name="i___3_11">#REF!</definedName>
    <definedName name="i___3_16">#REF!</definedName>
    <definedName name="i___3_17">#REF!</definedName>
    <definedName name="i___3_8">#REF!</definedName>
    <definedName name="i___4">#REF!</definedName>
    <definedName name="i___4___0">"$#REF!.$#REF!$#REF!"</definedName>
    <definedName name="i___4___3">"$#REF!.$#REF!$#REF!"</definedName>
    <definedName name="i___4_1">#REF!</definedName>
    <definedName name="i___4_10">#REF!</definedName>
    <definedName name="i___4_11">#REF!</definedName>
    <definedName name="i___4_16">#REF!</definedName>
    <definedName name="i___4_17">#REF!</definedName>
    <definedName name="i___4_8">#REF!</definedName>
    <definedName name="i___7">"$#REF!.$#REF!$#REF!"</definedName>
    <definedName name="i_1">#REF!</definedName>
    <definedName name="i_10">#REF!</definedName>
    <definedName name="i_11">#REF!</definedName>
    <definedName name="i_12">#REF!</definedName>
    <definedName name="i_16">#REF!</definedName>
    <definedName name="i_17">#REF!</definedName>
    <definedName name="i_2">"$#REF!.$#REF!$#REF!"</definedName>
    <definedName name="i_3">#REF!</definedName>
    <definedName name="i_4">#REF!</definedName>
    <definedName name="i_5">#REF!</definedName>
    <definedName name="i_6">#REF!</definedName>
    <definedName name="i_7">#REF!</definedName>
    <definedName name="i_8">#REF!</definedName>
    <definedName name="i_9">#REF!</definedName>
    <definedName name="I00.48">#REF!</definedName>
    <definedName name="I0138.0">#REF!</definedName>
    <definedName name="I04.16">#REF!</definedName>
    <definedName name="I1324KN">#REF!</definedName>
    <definedName name="I2206KN">#REF!</definedName>
    <definedName name="I2É6">#REF!</definedName>
    <definedName name="IAfixed">#REF!</definedName>
    <definedName name="IAM" localSheetId="3" hidden="1">{"'Sheet1'!$A$4386:$N$4591"}</definedName>
    <definedName name="IAM" hidden="1">{"'Sheet1'!$A$4386:$N$4591"}</definedName>
    <definedName name="ice">#REF!</definedName>
    <definedName name="ICGD">#REF!</definedName>
    <definedName name="ICGTHK">#REF!</definedName>
    <definedName name="ICGW">#REF!</definedName>
    <definedName name="iconcn" localSheetId="3">#REF!</definedName>
    <definedName name="iconcn">#REF!</definedName>
    <definedName name="ICTCC" localSheetId="3">#REF!</definedName>
    <definedName name="ICTCC">#REF!</definedName>
    <definedName name="ID_Transformer" localSheetId="3">#REF!</definedName>
    <definedName name="ID_Transformer">#REF!</definedName>
    <definedName name="IDCCalculated">#REF!</definedName>
    <definedName name="IDCError">#REF!</definedName>
    <definedName name="IDCPasted">#REF!</definedName>
    <definedName name="IDL_Total_Cost_FC" localSheetId="3">#REF!</definedName>
    <definedName name="IDL_Total_Cost_FC">#REF!</definedName>
    <definedName name="IDL_Total_Cost_LC" localSheetId="3">#REF!</definedName>
    <definedName name="IDL_Total_Cost_LC">#REF!</definedName>
    <definedName name="IDL_Total_MM">#REF!</definedName>
    <definedName name="IDLandS_Peak_MP">#REF!</definedName>
    <definedName name="idpvol">#REF!</definedName>
    <definedName name="IDR">#REF!</definedName>
    <definedName name="ieff">#REF!</definedName>
    <definedName name="ieffab">#REF!</definedName>
    <definedName name="ieffabn">#REF!</definedName>
    <definedName name="ieffpl">#REF!</definedName>
    <definedName name="ieffplab">#REF!</definedName>
    <definedName name="iepr">#REF!</definedName>
    <definedName name="If">#REF!</definedName>
    <definedName name="Ifac1">#REF!</definedName>
    <definedName name="Ifac2">#REF!</definedName>
    <definedName name="IFCError">#REF!</definedName>
    <definedName name="ifcreep">#REF!</definedName>
    <definedName name="ifeloss">#REF!</definedName>
    <definedName name="iflist">#REF!</definedName>
    <definedName name="ifrelax">#REF!</definedName>
    <definedName name="ifshr">#REF!</definedName>
    <definedName name="Ig">#REF!</definedName>
    <definedName name="IG0.48">#REF!</definedName>
    <definedName name="IG138.0">#REF!</definedName>
    <definedName name="IGP_M">#REF!</definedName>
    <definedName name="ihm">#REF!</definedName>
    <definedName name="iiouolkll" localSheetId="3" hidden="1">{#N/A,#N/A,FALSE,"CCTV"}</definedName>
    <definedName name="iiouolkll" hidden="1">{#N/A,#N/A,FALSE,"CCTV"}</definedName>
    <definedName name="imp">#REF!</definedName>
    <definedName name="IMPFAC4">#REF!</definedName>
    <definedName name="IMPFAC5">#REF!</definedName>
    <definedName name="IMPFAC6">#REF!</definedName>
    <definedName name="imported" localSheetId="3">#REF!</definedName>
    <definedName name="imported">#REF!</definedName>
    <definedName name="imppc" localSheetId="3">#REF!</definedName>
    <definedName name="imppc">#REF!</definedName>
    <definedName name="IN" localSheetId="3">#REF!</definedName>
    <definedName name="IN">#REF!</definedName>
    <definedName name="IN_EL_CPC">#REF!</definedName>
    <definedName name="IN_EL_CPC1">#REF!</definedName>
    <definedName name="inAst1">#REF!</definedName>
    <definedName name="inAst2">#REF!</definedName>
    <definedName name="inAst3">#REF!</definedName>
    <definedName name="inAst4">#REF!</definedName>
    <definedName name="Inc.Tax_Korean">#REF!</definedName>
    <definedName name="Inc.Tax_Local.Reg">#REF!</definedName>
    <definedName name="Inc.Tax_Third.N">#REF!</definedName>
    <definedName name="incgl">#REF!</definedName>
    <definedName name="increase_in_ospmaintenance">#REF!</definedName>
    <definedName name="increaseinhousesalary" localSheetId="3">#REF!</definedName>
    <definedName name="increaseinhousesalary">#REF!</definedName>
    <definedName name="increaseoutsourcedsalary" localSheetId="3">#REF!</definedName>
    <definedName name="increaseoutsourcedsalary">#REF!</definedName>
    <definedName name="IND" localSheetId="3">#REF!</definedName>
    <definedName name="IND">#REF!</definedName>
    <definedName name="INDEX">#REF!</definedName>
    <definedName name="IndoorGrains" localSheetId="3">#REF!</definedName>
    <definedName name="IndoorGrains">#REF!</definedName>
    <definedName name="inexudl" localSheetId="3">#REF!</definedName>
    <definedName name="inexudl">#REF!</definedName>
    <definedName name="inf" localSheetId="3">#REF!</definedName>
    <definedName name="inf">#REF!</definedName>
    <definedName name="infa">#REF!</definedName>
    <definedName name="inflind">#REF!</definedName>
    <definedName name="inflUS">#REF!</definedName>
    <definedName name="inhousemanpowerph1a">#REF!</definedName>
    <definedName name="inhousemanpowerph1b">#REF!</definedName>
    <definedName name="inhousemanpowerph2">#REF!</definedName>
    <definedName name="InitialDSRACalculated">#REF!</definedName>
    <definedName name="InitialDSRAError">#REF!</definedName>
    <definedName name="InitialDSRAPasted">#REF!</definedName>
    <definedName name="inmaxm1" localSheetId="3">#REF!</definedName>
    <definedName name="inmaxm1">#REF!</definedName>
    <definedName name="inmaxm2" localSheetId="3">#REF!</definedName>
    <definedName name="inmaxm2">#REF!</definedName>
    <definedName name="inmaxm3" localSheetId="3">#REF!</definedName>
    <definedName name="inmaxm3">#REF!</definedName>
    <definedName name="inmaxm4">#REF!</definedName>
    <definedName name="InputPO">#REF!</definedName>
    <definedName name="INR">#REF!</definedName>
    <definedName name="INR_USD">#REF!</definedName>
    <definedName name="INS" localSheetId="3">#REF!</definedName>
    <definedName name="INS">#REF!</definedName>
    <definedName name="INSCON" localSheetId="3">#REF!</definedName>
    <definedName name="INSCON">#REF!</definedName>
    <definedName name="inst" localSheetId="3">#REF!</definedName>
    <definedName name="inst">#REF!</definedName>
    <definedName name="Install">#REF!</definedName>
    <definedName name="INSTALLATION">#REF!</definedName>
    <definedName name="installationcost">#REF!</definedName>
    <definedName name="INSTDKADU" localSheetId="3">#REF!</definedName>
    <definedName name="INSTDKADU">#REF!</definedName>
    <definedName name="INSTNFGP" localSheetId="3">#REF!</definedName>
    <definedName name="INSTNFGP">#REF!</definedName>
    <definedName name="INSTNGL4" localSheetId="3">#REF!</definedName>
    <definedName name="INSTNGL4">#REF!</definedName>
    <definedName name="INSTPGM">#REF!</definedName>
    <definedName name="INSTPIPELINE">#REF!</definedName>
    <definedName name="InstrTubeHookup">#REF!</definedName>
    <definedName name="INSTTANK">#REF!</definedName>
    <definedName name="insu">#REF!</definedName>
    <definedName name="Insulation">#REF!</definedName>
    <definedName name="INSURE">#REF!</definedName>
    <definedName name="Int">#REF!</definedName>
    <definedName name="integrated_cluste__link_MCN">#REF!</definedName>
    <definedName name="inter_bldng">#REF!</definedName>
    <definedName name="interconnection">#REF!</definedName>
    <definedName name="Interest_on_WC">#REF!</definedName>
    <definedName name="Interest_on_WC_C">#REF!</definedName>
    <definedName name="Interest_on_WC2">#REF!</definedName>
    <definedName name="Interest_on_WC3">#REF!</definedName>
    <definedName name="Interest_on_WC4">#REF!</definedName>
    <definedName name="Interest_on_WC5">#REF!</definedName>
    <definedName name="Interest_Rate">#REF!</definedName>
    <definedName name="InterestCBCalculated">#REF!</definedName>
    <definedName name="InterestCBError">#REF!</definedName>
    <definedName name="InterestCBPasted">#REF!</definedName>
    <definedName name="Interior">#REF!</definedName>
    <definedName name="INTERNAL__WALLS__AND__PARTITIONS">#REF!</definedName>
    <definedName name="intracirclegrowth">#REF!</definedName>
    <definedName name="intratetl" localSheetId="3">#REF!</definedName>
    <definedName name="intratetl">#REF!</definedName>
    <definedName name="intratewc" localSheetId="3">#REF!</definedName>
    <definedName name="intratewc">#REF!</definedName>
    <definedName name="inudl" localSheetId="3">#REF!</definedName>
    <definedName name="inudl">#REF!</definedName>
    <definedName name="Inventory_cycle">#REF!</definedName>
    <definedName name="Inventory_cycle_C">#REF!</definedName>
    <definedName name="Inventory_cycle2">#REF!</definedName>
    <definedName name="Inventory_cycle3">#REF!</definedName>
    <definedName name="Inventory_cycle4">#REF!</definedName>
    <definedName name="Inventory_cycle5">#REF!</definedName>
    <definedName name="inverter_cage" localSheetId="3">#REF!</definedName>
    <definedName name="inverter_cage">#REF!</definedName>
    <definedName name="IO" localSheetId="3">#REF!</definedName>
    <definedName name="IO">#REF!</definedName>
    <definedName name="IoLIST" localSheetId="3">#REF!</definedName>
    <definedName name="IoLIST">#REF!</definedName>
    <definedName name="iop" localSheetId="3">#REF!</definedName>
    <definedName name="iop">#REF!</definedName>
    <definedName name="IP_SPRS">#REF!</definedName>
    <definedName name="IP_SUP">#REF!</definedName>
    <definedName name="IP_TTC">#REF!</definedName>
    <definedName name="ipl" localSheetId="3">#REF!</definedName>
    <definedName name="ipl">#REF!</definedName>
    <definedName name="IPT">#N/A</definedName>
    <definedName name="IPTRELAYS">#REF!</definedName>
    <definedName name="IS" localSheetId="3">#REF!</definedName>
    <definedName name="IS">#REF!</definedName>
    <definedName name="Isc" localSheetId="3">#REF!</definedName>
    <definedName name="Isc">#REF!</definedName>
    <definedName name="Iscc" localSheetId="3">#REF!</definedName>
    <definedName name="Iscc">#REF!</definedName>
    <definedName name="IsCircular">#REF!</definedName>
    <definedName name="ISLG4.16">#REF!</definedName>
    <definedName name="ISo">#REF!</definedName>
    <definedName name="Isolator_Panel">#REF!</definedName>
    <definedName name="ISSUE">#REF!</definedName>
    <definedName name="itah">#REF!</definedName>
    <definedName name="itaha">#REF!</definedName>
    <definedName name="Item">#REF!</definedName>
    <definedName name="Item_16">#REF!</definedName>
    <definedName name="ITEM_6.01">#REF!</definedName>
    <definedName name="ITEM_6.02">#REF!</definedName>
    <definedName name="ITEM_6.03">#REF!</definedName>
    <definedName name="ITEM_6.04">#REF!</definedName>
    <definedName name="ITEM_6.05">#REF!</definedName>
    <definedName name="ITEM_6.06">#REF!</definedName>
    <definedName name="ITEM_6.07">#REF!</definedName>
    <definedName name="ITEM_6.08">#REF!</definedName>
    <definedName name="ITEM_6.09">#REF!</definedName>
    <definedName name="ITEM_6.10">#REF!</definedName>
    <definedName name="ITEM_6.11">#REF!</definedName>
    <definedName name="ITEM_6.12">#REF!</definedName>
    <definedName name="ITEM_6.13">#REF!</definedName>
    <definedName name="ITEM_6.14">#REF!</definedName>
    <definedName name="ITEM_6.15">#REF!</definedName>
    <definedName name="ITEM_6.16">#REF!</definedName>
    <definedName name="ITEM_6.17">#REF!</definedName>
    <definedName name="ITEM_6.18">#REF!</definedName>
    <definedName name="ITEM_6.19">#REF!</definedName>
    <definedName name="ITEM_6.20">#REF!</definedName>
    <definedName name="ITEM_6.21">#REF!</definedName>
    <definedName name="ITEM_6.22">#REF!</definedName>
    <definedName name="ITEM_6.23">#REF!</definedName>
    <definedName name="ITEM_6.24">#REF!</definedName>
    <definedName name="ITEM_6.25">#REF!</definedName>
    <definedName name="ITEM_6.26">#REF!</definedName>
    <definedName name="ITEM_6.27">#REF!</definedName>
    <definedName name="ITEM_6.28">#REF!</definedName>
    <definedName name="ITEM_6.29">#REF!</definedName>
    <definedName name="Item_Range">#REF!</definedName>
    <definedName name="iuiuiouui">#REF!</definedName>
    <definedName name="Ix">#REF!</definedName>
    <definedName name="Ixtra">#REF!</definedName>
    <definedName name="iy" localSheetId="3">#REF!</definedName>
    <definedName name="iy">#REF!</definedName>
    <definedName name="J" localSheetId="3">#REF!</definedName>
    <definedName name="J">#REF!</definedName>
    <definedName name="j_" localSheetId="3">#REF!</definedName>
    <definedName name="j_">#REF!</definedName>
    <definedName name="j___0">#REF!</definedName>
    <definedName name="j___0___0">"$#REF!.$#REF!$#REF!"</definedName>
    <definedName name="j___0___3">"$#REF!.$#REF!$#REF!"</definedName>
    <definedName name="j___0___4">"$#REF!.$#REF!$#REF!"</definedName>
    <definedName name="j___0_1">#REF!</definedName>
    <definedName name="j___0_10">#REF!</definedName>
    <definedName name="j___0_11">#REF!</definedName>
    <definedName name="j___0_16">#REF!</definedName>
    <definedName name="j___0_17">#REF!</definedName>
    <definedName name="j___0_8">#REF!</definedName>
    <definedName name="j___2">#REF!</definedName>
    <definedName name="j___2___0">"$#REF!.$#REF!$#REF!"</definedName>
    <definedName name="j___2___3">"$#REF!.$#REF!$#REF!"</definedName>
    <definedName name="j___2_1">#REF!</definedName>
    <definedName name="j___2_10">#REF!</definedName>
    <definedName name="j___2_11">#REF!</definedName>
    <definedName name="j___2_16">#REF!</definedName>
    <definedName name="j___2_17">#REF!</definedName>
    <definedName name="j___2_8">#REF!</definedName>
    <definedName name="j___3">#REF!</definedName>
    <definedName name="j___3___0">"$#REF!.$#REF!$#REF!"</definedName>
    <definedName name="j___3___3">"$#REF!.$#REF!$#REF!"</definedName>
    <definedName name="j___3___4">"$#REF!.$#REF!$#REF!"</definedName>
    <definedName name="j___3_1">#REF!</definedName>
    <definedName name="j___3_10">#REF!</definedName>
    <definedName name="j___3_11">#REF!</definedName>
    <definedName name="j___3_16">#REF!</definedName>
    <definedName name="j___3_17">#REF!</definedName>
    <definedName name="j___3_8">#REF!</definedName>
    <definedName name="j___4">#REF!</definedName>
    <definedName name="j___4___0">"$#REF!.$#REF!$#REF!"</definedName>
    <definedName name="j___4___3">"$#REF!.$#REF!$#REF!"</definedName>
    <definedName name="j___4_1">#REF!</definedName>
    <definedName name="j___4_10">#REF!</definedName>
    <definedName name="j___4_11">#REF!</definedName>
    <definedName name="j___4_16">#REF!</definedName>
    <definedName name="j___4_17">#REF!</definedName>
    <definedName name="j___4_8">#REF!</definedName>
    <definedName name="j___7">"$#REF!.$#REF!$#REF!"</definedName>
    <definedName name="j_1">#REF!</definedName>
    <definedName name="j_10">#REF!</definedName>
    <definedName name="j_11">#REF!</definedName>
    <definedName name="j_12">#REF!</definedName>
    <definedName name="j_16">#REF!</definedName>
    <definedName name="j_17">#REF!</definedName>
    <definedName name="j_2">"$#REF!.$#REF!$#REF!"</definedName>
    <definedName name="j_3">#REF!</definedName>
    <definedName name="j_4">#REF!</definedName>
    <definedName name="j_5">#REF!</definedName>
    <definedName name="J_6">#REF!</definedName>
    <definedName name="j_7">#REF!</definedName>
    <definedName name="j_8">#REF!</definedName>
    <definedName name="j_9">#REF!</definedName>
    <definedName name="j_filler">#REF!</definedName>
    <definedName name="J_No">#REF!</definedName>
    <definedName name="jay">#REF!</definedName>
    <definedName name="JB">#REF!</definedName>
    <definedName name="jh">#REF!</definedName>
    <definedName name="jhhhh" localSheetId="3" hidden="1">{#N/A,#N/A,FALSE,"CCTV"}</definedName>
    <definedName name="jhhhh" hidden="1">{#N/A,#N/A,FALSE,"CCTV"}</definedName>
    <definedName name="jjkh">#REF!</definedName>
    <definedName name="jk" localSheetId="3">#REF!</definedName>
    <definedName name="jk">#REF!</definedName>
    <definedName name="jk_1" localSheetId="3">#REF!</definedName>
    <definedName name="jk_1">#REF!</definedName>
    <definedName name="jk_10" localSheetId="3">#REF!</definedName>
    <definedName name="jk_10">#REF!</definedName>
    <definedName name="jk_11">#REF!</definedName>
    <definedName name="jk_16">#REF!</definedName>
    <definedName name="jk_8">#REF!</definedName>
    <definedName name="jkbk">#REF!</definedName>
    <definedName name="jkbkhb">#REF!</definedName>
    <definedName name="jkdfklasjfljk" localSheetId="3">#REF! = Address</definedName>
    <definedName name="jkdfklasjfljk" localSheetId="11">#REF! = Address</definedName>
    <definedName name="jkdfklasjfljk">#REF! = Address</definedName>
    <definedName name="JKE" localSheetId="3" hidden="1">{#N/A,#N/A,FALSE,"CCTV"}</definedName>
    <definedName name="JKE" hidden="1">{#N/A,#N/A,FALSE,"CCTV"}</definedName>
    <definedName name="jkhjkhdg">#REF!</definedName>
    <definedName name="jkkb">#REF!</definedName>
    <definedName name="jkl" localSheetId="3">#REF!</definedName>
    <definedName name="jkl">#REF!</definedName>
    <definedName name="jksajkasjdlkasjdl" localSheetId="3">#REF!</definedName>
    <definedName name="jksajkasjdlkasjdl">#REF!</definedName>
    <definedName name="JobID" localSheetId="3">#REF!</definedName>
    <definedName name="JobID">#REF!</definedName>
    <definedName name="JobNumber">#REF!</definedName>
    <definedName name="JobTitle">#REF!</definedName>
    <definedName name="JPY" localSheetId="3">#REF!</definedName>
    <definedName name="JPY">#REF!</definedName>
    <definedName name="JUNC_BOX" localSheetId="3">#REF!</definedName>
    <definedName name="JUNC_BOX">#REF!</definedName>
    <definedName name="junctionboxcost" localSheetId="3">#REF!</definedName>
    <definedName name="junctionboxcost">#REF!</definedName>
    <definedName name="jva" localSheetId="3">#REF!</definedName>
    <definedName name="jva">#REF!</definedName>
    <definedName name="jvbjgv" localSheetId="3">#REF!</definedName>
    <definedName name="jvbjgv">#REF!</definedName>
    <definedName name="jvjvg" localSheetId="3">#REF!</definedName>
    <definedName name="jvjvg">#REF!</definedName>
    <definedName name="K" localSheetId="3">#REF!</definedName>
    <definedName name="K">#REF!</definedName>
    <definedName name="k___0" localSheetId="3">#REF!</definedName>
    <definedName name="k___0">#REF!</definedName>
    <definedName name="k___0___0">"$#REF!.$#REF!$#REF!"</definedName>
    <definedName name="k___0___3">"$#REF!.$#REF!$#REF!"</definedName>
    <definedName name="k___0___4">"$#REF!.$#REF!$#REF!"</definedName>
    <definedName name="k___0_1">#REF!</definedName>
    <definedName name="k___0_10">#REF!</definedName>
    <definedName name="k___0_11">#REF!</definedName>
    <definedName name="k___0_16">#REF!</definedName>
    <definedName name="k___0_17">#REF!</definedName>
    <definedName name="k___0_8">#REF!</definedName>
    <definedName name="k___2">#REF!</definedName>
    <definedName name="k___2___0">"$#REF!.$#REF!$#REF!"</definedName>
    <definedName name="k___2___3">"$#REF!.$#REF!$#REF!"</definedName>
    <definedName name="k___2_1">#REF!</definedName>
    <definedName name="k___2_10">#REF!</definedName>
    <definedName name="k___2_11">#REF!</definedName>
    <definedName name="k___2_16">#REF!</definedName>
    <definedName name="k___2_17">#REF!</definedName>
    <definedName name="k___2_8">#REF!</definedName>
    <definedName name="k___3">#REF!</definedName>
    <definedName name="k___3___0">"$#REF!.$#REF!$#REF!"</definedName>
    <definedName name="k___3___3">"$#REF!.$#REF!$#REF!"</definedName>
    <definedName name="k___3___4">"$#REF!.$#REF!$#REF!"</definedName>
    <definedName name="k___3_1">#REF!</definedName>
    <definedName name="k___3_10">#REF!</definedName>
    <definedName name="k___3_11">#REF!</definedName>
    <definedName name="k___3_16">#REF!</definedName>
    <definedName name="k___3_17">#REF!</definedName>
    <definedName name="k___3_8">#REF!</definedName>
    <definedName name="k___4">#REF!</definedName>
    <definedName name="k___4___0">"$#REF!.$#REF!$#REF!"</definedName>
    <definedName name="k___4___3">"$#REF!.$#REF!$#REF!"</definedName>
    <definedName name="k___4_1">#REF!</definedName>
    <definedName name="k___4_10">#REF!</definedName>
    <definedName name="k___4_11">#REF!</definedName>
    <definedName name="k___4_16">#REF!</definedName>
    <definedName name="k___4_17">#REF!</definedName>
    <definedName name="k___4_8">#REF!</definedName>
    <definedName name="k___7">"$#REF!.$#REF!$#REF!"</definedName>
    <definedName name="k_1">#REF!</definedName>
    <definedName name="k_10">#REF!</definedName>
    <definedName name="k_11">#REF!</definedName>
    <definedName name="k_12">#REF!</definedName>
    <definedName name="k_16">#REF!</definedName>
    <definedName name="k_17">#REF!</definedName>
    <definedName name="k_2">"$#REF!.$#REF!$#REF!"</definedName>
    <definedName name="k_3">#REF!</definedName>
    <definedName name="k_4">#REF!</definedName>
    <definedName name="k_5">#REF!</definedName>
    <definedName name="K_6">#REF!</definedName>
    <definedName name="k_7">#REF!</definedName>
    <definedName name="k_8">#REF!</definedName>
    <definedName name="k_9">#REF!</definedName>
    <definedName name="k0">#REF!</definedName>
    <definedName name="k1_table">#REF!</definedName>
    <definedName name="k1pl">#REF!</definedName>
    <definedName name="k1x" localSheetId="3">#REF!</definedName>
    <definedName name="k1x">#REF!</definedName>
    <definedName name="k1y" localSheetId="3">#REF!</definedName>
    <definedName name="k1y">#REF!</definedName>
    <definedName name="k2b" localSheetId="3">#REF!</definedName>
    <definedName name="k2b">#REF!</definedName>
    <definedName name="k2x" localSheetId="3">#REF!</definedName>
    <definedName name="k2x">#REF!</definedName>
    <definedName name="k2y" localSheetId="3">#REF!</definedName>
    <definedName name="k2y">#REF!</definedName>
    <definedName name="ka" localSheetId="3">#REF!</definedName>
    <definedName name="ka">#REF!</definedName>
    <definedName name="kasdfjhd" localSheetId="3" hidden="1">{"'Typical Costs Estimates'!$C$158:$H$161"}</definedName>
    <definedName name="kasdfjhd" hidden="1">{"'Typical Costs Estimates'!$C$158:$H$161"}</definedName>
    <definedName name="kb" localSheetId="3">#REF!</definedName>
    <definedName name="kb">#REF!</definedName>
    <definedName name="kc" localSheetId="3">#REF!</definedName>
    <definedName name="kc">#REF!</definedName>
    <definedName name="kci">#REF!</definedName>
    <definedName name="KDEV2">#REF!</definedName>
    <definedName name="KDEV3">#REF!</definedName>
    <definedName name="KDJU" localSheetId="3" hidden="1">{"'장비'!$A$3:$M$12"}</definedName>
    <definedName name="KDJU" hidden="1">{"'장비'!$A$3:$M$12"}</definedName>
    <definedName name="ken" localSheetId="3">#REF!</definedName>
    <definedName name="ken">#REF!</definedName>
    <definedName name="keo" xml:space="preserve"> ROUNDUP(#REF!*#REF!*#REF!*#REF!*7.85,0)</definedName>
    <definedName name="kep" localSheetId="3">#REF!</definedName>
    <definedName name="kep">#REF!</definedName>
    <definedName name="KERBW">#REF!</definedName>
    <definedName name="kghlgh" localSheetId="3" hidden="1">{#N/A,#N/A,FALSE,"CCTV"}</definedName>
    <definedName name="kghlgh" hidden="1">{#N/A,#N/A,FALSE,"CCTV"}</definedName>
    <definedName name="kh" localSheetId="3">#REF!</definedName>
    <definedName name="kh">#REF!</definedName>
    <definedName name="khalasi" localSheetId="3">#REF!</definedName>
    <definedName name="khalasi">#REF!</definedName>
    <definedName name="khhj" localSheetId="3">#REF!</definedName>
    <definedName name="khhj">#REF!</definedName>
    <definedName name="KHKQKD" localSheetId="3">#REF!</definedName>
    <definedName name="KHKQKD">#REF!</definedName>
    <definedName name="KHTHUE" localSheetId="3">#REF!</definedName>
    <definedName name="KHTHUE">#REF!</definedName>
    <definedName name="ki" localSheetId="3">#REF!</definedName>
    <definedName name="ki">#REF!</definedName>
    <definedName name="kii">#REF!</definedName>
    <definedName name="kiid">#REF!</definedName>
    <definedName name="Kim">#REF!</definedName>
    <definedName name="Kis">#REF!</definedName>
    <definedName name="KitchenEquipment">#REF!</definedName>
    <definedName name="kiulil" localSheetId="3" hidden="1">{#N/A,#N/A,FALSE,"CCTV"}</definedName>
    <definedName name="kiulil" hidden="1">{#N/A,#N/A,FALSE,"CCTV"}</definedName>
    <definedName name="kj" hidden="1">#REF!</definedName>
    <definedName name="kjhlh" localSheetId="3" hidden="1">{#N/A,#N/A,FALSE,"CCTV"}</definedName>
    <definedName name="kjhlh" hidden="1">{#N/A,#N/A,FALSE,"CCTV"}</definedName>
    <definedName name="kjhljhk" localSheetId="3" hidden="1">{#N/A,#N/A,FALSE,"CCTV"}</definedName>
    <definedName name="kjhljhk" hidden="1">{#N/A,#N/A,FALSE,"CCTV"}</definedName>
    <definedName name="kjvjg">#REF!</definedName>
    <definedName name="KK" localSheetId="3">#REF!</definedName>
    <definedName name="KK">#REF!</definedName>
    <definedName name="kkflex" localSheetId="3">#REF!</definedName>
    <definedName name="kkflex">#REF!</definedName>
    <definedName name="kkk" localSheetId="3" hidden="1">{#N/A,#N/A,FALSE,"COVER1.XLS ";#N/A,#N/A,FALSE,"RACT1.XLS";#N/A,#N/A,FALSE,"RACT2.XLS";#N/A,#N/A,FALSE,"ECCMP";#N/A,#N/A,FALSE,"WELDER.XLS"}</definedName>
    <definedName name="kkk" hidden="1">{#N/A,#N/A,FALSE,"COVER1.XLS ";#N/A,#N/A,FALSE,"RACT1.XLS";#N/A,#N/A,FALSE,"RACT2.XLS";#N/A,#N/A,FALSE,"ECCMP";#N/A,#N/A,FALSE,"WELDER.XLS"}</definedName>
    <definedName name="kldd1p">#REF!</definedName>
    <definedName name="kldd3p">#REF!</definedName>
    <definedName name="Km" localSheetId="3">#REF!</definedName>
    <definedName name="Km">#REF!</definedName>
    <definedName name="kmong" localSheetId="3">#REF!</definedName>
    <definedName name="kmong">#REF!</definedName>
    <definedName name="Ko" localSheetId="3">#REF!</definedName>
    <definedName name="Ko">#REF!</definedName>
    <definedName name="kp" localSheetId="3" hidden="1">{#N/A,#N/A,TRUE,"Front";#N/A,#N/A,TRUE,"Simple Letter";#N/A,#N/A,TRUE,"Inside";#N/A,#N/A,TRUE,"Contents";#N/A,#N/A,TRUE,"Basis";#N/A,#N/A,TRUE,"Inclusions";#N/A,#N/A,TRUE,"Exclusions";#N/A,#N/A,TRUE,"Areas";#N/A,#N/A,TRUE,"Summary";#N/A,#N/A,TRUE,"Detail"}</definedName>
    <definedName name="kp" hidden="1">{#N/A,#N/A,TRUE,"Front";#N/A,#N/A,TRUE,"Simple Letter";#N/A,#N/A,TRUE,"Inside";#N/A,#N/A,TRUE,"Contents";#N/A,#N/A,TRUE,"Basis";#N/A,#N/A,TRUE,"Inclusions";#N/A,#N/A,TRUE,"Exclusions";#N/A,#N/A,TRUE,"Areas";#N/A,#N/A,TRUE,"Summary";#N/A,#N/A,TRUE,"Detail"}</definedName>
    <definedName name="kp1ph">#REF!</definedName>
    <definedName name="kpris">#REF!</definedName>
    <definedName name="KQWHGSDTYW">#REF!</definedName>
    <definedName name="krw">#REF!</definedName>
    <definedName name="Ks">#REF!</definedName>
    <definedName name="KSC">#REF!</definedName>
    <definedName name="kskk" localSheetId="3" hidden="1">{#N/A,#N/A,FALSE,"COVER.XLS";#N/A,#N/A,FALSE,"RACT1.XLS";#N/A,#N/A,FALSE,"RACT2.XLS";#N/A,#N/A,FALSE,"ECCMP";#N/A,#N/A,FALSE,"WELDER.XLS"}</definedName>
    <definedName name="kskk" hidden="1">{#N/A,#N/A,FALSE,"COVER.XLS";#N/A,#N/A,FALSE,"RACT1.XLS";#N/A,#N/A,FALSE,"RACT2.XLS";#N/A,#N/A,FALSE,"ECCMP";#N/A,#N/A,FALSE,"WELDER.XLS"}</definedName>
    <definedName name="Kundpris">#REF!</definedName>
    <definedName name="kv">#REF!</definedName>
    <definedName name="kvs" localSheetId="3"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D" localSheetId="3">#REF!</definedName>
    <definedName name="KWD">#REF!</definedName>
    <definedName name="KY0">#REF!</definedName>
    <definedName name="l" localSheetId="3">#REF!</definedName>
    <definedName name="l">#REF!</definedName>
    <definedName name="L.1" localSheetId="3">#REF!</definedName>
    <definedName name="L.1">#REF!</definedName>
    <definedName name="L.2" localSheetId="3">#REF!</definedName>
    <definedName name="L.2">#REF!</definedName>
    <definedName name="L.4">#REF!</definedName>
    <definedName name="L.5">#REF!</definedName>
    <definedName name="l___0">#REF!</definedName>
    <definedName name="l___0___0">"$#REF!.$#REF!$#REF!"</definedName>
    <definedName name="l___0___3">"$#REF!.$#REF!$#REF!"</definedName>
    <definedName name="l___0___4">"$#REF!.$#REF!$#REF!"</definedName>
    <definedName name="l___0_1">#REF!</definedName>
    <definedName name="l___0_10">#REF!</definedName>
    <definedName name="l___0_11">#REF!</definedName>
    <definedName name="l___0_16">#REF!</definedName>
    <definedName name="l___0_17">#REF!</definedName>
    <definedName name="l___0_8">#REF!</definedName>
    <definedName name="l___2">#REF!</definedName>
    <definedName name="l___2___0">"$#REF!.$#REF!$#REF!"</definedName>
    <definedName name="l___2___3">"$#REF!.$#REF!$#REF!"</definedName>
    <definedName name="l___2_1">#REF!</definedName>
    <definedName name="l___2_10">#REF!</definedName>
    <definedName name="l___2_11">#REF!</definedName>
    <definedName name="l___2_16">#REF!</definedName>
    <definedName name="l___2_17">#REF!</definedName>
    <definedName name="l___2_8">#REF!</definedName>
    <definedName name="l___3">#REF!</definedName>
    <definedName name="l___3___0">"$#REF!.$#REF!$#REF!"</definedName>
    <definedName name="l___3___3">"$#REF!.$#REF!$#REF!"</definedName>
    <definedName name="l___3___4">"$#REF!.$#REF!$#REF!"</definedName>
    <definedName name="l___3_1">#REF!</definedName>
    <definedName name="l___3_10">#REF!</definedName>
    <definedName name="l___3_11">#REF!</definedName>
    <definedName name="l___3_16">#REF!</definedName>
    <definedName name="l___3_17">#REF!</definedName>
    <definedName name="l___3_8">#REF!</definedName>
    <definedName name="l___4">#REF!</definedName>
    <definedName name="l___4___0">"$#REF!.$#REF!$#REF!"</definedName>
    <definedName name="l___4___3">"$#REF!.$#REF!$#REF!"</definedName>
    <definedName name="l___4_1">#REF!</definedName>
    <definedName name="l___4_10">#REF!</definedName>
    <definedName name="l___4_11">#REF!</definedName>
    <definedName name="l___4_16">#REF!</definedName>
    <definedName name="l___4_17">#REF!</definedName>
    <definedName name="l___4_8">#REF!</definedName>
    <definedName name="l___7">"$#REF!.$#REF!$#REF!"</definedName>
    <definedName name="l_1">#REF!</definedName>
    <definedName name="l_10">#REF!</definedName>
    <definedName name="l_11">#REF!</definedName>
    <definedName name="l_12">#REF!</definedName>
    <definedName name="l_16">#REF!</definedName>
    <definedName name="l_17">#REF!</definedName>
    <definedName name="l_2">"$#REF!.$#REF!$#REF!"</definedName>
    <definedName name="l_3">#REF!</definedName>
    <definedName name="l_4">#REF!</definedName>
    <definedName name="l_5">#REF!</definedName>
    <definedName name="L_6">#REF!</definedName>
    <definedName name="l_7">#REF!</definedName>
    <definedName name="l_8">#REF!</definedName>
    <definedName name="l_9">#REF!</definedName>
    <definedName name="l1pl">#REF!</definedName>
    <definedName name="l1x">#REF!</definedName>
    <definedName name="l2x">#REF!</definedName>
    <definedName name="LA">#REF!</definedName>
    <definedName name="Lab" localSheetId="3">#REF! = Address</definedName>
    <definedName name="Lab" localSheetId="11">#REF! = Address</definedName>
    <definedName name="Lab">#REF! = Address</definedName>
    <definedName name="Lab.Mar" localSheetId="3">#REF!</definedName>
    <definedName name="Lab.Mar">#REF!</definedName>
    <definedName name="lab_start_year">#REF!</definedName>
    <definedName name="lab_start_year_C">#REF!</definedName>
    <definedName name="lab_start_year2">#REF!</definedName>
    <definedName name="lab_start_year3">#REF!</definedName>
    <definedName name="lab_start_year4">#REF!</definedName>
    <definedName name="lab_start_year5">#REF!</definedName>
    <definedName name="Labor" localSheetId="3" hidden="1">{#N/A,#N/A,FALSE,"CCTV"}</definedName>
    <definedName name="Labor" hidden="1">{#N/A,#N/A,FALSE,"CCTV"}</definedName>
    <definedName name="Labour">#REF!</definedName>
    <definedName name="LAC">#REF!</definedName>
    <definedName name="LACS">#REF!</definedName>
    <definedName name="lakh">#REF!</definedName>
    <definedName name="Lamba_per_year_Routemiles" localSheetId="3">#REF!</definedName>
    <definedName name="Lamba_per_year_Routemiles">#REF!</definedName>
    <definedName name="lambda" localSheetId="3">#REF!</definedName>
    <definedName name="lambda">#REF!</definedName>
    <definedName name="Land_price_inMn">#REF!</definedName>
    <definedName name="Land_price_inMn_C">#REF!</definedName>
    <definedName name="Land_price_inMn2">#REF!</definedName>
    <definedName name="Land_price_inMn3">#REF!</definedName>
    <definedName name="Land_price_inMn4">#REF!</definedName>
    <definedName name="Land_price_inMn5">#REF!</definedName>
    <definedName name="land_requirement">#REF!</definedName>
    <definedName name="land_requirement_C">#REF!</definedName>
    <definedName name="land_requirement2">#REF!</definedName>
    <definedName name="land_requirement3">#REF!</definedName>
    <definedName name="land_requirement4">#REF!</definedName>
    <definedName name="land_requirement5">#REF!</definedName>
    <definedName name="landacqcost" localSheetId="3">#REF!</definedName>
    <definedName name="landacqcost">#REF!</definedName>
    <definedName name="LANServPC10">#REF!</definedName>
    <definedName name="LanTrai">#REF!</definedName>
    <definedName name="LAST" localSheetId="3">#REF!</definedName>
    <definedName name="LAST">#REF!</definedName>
    <definedName name="Last_Row">#N/A</definedName>
    <definedName name="launchexpense" localSheetId="3">#REF!</definedName>
    <definedName name="launchexpense">#REF!</definedName>
    <definedName name="Lbc" localSheetId="3">#REF!</definedName>
    <definedName name="Lbc">#REF!</definedName>
    <definedName name="Lbe" localSheetId="3">#REF!</definedName>
    <definedName name="Lbe">#REF!</definedName>
    <definedName name="Lbpb" localSheetId="3">#REF!</definedName>
    <definedName name="Lbpb">#REF!</definedName>
    <definedName name="Lbpl">#REF!</definedName>
    <definedName name="Lbr">#REF!</definedName>
    <definedName name="lbrod">#REF!</definedName>
    <definedName name="lbv">#REF!</definedName>
    <definedName name="Lc">#REF!</definedName>
    <definedName name="Lcan">#REF!</definedName>
    <definedName name="Lcant" localSheetId="3">#REF!</definedName>
    <definedName name="Lcant">#REF!</definedName>
    <definedName name="lcr" localSheetId="3">#REF!</definedName>
    <definedName name="lcr">#REF!</definedName>
    <definedName name="Ld" localSheetId="3">#REF!</definedName>
    <definedName name="Ld">#REF!</definedName>
    <definedName name="Le" localSheetId="3">#REF!</definedName>
    <definedName name="Le">#REF!</definedName>
    <definedName name="lead">#REF!</definedName>
    <definedName name="lean" localSheetId="3">#REF!</definedName>
    <definedName name="lean">#REF!</definedName>
    <definedName name="lef" localSheetId="3">#REF!</definedName>
    <definedName name="lef">#REF!</definedName>
    <definedName name="lel" localSheetId="3">#REF!</definedName>
    <definedName name="lel">#REF!</definedName>
    <definedName name="lemu6" localSheetId="3">#REF!</definedName>
    <definedName name="lemu6">#REF!</definedName>
    <definedName name="len" localSheetId="3">#REF!</definedName>
    <definedName name="len">#REF!</definedName>
    <definedName name="lenbeam" localSheetId="3">#REF!</definedName>
    <definedName name="lenbeam">#REF!</definedName>
    <definedName name="Lencon" localSheetId="3">#REF!</definedName>
    <definedName name="Lencon">#REF!</definedName>
    <definedName name="LENG">#REF!</definedName>
    <definedName name="length">#REF!</definedName>
    <definedName name="Lenin">#REF!</definedName>
    <definedName name="lesa8">#REF!</definedName>
    <definedName name="Lest" localSheetId="3">#REF!</definedName>
    <definedName name="Lest">#REF!</definedName>
    <definedName name="level" localSheetId="3">#REF!</definedName>
    <definedName name="level">#REF!</definedName>
    <definedName name="levelling" localSheetId="3">#REF!</definedName>
    <definedName name="levelling">#REF!</definedName>
    <definedName name="Lf" localSheetId="3">#REF!</definedName>
    <definedName name="Lf">#REF!</definedName>
    <definedName name="lfdnp" localSheetId="3">#REF!</definedName>
    <definedName name="lfdnp">#REF!</definedName>
    <definedName name="Lfixt250Whpsv" localSheetId="3">#REF!</definedName>
    <definedName name="Lfixt250Whpsv">#REF!</definedName>
    <definedName name="Lfixt2x40WExed">#REF!</definedName>
    <definedName name="Lfixt2x40WExedEm">#REF!</definedName>
    <definedName name="Lfixt70WExed">#REF!</definedName>
    <definedName name="lfpl">#REF!</definedName>
    <definedName name="LFT">#REF!</definedName>
    <definedName name="lhh">#REF!</definedName>
    <definedName name="LIB">#REF!</definedName>
    <definedName name="Lib_Range">#REF!</definedName>
    <definedName name="light">#REF!</definedName>
    <definedName name="lightAGRU">#REF!</definedName>
    <definedName name="lightAS">#REF!</definedName>
    <definedName name="lightCOMMON">#REF!</definedName>
    <definedName name="lightCW">#REF!</definedName>
    <definedName name="lightERU">#REF!</definedName>
    <definedName name="lightGTG">#REF!</definedName>
    <definedName name="lightHO">#REF!</definedName>
    <definedName name="Lights">#REF!</definedName>
    <definedName name="lightSG" localSheetId="3">#REF!</definedName>
    <definedName name="lightSG">#REF!</definedName>
    <definedName name="lightTEG" localSheetId="3">#REF!</definedName>
    <definedName name="lightTEG">#REF!</definedName>
    <definedName name="limcount" hidden="1">1</definedName>
    <definedName name="lime">#REF!</definedName>
    <definedName name="LINE1" localSheetId="3">#REF!</definedName>
    <definedName name="LINE1">#REF!</definedName>
    <definedName name="Lined_drain" localSheetId="3">#REF!</definedName>
    <definedName name="Lined_drain">#REF!</definedName>
    <definedName name="LINENO2" localSheetId="3">#REF!</definedName>
    <definedName name="LINENO2">#REF!</definedName>
    <definedName name="linesprovidedperbldg" localSheetId="3">#REF!</definedName>
    <definedName name="linesprovidedperbldg">#REF!</definedName>
    <definedName name="Link_Sewer" localSheetId="3">#REF!</definedName>
    <definedName name="Link_Sewer">#REF!</definedName>
    <definedName name="list" localSheetId="3">#REF!</definedName>
    <definedName name="list">#REF!</definedName>
    <definedName name="List_AJBs" localSheetId="3">#REF!</definedName>
    <definedName name="List_AJBs">#REF!</definedName>
    <definedName name="list_cables">#REF!</definedName>
    <definedName name="List_GJBs">#REF!</definedName>
    <definedName name="List_Inverters">#REF!</definedName>
    <definedName name="List_transformers">#REF!</definedName>
    <definedName name="list1">#REF!</definedName>
    <definedName name="ListOfSuperCriticalEquipment" localSheetId="3">#REF!</definedName>
    <definedName name="ListOfSuperCriticalEquipment">#REF!</definedName>
    <definedName name="ljkㅏㅎ" localSheetId="3" hidden="1">{#N/A,#N/A,FALSE,"2~8번"}</definedName>
    <definedName name="ljkㅏㅎ" hidden="1">{#N/A,#N/A,FALSE,"2~8번"}</definedName>
    <definedName name="lk"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jhhs">#REF!</definedName>
    <definedName name="lklhlkjl" localSheetId="3" hidden="1">{#N/A,#N/A,FALSE,"CCTV"}</definedName>
    <definedName name="lklhlkjl" hidden="1">{#N/A,#N/A,FALSE,"CCTV"}</definedName>
    <definedName name="LKR">#REF!</definedName>
    <definedName name="LKR_INR">#REF!</definedName>
    <definedName name="Ll" localSheetId="3">#REF!</definedName>
    <definedName name="Ll">#REF!</definedName>
    <definedName name="LL_1" localSheetId="3">#REF!</definedName>
    <definedName name="LL_1">#REF!</definedName>
    <definedName name="LL_10" localSheetId="3">#REF!</definedName>
    <definedName name="LL_10">#REF!</definedName>
    <definedName name="LL_11" localSheetId="3">#REF!</definedName>
    <definedName name="LL_11">#REF!</definedName>
    <definedName name="LL_16">#REF!</definedName>
    <definedName name="LL_2">#REF!</definedName>
    <definedName name="LL_6">#REF!</definedName>
    <definedName name="LL_8">#REF!</definedName>
    <definedName name="lll"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sr">#REF!</definedName>
    <definedName name="llsurch">#REF!</definedName>
    <definedName name="lm" localSheetId="3">#REF!</definedName>
    <definedName name="lm">#REF!</definedName>
    <definedName name="lmfa">#REF!</definedName>
    <definedName name="lmfr">#REF!</definedName>
    <definedName name="Lmk">#REF!</definedName>
    <definedName name="lnga1">#REF!</definedName>
    <definedName name="lngf">#REF!</definedName>
    <definedName name="lngf1">#REF!</definedName>
    <definedName name="lngfa" localSheetId="3">#REF!</definedName>
    <definedName name="lngfa">#REF!</definedName>
    <definedName name="lnjklbk" localSheetId="3">#REF!</definedName>
    <definedName name="lnjklbk">#REF!</definedName>
    <definedName name="LNK56A" localSheetId="3">#REF!</definedName>
    <definedName name="LNK56A">#REF!</definedName>
    <definedName name="LO" localSheetId="3">#REF!</definedName>
    <definedName name="LO">#REF!</definedName>
    <definedName name="load" localSheetId="3">#REF!</definedName>
    <definedName name="load">#REF!</definedName>
    <definedName name="load1">#REF!</definedName>
    <definedName name="loader">#REF!</definedName>
    <definedName name="Loan_Amount">#REF!</definedName>
    <definedName name="Loan_Start">#REF!</definedName>
    <definedName name="Loan_Years">#REF!</definedName>
    <definedName name="Loan3RepayCalculated">#REF!</definedName>
    <definedName name="LOBEEP">#REF!</definedName>
    <definedName name="LOBEEP_1">#REF!</definedName>
    <definedName name="LOBEEP_17">#REF!</definedName>
    <definedName name="LOBEEP_3">#REF!</definedName>
    <definedName name="Local_Curr">#REF!</definedName>
    <definedName name="Local_IDL_Cost_FC" localSheetId="3">#REF!</definedName>
    <definedName name="Local_IDL_Cost_FC">#REF!</definedName>
    <definedName name="Local_IDL_Cost_LC" localSheetId="3">#REF!</definedName>
    <definedName name="Local_IDL_Cost_LC">#REF!</definedName>
    <definedName name="Local_IDL_MM" localSheetId="3">#REF!</definedName>
    <definedName name="Local_IDL_MM">#REF!</definedName>
    <definedName name="Local_MH_Total">#REF!</definedName>
    <definedName name="Local_MHCost_FC">#REF!</definedName>
    <definedName name="Local_MHCost_LC">#REF!</definedName>
    <definedName name="Local_Staff_Cost_FC">#REF!</definedName>
    <definedName name="Local_Staff_Cost_LC">#REF!</definedName>
    <definedName name="Local_Staff_MM">#REF!</definedName>
    <definedName name="LocalControl">#REF!</definedName>
    <definedName name="LocalCurrency">#REF!</definedName>
    <definedName name="LocalCurrency_1">#REF!</definedName>
    <definedName name="LocalCurrency_17">#REF!</definedName>
    <definedName name="LocalCurrency_2">#REF!</definedName>
    <definedName name="LocalCurrency_6">#REF!</definedName>
    <definedName name="LOCATION">#REF!</definedName>
    <definedName name="logo1">"Picture 7"</definedName>
    <definedName name="lomif">#REF!</definedName>
    <definedName name="lomifcable">#REF!</definedName>
    <definedName name="lomifcard">#REF!</definedName>
    <definedName name="lomifcble">#REF!</definedName>
    <definedName name="loo" localSheetId="3">#REF!</definedName>
    <definedName name="loo">#REF!</definedName>
    <definedName name="LookupPump" localSheetId="3">#REF!</definedName>
    <definedName name="LookupPump">#REF!</definedName>
    <definedName name="losts" localSheetId="3">#REF!</definedName>
    <definedName name="losts">#REF!</definedName>
    <definedName name="LPole10m">#REF!</definedName>
    <definedName name="LPole4m">#REF!</definedName>
    <definedName name="LPole6m">#REF!</definedName>
    <definedName name="lr">#REF!</definedName>
    <definedName name="ls">#REF!</definedName>
    <definedName name="lsdfklsdfksdjfkl">#REF!</definedName>
    <definedName name="LSNO1">#REF!</definedName>
    <definedName name="LSNO10">#REF!</definedName>
    <definedName name="LSNO100">#REF!</definedName>
    <definedName name="LSNO101">#REF!</definedName>
    <definedName name="LSNO102">#REF!</definedName>
    <definedName name="LSNO103">#REF!</definedName>
    <definedName name="LSNO104">#REF!</definedName>
    <definedName name="LSNO105">#REF!</definedName>
    <definedName name="LSNO106">#REF!</definedName>
    <definedName name="LSNO107">#REF!</definedName>
    <definedName name="LSNO108">#REF!</definedName>
    <definedName name="LSNO109">#REF!</definedName>
    <definedName name="LSNO11">#REF!</definedName>
    <definedName name="LSNO110">#REF!</definedName>
    <definedName name="LSNO111">#REF!</definedName>
    <definedName name="LSNO112">#REF!</definedName>
    <definedName name="LSNO113">#REF!</definedName>
    <definedName name="LSNO114">#REF!</definedName>
    <definedName name="LSNO115">#REF!</definedName>
    <definedName name="LSNO116">#REF!</definedName>
    <definedName name="LSNO117">#REF!</definedName>
    <definedName name="LSNO118">#REF!</definedName>
    <definedName name="LSNO119">#REF!</definedName>
    <definedName name="LSNO12">#REF!</definedName>
    <definedName name="LSNO120">#REF!</definedName>
    <definedName name="LSNO121">#REF!</definedName>
    <definedName name="LSNO122">#REF!</definedName>
    <definedName name="LSNO123">#REF!</definedName>
    <definedName name="LSNO124">#REF!</definedName>
    <definedName name="LSNO125">#REF!</definedName>
    <definedName name="LSNO126">#REF!</definedName>
    <definedName name="LSNO127">#REF!</definedName>
    <definedName name="LSNO128">#REF!</definedName>
    <definedName name="LSNO129">#REF!</definedName>
    <definedName name="LSNO13">#REF!</definedName>
    <definedName name="LSNO130">#REF!</definedName>
    <definedName name="LSNO131">#REF!</definedName>
    <definedName name="LSNO132">#REF!</definedName>
    <definedName name="LSNO133">#REF!</definedName>
    <definedName name="LSNO134">#REF!</definedName>
    <definedName name="LSNO135">#REF!</definedName>
    <definedName name="LSNO136">#REF!</definedName>
    <definedName name="LSNO137">#REF!</definedName>
    <definedName name="LSNO138">#REF!</definedName>
    <definedName name="LSNO139">#REF!</definedName>
    <definedName name="LSNO14">#REF!</definedName>
    <definedName name="LSNO140">#REF!</definedName>
    <definedName name="LSNO141">#REF!</definedName>
    <definedName name="LSNO142">#REF!</definedName>
    <definedName name="LSNO143">#REF!</definedName>
    <definedName name="LSNO144">#REF!</definedName>
    <definedName name="LSNO145">#REF!</definedName>
    <definedName name="LSNO146">#REF!</definedName>
    <definedName name="LSNO147">#REF!</definedName>
    <definedName name="LSNO148">#REF!</definedName>
    <definedName name="LSNO149">#REF!</definedName>
    <definedName name="LSNO15">#REF!</definedName>
    <definedName name="LSNO150">#REF!</definedName>
    <definedName name="LSNO151">#REF!</definedName>
    <definedName name="LSNO152">#REF!</definedName>
    <definedName name="LSNO153">#REF!</definedName>
    <definedName name="LSNO154">#REF!</definedName>
    <definedName name="LSNO155">#REF!</definedName>
    <definedName name="LSNO156">#REF!</definedName>
    <definedName name="LSNO157">#REF!</definedName>
    <definedName name="LSNO158">#REF!</definedName>
    <definedName name="LSNO159">#REF!</definedName>
    <definedName name="LSNO16">#REF!</definedName>
    <definedName name="LSNO160">#REF!</definedName>
    <definedName name="LSNO161">#REF!</definedName>
    <definedName name="LSNO162">#REF!</definedName>
    <definedName name="LSNO163">#REF!</definedName>
    <definedName name="LSNO164">#REF!</definedName>
    <definedName name="LSNO165">#REF!</definedName>
    <definedName name="LSNO166">#REF!</definedName>
    <definedName name="LSNO167">#REF!</definedName>
    <definedName name="LSNO168">#REF!</definedName>
    <definedName name="LSNO169">#REF!</definedName>
    <definedName name="LSNO17">#REF!</definedName>
    <definedName name="LSNO170">#REF!</definedName>
    <definedName name="LSNO171">#REF!</definedName>
    <definedName name="LSNO172">#REF!</definedName>
    <definedName name="LSNO173">#REF!</definedName>
    <definedName name="LSNO174">#REF!</definedName>
    <definedName name="LSNO175">#REF!</definedName>
    <definedName name="LSNO176">#REF!</definedName>
    <definedName name="LSNO177">#REF!</definedName>
    <definedName name="LSNO178">#REF!</definedName>
    <definedName name="LSNO179">#REF!</definedName>
    <definedName name="LSNO18">#REF!</definedName>
    <definedName name="LSNO180">#REF!</definedName>
    <definedName name="LSNO181">#REF!</definedName>
    <definedName name="LSNO182">#REF!</definedName>
    <definedName name="LSNO183">#REF!</definedName>
    <definedName name="LSNO184">#REF!</definedName>
    <definedName name="LSNO185">#REF!</definedName>
    <definedName name="LSNO186">#REF!</definedName>
    <definedName name="LSNO187">#REF!</definedName>
    <definedName name="LSNO188">#REF!</definedName>
    <definedName name="LSNO189">#REF!</definedName>
    <definedName name="LSNO19">#REF!</definedName>
    <definedName name="LSNO190">#REF!</definedName>
    <definedName name="LSNO191">#REF!</definedName>
    <definedName name="LSNO192">#REF!</definedName>
    <definedName name="LSNO193">#REF!</definedName>
    <definedName name="LSNO194">#REF!</definedName>
    <definedName name="LSNO195">#REF!</definedName>
    <definedName name="LSNO196">#REF!</definedName>
    <definedName name="LSNO197">#REF!</definedName>
    <definedName name="LSNO198">#REF!</definedName>
    <definedName name="LSNO199">#REF!</definedName>
    <definedName name="LSNO2">#REF!</definedName>
    <definedName name="LSNO20">#REF!</definedName>
    <definedName name="LSNO200">#REF!</definedName>
    <definedName name="LSNO201">#REF!</definedName>
    <definedName name="LSNO202">#REF!</definedName>
    <definedName name="LSNO203">#REF!</definedName>
    <definedName name="LSNO204">#REF!</definedName>
    <definedName name="LSNO205">#REF!</definedName>
    <definedName name="LSNO206">#REF!</definedName>
    <definedName name="LSNO207">#REF!</definedName>
    <definedName name="LSNO208">#REF!</definedName>
    <definedName name="LSNO209">#REF!</definedName>
    <definedName name="LSNO21">#REF!</definedName>
    <definedName name="LSNO210">#REF!</definedName>
    <definedName name="LSNO211">#REF!</definedName>
    <definedName name="LSNO212">#REF!</definedName>
    <definedName name="LSNO213">#REF!</definedName>
    <definedName name="LSNO214">#REF!</definedName>
    <definedName name="LSNO215">#REF!</definedName>
    <definedName name="LSNO216">#REF!</definedName>
    <definedName name="LSNO217">#REF!</definedName>
    <definedName name="LSNO218">#REF!</definedName>
    <definedName name="LSNO219">#REF!</definedName>
    <definedName name="LSNO22">#REF!</definedName>
    <definedName name="LSNO220">#REF!</definedName>
    <definedName name="LSNO221">#REF!</definedName>
    <definedName name="LSNO222">#REF!</definedName>
    <definedName name="LSNO223">#REF!</definedName>
    <definedName name="LSNO224">#REF!</definedName>
    <definedName name="LSNO225">#REF!</definedName>
    <definedName name="LSNO226">#REF!</definedName>
    <definedName name="LSNO227">#REF!</definedName>
    <definedName name="LSNO228">#REF!</definedName>
    <definedName name="LSNO229">#REF!</definedName>
    <definedName name="LSNO23">#REF!</definedName>
    <definedName name="LSNO230">#REF!</definedName>
    <definedName name="LSNO231">#REF!</definedName>
    <definedName name="LSNO232">#REF!</definedName>
    <definedName name="LSNO233">#REF!</definedName>
    <definedName name="LSNO234">#REF!</definedName>
    <definedName name="LSNO235">#REF!</definedName>
    <definedName name="LSNO236">#REF!</definedName>
    <definedName name="LSNO237">#REF!</definedName>
    <definedName name="LSNO238">#REF!</definedName>
    <definedName name="LSNO239">#REF!</definedName>
    <definedName name="LSNO24">#REF!</definedName>
    <definedName name="LSNO240">#REF!</definedName>
    <definedName name="LSNO241">#REF!</definedName>
    <definedName name="LSNO242">#REF!</definedName>
    <definedName name="LSNO243">#REF!</definedName>
    <definedName name="LSNO244">#REF!</definedName>
    <definedName name="LSNO245">#REF!</definedName>
    <definedName name="LSNO246">#REF!</definedName>
    <definedName name="LSNO247">#REF!</definedName>
    <definedName name="LSNO248">#REF!</definedName>
    <definedName name="LSNO249">#REF!</definedName>
    <definedName name="LSNO25">#REF!</definedName>
    <definedName name="LSNO250">#REF!</definedName>
    <definedName name="LSNO251">#REF!</definedName>
    <definedName name="LSNO26">#REF!</definedName>
    <definedName name="LSNO27">#REF!</definedName>
    <definedName name="LSNO28">#REF!</definedName>
    <definedName name="LSNO29">#REF!</definedName>
    <definedName name="LSNO3">#REF!</definedName>
    <definedName name="LSNO30">#REF!</definedName>
    <definedName name="LSNO31">#REF!</definedName>
    <definedName name="LSNO32">#REF!</definedName>
    <definedName name="LSNO33">#REF!</definedName>
    <definedName name="LSNO34">#REF!</definedName>
    <definedName name="LSNO35">#REF!</definedName>
    <definedName name="LSNO36">#REF!</definedName>
    <definedName name="LSNO37">#REF!</definedName>
    <definedName name="LSNO38">#REF!</definedName>
    <definedName name="LSNO39">#REF!</definedName>
    <definedName name="LSNO4">#REF!</definedName>
    <definedName name="LSNO40">#REF!</definedName>
    <definedName name="LSNO41">#REF!</definedName>
    <definedName name="LSNO42">#REF!</definedName>
    <definedName name="LSNO43">#REF!</definedName>
    <definedName name="LSNO44">#REF!</definedName>
    <definedName name="LSNO45">#REF!</definedName>
    <definedName name="LSNO46">#REF!</definedName>
    <definedName name="LSNO47">#REF!</definedName>
    <definedName name="LSNO48">#REF!</definedName>
    <definedName name="LSNO49">#REF!</definedName>
    <definedName name="LSNO5">#REF!</definedName>
    <definedName name="LSNO50">#REF!</definedName>
    <definedName name="LSNO51">#REF!</definedName>
    <definedName name="LSNO52">#REF!</definedName>
    <definedName name="LSNO53">#REF!</definedName>
    <definedName name="LSNO54">#REF!</definedName>
    <definedName name="LSNO55">#REF!</definedName>
    <definedName name="LSNO56">#REF!</definedName>
    <definedName name="LSNO57">#REF!</definedName>
    <definedName name="LSNO58">#REF!</definedName>
    <definedName name="LSNO59">#REF!</definedName>
    <definedName name="LSNO6">#REF!</definedName>
    <definedName name="LSNO60">#REF!</definedName>
    <definedName name="LSNO61">#REF!</definedName>
    <definedName name="LSNO62">#REF!</definedName>
    <definedName name="LSNO63">#REF!</definedName>
    <definedName name="LSNO64">#REF!</definedName>
    <definedName name="LSNO65">#REF!</definedName>
    <definedName name="LSNO66">#REF!</definedName>
    <definedName name="LSNO67">#REF!</definedName>
    <definedName name="LSNO68">#REF!</definedName>
    <definedName name="LSNO69">#REF!</definedName>
    <definedName name="LSNO7">#REF!</definedName>
    <definedName name="LSNO70">#REF!</definedName>
    <definedName name="LSNO71">#REF!</definedName>
    <definedName name="LSNO72">#REF!</definedName>
    <definedName name="LSNO73">#REF!</definedName>
    <definedName name="LSNO74">#REF!</definedName>
    <definedName name="LSNO75">#REF!</definedName>
    <definedName name="LSNO76">#REF!</definedName>
    <definedName name="LSNO77">#REF!</definedName>
    <definedName name="LSNO78">#REF!</definedName>
    <definedName name="LSNO79">#REF!</definedName>
    <definedName name="LSNO8">#REF!</definedName>
    <definedName name="LSNO80">#REF!</definedName>
    <definedName name="LSNO81">#REF!</definedName>
    <definedName name="LSNO82">#REF!</definedName>
    <definedName name="LSNO83">#REF!</definedName>
    <definedName name="LSNO84">#REF!</definedName>
    <definedName name="LSNO85">#REF!</definedName>
    <definedName name="LSNO86">#REF!</definedName>
    <definedName name="LSNO87">#REF!</definedName>
    <definedName name="LSNO88">#REF!</definedName>
    <definedName name="LSNO89">#REF!</definedName>
    <definedName name="LSNO9">#REF!</definedName>
    <definedName name="LSNO90">#REF!</definedName>
    <definedName name="LSNO91">#REF!</definedName>
    <definedName name="LSNO92">#REF!</definedName>
    <definedName name="LSNO93">#REF!</definedName>
    <definedName name="LSNO94">#REF!</definedName>
    <definedName name="LSNO95">#REF!</definedName>
    <definedName name="LSNO96">#REF!</definedName>
    <definedName name="LSNO97">#REF!</definedName>
    <definedName name="LSNO98">#REF!</definedName>
    <definedName name="LSNO99">#REF!</definedName>
    <definedName name="Lsp">#REF!</definedName>
    <definedName name="lspan" localSheetId="3">#REF!</definedName>
    <definedName name="lspan">#REF!</definedName>
    <definedName name="LST" localSheetId="3">#REF!</definedName>
    <definedName name="LST">#REF!</definedName>
    <definedName name="lunch" localSheetId="3">#REF!</definedName>
    <definedName name="lunch">#REF!</definedName>
    <definedName name="LVA">#REF!</definedName>
    <definedName name="LWL">#REF!</definedName>
    <definedName name="lwla">#REF!</definedName>
    <definedName name="Lwu">#REF!</definedName>
    <definedName name="Lwv">#REF!</definedName>
    <definedName name="Lx" localSheetId="3">#REF!</definedName>
    <definedName name="Lx">#REF!</definedName>
    <definedName name="ly" localSheetId="3">#REF!</definedName>
    <definedName name="ly">#REF!</definedName>
    <definedName name="LZD" localSheetId="3">#REF!</definedName>
    <definedName name="LZD">#REF!</definedName>
    <definedName name="M">#REF!</definedName>
    <definedName name="m_">#REF!</definedName>
    <definedName name="m___0">#REF!</definedName>
    <definedName name="m___0___0">"$#REF!.$#REF!$#REF!"</definedName>
    <definedName name="m___0___3">"$#REF!.$#REF!$#REF!"</definedName>
    <definedName name="m___0___4">"$#REF!.$#REF!$#REF!"</definedName>
    <definedName name="m___0_1">#REF!</definedName>
    <definedName name="m___0_10">#REF!</definedName>
    <definedName name="m___0_11">#REF!</definedName>
    <definedName name="m___0_16">#REF!</definedName>
    <definedName name="m___0_17">#REF!</definedName>
    <definedName name="m___0_8">#REF!</definedName>
    <definedName name="m___2">#REF!</definedName>
    <definedName name="m___2___0">"$#REF!.$#REF!$#REF!"</definedName>
    <definedName name="m___2___3">"$#REF!.$#REF!$#REF!"</definedName>
    <definedName name="m___2_1">#REF!</definedName>
    <definedName name="m___2_10">#REF!</definedName>
    <definedName name="m___2_11">#REF!</definedName>
    <definedName name="m___2_16">#REF!</definedName>
    <definedName name="m___2_17">#REF!</definedName>
    <definedName name="m___2_8">#REF!</definedName>
    <definedName name="m___3">#REF!</definedName>
    <definedName name="m___3___0">"$#REF!.$#REF!$#REF!"</definedName>
    <definedName name="m___3___3">"$#REF!.$#REF!$#REF!"</definedName>
    <definedName name="m___3___4">"$#REF!.$#REF!$#REF!"</definedName>
    <definedName name="m___3_1">#REF!</definedName>
    <definedName name="m___3_10">#REF!</definedName>
    <definedName name="m___3_11">#REF!</definedName>
    <definedName name="m___3_16">#REF!</definedName>
    <definedName name="m___3_17">#REF!</definedName>
    <definedName name="m___3_8">#REF!</definedName>
    <definedName name="m___4">#REF!</definedName>
    <definedName name="m___4___0">"$#REF!.$#REF!$#REF!"</definedName>
    <definedName name="m___4___3">"$#REF!.$#REF!$#REF!"</definedName>
    <definedName name="m___4_1">#REF!</definedName>
    <definedName name="m___4_10">#REF!</definedName>
    <definedName name="m___4_11">#REF!</definedName>
    <definedName name="m___4_16">#REF!</definedName>
    <definedName name="m___4_17">#REF!</definedName>
    <definedName name="m___4_8">#REF!</definedName>
    <definedName name="m___7">"$#REF!.$#REF!$#REF!"</definedName>
    <definedName name="m_1">#REF!</definedName>
    <definedName name="m_10">#REF!</definedName>
    <definedName name="m_11">#REF!</definedName>
    <definedName name="m_12">#REF!</definedName>
    <definedName name="m_16">#REF!</definedName>
    <definedName name="m_17">#REF!</definedName>
    <definedName name="m_2">"$#REF!.$#REF!$#REF!"</definedName>
    <definedName name="M_20" localSheetId="3">#REF!</definedName>
    <definedName name="M_20">#REF!</definedName>
    <definedName name="M_25" localSheetId="3">#REF!</definedName>
    <definedName name="M_25">#REF!</definedName>
    <definedName name="M_25_box_Culvert" localSheetId="3">#REF!</definedName>
    <definedName name="M_25_box_Culvert">#REF!</definedName>
    <definedName name="m_3">#REF!</definedName>
    <definedName name="M_32">#REF!</definedName>
    <definedName name="m_4">#REF!</definedName>
    <definedName name="M_40">#REF!</definedName>
    <definedName name="m_5">#REF!</definedName>
    <definedName name="M_50">#REF!</definedName>
    <definedName name="M_6">#REF!</definedName>
    <definedName name="m_7">#REF!</definedName>
    <definedName name="m_8">#REF!</definedName>
    <definedName name="m_9">#REF!</definedName>
    <definedName name="M1_">#N/A</definedName>
    <definedName name="m10_foundation">#REF!</definedName>
    <definedName name="m102bnnc">#REF!</definedName>
    <definedName name="m102bnvl">#REF!</definedName>
    <definedName name="m10aamtc">#REF!</definedName>
    <definedName name="m10aanc">#REF!</definedName>
    <definedName name="m10aavl">#REF!</definedName>
    <definedName name="m10anc">#REF!</definedName>
    <definedName name="m10avl">#REF!</definedName>
    <definedName name="m10banc">#REF!</definedName>
    <definedName name="m10bavl">#REF!</definedName>
    <definedName name="m10levelling">#REF!</definedName>
    <definedName name="m122bnnc">#REF!</definedName>
    <definedName name="m122bnvl">#REF!</definedName>
    <definedName name="m12aanc">#REF!</definedName>
    <definedName name="m12aavl">#REF!</definedName>
    <definedName name="m12anc">#REF!</definedName>
    <definedName name="m12avl">#REF!</definedName>
    <definedName name="M12ba3p" localSheetId="3">#REF!</definedName>
    <definedName name="M12ba3p">#REF!</definedName>
    <definedName name="m12banc" localSheetId="3">#REF!</definedName>
    <definedName name="m12banc">#REF!</definedName>
    <definedName name="m12bavl" localSheetId="3">#REF!</definedName>
    <definedName name="m12bavl">#REF!</definedName>
    <definedName name="M12bb1p" localSheetId="3">#REF!</definedName>
    <definedName name="M12bb1p">#REF!</definedName>
    <definedName name="m12bbnc" localSheetId="3">#REF!</definedName>
    <definedName name="m12bbnc">#REF!</definedName>
    <definedName name="m12bbvl" localSheetId="3">#REF!</definedName>
    <definedName name="m12bbvl">#REF!</definedName>
    <definedName name="M12bnnc" localSheetId="3">#REF!</definedName>
    <definedName name="M12bnnc">#REF!</definedName>
    <definedName name="M12bnvl" localSheetId="3">#REF!</definedName>
    <definedName name="M12bnvl">#REF!</definedName>
    <definedName name="M12cbnc" localSheetId="3">#REF!</definedName>
    <definedName name="M12cbnc">#REF!</definedName>
    <definedName name="M12cbvl" localSheetId="3">#REF!</definedName>
    <definedName name="M12cbvl">#REF!</definedName>
    <definedName name="m142bnnc" localSheetId="3">#REF!</definedName>
    <definedName name="m142bnnc">#REF!</definedName>
    <definedName name="m142bnvl" localSheetId="3">#REF!</definedName>
    <definedName name="m142bnvl">#REF!</definedName>
    <definedName name="M14bb1p" localSheetId="3">#REF!</definedName>
    <definedName name="M14bb1p">#REF!</definedName>
    <definedName name="m14bbnc" localSheetId="3">#REF!</definedName>
    <definedName name="m14bbnc">#REF!</definedName>
    <definedName name="M14bbvc" localSheetId="3">#REF!</definedName>
    <definedName name="M14bbvc">#REF!</definedName>
    <definedName name="m14bbvl">#REF!</definedName>
    <definedName name="m15curtainwall">#REF!</definedName>
    <definedName name="m15flooring">#REF!</definedName>
    <definedName name="M1x">#REF!</definedName>
    <definedName name="M1y">#REF!</definedName>
    <definedName name="M2_">#N/A</definedName>
    <definedName name="m20_sub">#REF!</definedName>
    <definedName name="m20flooring">#REF!</definedName>
    <definedName name="M2x">#REF!</definedName>
    <definedName name="M2y">#REF!</definedName>
    <definedName name="M8a">#REF!</definedName>
    <definedName name="M8aa">#REF!</definedName>
    <definedName name="m8aanc" localSheetId="3">#REF!</definedName>
    <definedName name="m8aanc">#REF!</definedName>
    <definedName name="m8aavl" localSheetId="3">#REF!</definedName>
    <definedName name="m8aavl">#REF!</definedName>
    <definedName name="m8amtc" localSheetId="3">#REF!</definedName>
    <definedName name="m8amtc">#REF!</definedName>
    <definedName name="m8anc" localSheetId="3">#REF!</definedName>
    <definedName name="m8anc">#REF!</definedName>
    <definedName name="m8avl">#REF!</definedName>
    <definedName name="MA_BTS_SUMMARY" localSheetId="3">#REF!</definedName>
    <definedName name="MA_BTS_SUMMARY">#REF!</definedName>
    <definedName name="MA_Plng_Resp" localSheetId="3">#REF!</definedName>
    <definedName name="MA_Plng_Resp">#REF!</definedName>
    <definedName name="Ma3pnc" localSheetId="3">#REF!</definedName>
    <definedName name="Ma3pnc">#REF!</definedName>
    <definedName name="Ma3pvl">#REF!</definedName>
    <definedName name="Maa3pnc">#REF!</definedName>
    <definedName name="Maa3pvl">#REF!</definedName>
    <definedName name="mabb">#REF!</definedName>
    <definedName name="mabbsm">#REF!</definedName>
    <definedName name="MacroInfo">#REF!</definedName>
    <definedName name="maddsm">#REF!</definedName>
    <definedName name="MadeBy">#REF!</definedName>
    <definedName name="mADIVAL" localSheetId="3">#REF! = Address</definedName>
    <definedName name="mADIVAL" localSheetId="11">#REF! = Address</definedName>
    <definedName name="mADIVAL">#REF! = Address</definedName>
    <definedName name="MAINMENU" localSheetId="3">#REF!</definedName>
    <definedName name="MAINMENU">#REF!</definedName>
    <definedName name="MAINMENU_1" localSheetId="3">#REF!</definedName>
    <definedName name="MAINMENU_1">#REF!</definedName>
    <definedName name="MAINMENU_17" localSheetId="3">#REF!</definedName>
    <definedName name="MAINMENU_17">#REF!</definedName>
    <definedName name="MAINMENU_3">#REF!</definedName>
    <definedName name="mainrkcost">#REF!</definedName>
    <definedName name="Major_Bridges">#REF!</definedName>
    <definedName name="Major_Junctions">#REF!</definedName>
    <definedName name="majord" localSheetId="3">#REF!</definedName>
    <definedName name="majord">#REF!</definedName>
    <definedName name="majororders" localSheetId="3">#REF!</definedName>
    <definedName name="majororders">#REF!</definedName>
    <definedName name="man" localSheetId="3">#REF!</definedName>
    <definedName name="man">#REF!</definedName>
    <definedName name="Management_rate">#REF!</definedName>
    <definedName name="Management_rate_C">#REF!</definedName>
    <definedName name="Management_rate2">#REF!</definedName>
    <definedName name="Management_rate3">#REF!</definedName>
    <definedName name="Management_rate4">#REF!</definedName>
    <definedName name="Management_rate5">#REF!</definedName>
    <definedName name="Mandatory" localSheetId="3">BOQ_G!Mandatory</definedName>
    <definedName name="Mandatory">BOQ_G!Mandatory</definedName>
    <definedName name="Manifold_x_1" localSheetId="3">#REF!</definedName>
    <definedName name="Manifold_x_1">#REF!</definedName>
    <definedName name="MANUEL_INPUT" localSheetId="3">#REF!</definedName>
    <definedName name="MANUEL_INPUT">#REF!</definedName>
    <definedName name="Manufacturing_rate">#REF!</definedName>
    <definedName name="Manufacturing_rate_C">#REF!</definedName>
    <definedName name="Manufacturing_rate2">#REF!</definedName>
    <definedName name="Manufacturing_rate3">#REF!</definedName>
    <definedName name="Manufacturing_rate4">#REF!</definedName>
    <definedName name="Manufacturing_rate5">#REF!</definedName>
    <definedName name="mAP" localSheetId="3">#REF! = Address</definedName>
    <definedName name="mAP" localSheetId="11">#REF! = Address</definedName>
    <definedName name="mAP">#REF! = Address</definedName>
    <definedName name="Margin" localSheetId="3">#REF!</definedName>
    <definedName name="Margin">#REF!</definedName>
    <definedName name="Marketing_percentage">#REF!</definedName>
    <definedName name="Marketing_percentage_C">#REF!</definedName>
    <definedName name="Marketing_percentage2">#REF!</definedName>
    <definedName name="Marketing_percentage3">#REF!</definedName>
    <definedName name="Marketing_percentage4">#REF!</definedName>
    <definedName name="Marketing_percentage5">#REF!</definedName>
    <definedName name="markup" localSheetId="3">#REF!</definedName>
    <definedName name="markup">#REF!</definedName>
    <definedName name="Mascon" localSheetId="3">#REF!</definedName>
    <definedName name="Mascon">#REF!</definedName>
    <definedName name="masii">#REF!</definedName>
    <definedName name="masii_13">#REF!</definedName>
    <definedName name="masii_14">#REF!</definedName>
    <definedName name="masii_15">#REF!</definedName>
    <definedName name="masii_16">#REF!</definedName>
    <definedName name="masii_17">#REF!</definedName>
    <definedName name="masii_19">#REF!</definedName>
    <definedName name="masii_20">#REF!</definedName>
    <definedName name="masii_23">#REF!</definedName>
    <definedName name="masii_3">#REF!</definedName>
    <definedName name="MASO">#REF!</definedName>
    <definedName name="mason">#REF!</definedName>
    <definedName name="mason_2ndclass" localSheetId="3">#REF!</definedName>
    <definedName name="mason_2ndclass">#REF!</definedName>
    <definedName name="mason1">#REF!</definedName>
    <definedName name="mason1stclass" localSheetId="3">#REF!</definedName>
    <definedName name="mason1stclass">#REF!</definedName>
    <definedName name="mason2">#REF!</definedName>
    <definedName name="masonhelper" localSheetId="3">#REF!</definedName>
    <definedName name="masonhelper">#REF!</definedName>
    <definedName name="masspc" localSheetId="3">#REF!</definedName>
    <definedName name="masspc">#REF!</definedName>
    <definedName name="MAST">#REF!</definedName>
    <definedName name="mastcooker">#REF!</definedName>
    <definedName name="MAT" localSheetId="3">#REF!</definedName>
    <definedName name="MAT">#REF!</definedName>
    <definedName name="Mat.Mar" localSheetId="3">#REF!</definedName>
    <definedName name="Mat.Mar">#REF!</definedName>
    <definedName name="Mate">#REF!</definedName>
    <definedName name="Material" localSheetId="3">#REF!</definedName>
    <definedName name="Material">#REF!</definedName>
    <definedName name="Material_cost">#REF!</definedName>
    <definedName name="Materials">#REF!</definedName>
    <definedName name="MATHS" localSheetId="3">#REF!</definedName>
    <definedName name="MATHS">#REF!</definedName>
    <definedName name="MaViet" localSheetId="3">#REF!</definedName>
    <definedName name="MaViet">#REF!</definedName>
    <definedName name="maxmom" localSheetId="3">#REF!</definedName>
    <definedName name="maxmom">#REF!</definedName>
    <definedName name="MaxSNo">#REF!</definedName>
    <definedName name="mazdoor" localSheetId="3">#REF!</definedName>
    <definedName name="mazdoor">#REF!</definedName>
    <definedName name="mazdoor_skilled" localSheetId="3">#REF!</definedName>
    <definedName name="mazdoor_skilled">#REF!</definedName>
    <definedName name="mazdoor_unskilled" localSheetId="3">#REF!</definedName>
    <definedName name="mazdoor_unskilled">#REF!</definedName>
    <definedName name="Mba1p">#REF!</definedName>
    <definedName name="Mba3p">#REF!</definedName>
    <definedName name="Mbb3p">#REF!</definedName>
    <definedName name="Mbn1p">#REF!</definedName>
    <definedName name="mbnc">#REF!</definedName>
    <definedName name="mbra" localSheetId="3">#REF!</definedName>
    <definedName name="mbra">#REF!</definedName>
    <definedName name="mbvl" localSheetId="3">#REF!</definedName>
    <definedName name="mbvl">#REF!</definedName>
    <definedName name="mc12c1.5" localSheetId="3">#REF!</definedName>
    <definedName name="mc12c1.5">#REF!</definedName>
    <definedName name="mc12c2.5" localSheetId="3">#REF!</definedName>
    <definedName name="mc12c2.5">#REF!</definedName>
    <definedName name="mc19c1.5" localSheetId="3">#REF!</definedName>
    <definedName name="mc19c1.5">#REF!</definedName>
    <definedName name="mc27c1.5">#REF!</definedName>
    <definedName name="mc37c1.5">#REF!</definedName>
    <definedName name="mc7c1.5">#REF!</definedName>
    <definedName name="MCC__measured_in_elec_BOQ">#REF!</definedName>
    <definedName name="MCC__measured_in_elec_BOQ_1">#REF!</definedName>
    <definedName name="MCC__measured_in_elec_BOQ_10">#REF!</definedName>
    <definedName name="MCC__measured_in_elec_BOQ_11">#REF!</definedName>
    <definedName name="MCC__measured_in_elec_BOQ_16">#REF!</definedName>
    <definedName name="MCC__measured_in_elec_BOQ_17">#REF!</definedName>
    <definedName name="MCC__measured_in_elec_BOQ_2">#REF!</definedName>
    <definedName name="MCC__measured_in_elec_BOQ_6">#REF!</definedName>
    <definedName name="MCC__measured_in_elec_BOQ_8">#REF!</definedName>
    <definedName name="Mccgl">#REF!</definedName>
    <definedName name="MCCO" localSheetId="3" hidden="1">{#N/A,#N/A,FALSE,"CCTV"}</definedName>
    <definedName name="MCCO" hidden="1">{#N/A,#N/A,FALSE,"CCTV"}</definedName>
    <definedName name="MCCO10" localSheetId="3" hidden="1">{#N/A,#N/A,FALSE,"CCTV"}</definedName>
    <definedName name="MCCO10" hidden="1">{#N/A,#N/A,FALSE,"CCTV"}</definedName>
    <definedName name="MCCO11" localSheetId="3" hidden="1">{#N/A,#N/A,FALSE,"CCTV"}</definedName>
    <definedName name="MCCO11" hidden="1">{#N/A,#N/A,FALSE,"CCTV"}</definedName>
    <definedName name="MCCO12" localSheetId="3" hidden="1">{#N/A,#N/A,FALSE,"CCTV"}</definedName>
    <definedName name="MCCO12" hidden="1">{#N/A,#N/A,FALSE,"CCTV"}</definedName>
    <definedName name="MCCO13" localSheetId="3" hidden="1">{#N/A,#N/A,FALSE,"CCTV"}</definedName>
    <definedName name="MCCO13" hidden="1">{#N/A,#N/A,FALSE,"CCTV"}</definedName>
    <definedName name="MCCO3" localSheetId="3" hidden="1">{#N/A,#N/A,FALSE,"CCTV"}</definedName>
    <definedName name="MCCO3" hidden="1">{#N/A,#N/A,FALSE,"CCTV"}</definedName>
    <definedName name="MCCO4" localSheetId="3" hidden="1">{#N/A,#N/A,FALSE,"CCTV"}</definedName>
    <definedName name="MCCO4" hidden="1">{#N/A,#N/A,FALSE,"CCTV"}</definedName>
    <definedName name="MCCO5" localSheetId="3" hidden="1">{#N/A,#N/A,FALSE,"CCTV"}</definedName>
    <definedName name="MCCO5" hidden="1">{#N/A,#N/A,FALSE,"CCTV"}</definedName>
    <definedName name="MCCO6" localSheetId="3" hidden="1">{#N/A,#N/A,FALSE,"CCTV"}</definedName>
    <definedName name="MCCO6" hidden="1">{#N/A,#N/A,FALSE,"CCTV"}</definedName>
    <definedName name="MCCO7" localSheetId="3" hidden="1">{#N/A,#N/A,FALSE,"CCTV"}</definedName>
    <definedName name="MCCO7" hidden="1">{#N/A,#N/A,FALSE,"CCTV"}</definedName>
    <definedName name="MCCO8" localSheetId="3" hidden="1">{#N/A,#N/A,FALSE,"CCTV"}</definedName>
    <definedName name="MCCO8" hidden="1">{#N/A,#N/A,FALSE,"CCTV"}</definedName>
    <definedName name="MCCO9" localSheetId="3" hidden="1">{#N/A,#N/A,FALSE,"CCTV"}</definedName>
    <definedName name="MCCO9" hidden="1">{#N/A,#N/A,FALSE,"CCTV"}</definedName>
    <definedName name="MCCOÙ" localSheetId="3" hidden="1">{#N/A,#N/A,FALSE,"CCTV"}</definedName>
    <definedName name="MCCOÙ" hidden="1">{#N/A,#N/A,FALSE,"CCTV"}</definedName>
    <definedName name="md">#REF!</definedName>
    <definedName name="MD_">#REF!</definedName>
    <definedName name="MDR">#REF!</definedName>
    <definedName name="me">#REF!</definedName>
    <definedName name="mec">#REF!</definedName>
    <definedName name="Mecaanical">#REF!</definedName>
    <definedName name="mech">#REF!</definedName>
    <definedName name="mech_CPC">#REF!</definedName>
    <definedName name="mech_CPC1">#REF!</definedName>
    <definedName name="mechbroom">#REF!</definedName>
    <definedName name="medium" localSheetId="3">#REF!</definedName>
    <definedName name="medium">#REF!</definedName>
    <definedName name="mediumAGRU" localSheetId="3">#REF!</definedName>
    <definedName name="mediumAGRU">#REF!</definedName>
    <definedName name="mediumAS" localSheetId="3">#REF!</definedName>
    <definedName name="mediumAS">#REF!</definedName>
    <definedName name="mediumCOMMON">#REF!</definedName>
    <definedName name="mediumCW">#REF!</definedName>
    <definedName name="mediumERU">#REF!</definedName>
    <definedName name="mediumGTG">#REF!</definedName>
    <definedName name="mediumHO">#REF!</definedName>
    <definedName name="mediumSG">#REF!</definedName>
    <definedName name="mediumTEG">#REF!</definedName>
    <definedName name="MEMBER">#REF!</definedName>
    <definedName name="Member_Location">#REF!</definedName>
    <definedName name="MEMNO" localSheetId="3">#REF!</definedName>
    <definedName name="MEMNO">#REF!</definedName>
    <definedName name="mep" localSheetId="3">#REF!</definedName>
    <definedName name="mep">#REF!</definedName>
    <definedName name="mepr1" localSheetId="3">#REF!</definedName>
    <definedName name="mepr1">#REF!</definedName>
    <definedName name="mepr2">#REF!</definedName>
    <definedName name="metal10">#REF!</definedName>
    <definedName name="Metal12mm">#REF!</definedName>
    <definedName name="metal20">#REF!</definedName>
    <definedName name="Metal20mm">#REF!</definedName>
    <definedName name="metal40">#REF!</definedName>
    <definedName name="Metal40mm">#REF!</definedName>
    <definedName name="Metal6mm">#REF!</definedName>
    <definedName name="MF" localSheetId="3">#REF!</definedName>
    <definedName name="MF">#REF!</definedName>
    <definedName name="MF_1" localSheetId="3">#REF!</definedName>
    <definedName name="MF_1">#REF!</definedName>
    <definedName name="MF_17" localSheetId="3">#REF!</definedName>
    <definedName name="MF_17">#REF!</definedName>
    <definedName name="MG">#REF!</definedName>
    <definedName name="mhjj" localSheetId="3" hidden="1">{"'Bill No. 7'!$A$1:$G$32"}</definedName>
    <definedName name="mhjj" hidden="1">{"'Bill No. 7'!$A$1:$G$32"}</definedName>
    <definedName name="mhr10pr1.0">#REF!</definedName>
    <definedName name="mhr12c1.5">#REF!</definedName>
    <definedName name="mhr12c2.5">#REF!</definedName>
    <definedName name="mhr19c1.5">#REF!</definedName>
    <definedName name="mhr1c10">#REF!</definedName>
    <definedName name="mhr1c120">#REF!</definedName>
    <definedName name="mhr1c150">#REF!</definedName>
    <definedName name="mhr1c16">#REF!</definedName>
    <definedName name="mhr1c185">#REF!</definedName>
    <definedName name="mhr1c240">#REF!</definedName>
    <definedName name="mhr1c25">#REF!</definedName>
    <definedName name="mhr1c300">#REF!</definedName>
    <definedName name="mhr1c35">#REF!</definedName>
    <definedName name="mhr1c4">#REF!</definedName>
    <definedName name="mhr1c400">#REF!</definedName>
    <definedName name="mhr1c50">#REF!</definedName>
    <definedName name="mhr1c6">#REF!</definedName>
    <definedName name="mhr1c630">#REF!</definedName>
    <definedName name="mhr1c70">#REF!</definedName>
    <definedName name="mhr1c95">#REF!</definedName>
    <definedName name="mhr1pr1.0">#REF!</definedName>
    <definedName name="mhr1Q1.0">#REF!</definedName>
    <definedName name="mhr20pr1.0">#REF!</definedName>
    <definedName name="mhr27c1.5">#REF!</definedName>
    <definedName name="mhr2c2.5">#REF!</definedName>
    <definedName name="mhr2c4">#REF!</definedName>
    <definedName name="mhr37c1.5">#REF!</definedName>
    <definedName name="mhr3c185hv">#REF!</definedName>
    <definedName name="mhr3c2.5">#REF!</definedName>
    <definedName name="mhr3c240hv">#REF!</definedName>
    <definedName name="mhr4c10">#REF!</definedName>
    <definedName name="mhr4c120">#REF!</definedName>
    <definedName name="mhr4c150">#REF!</definedName>
    <definedName name="mhr4c16">#REF!</definedName>
    <definedName name="mhr4c185">#REF!</definedName>
    <definedName name="mhr4c2.5">#REF!</definedName>
    <definedName name="mhr4c240">#REF!</definedName>
    <definedName name="mhr4c25">#REF!</definedName>
    <definedName name="mhr4c300">#REF!</definedName>
    <definedName name="mhr4c35">#REF!</definedName>
    <definedName name="mhr4c4">#REF!</definedName>
    <definedName name="mhr4c50">#REF!</definedName>
    <definedName name="mhr4c6">#REF!</definedName>
    <definedName name="mhr4c70">#REF!</definedName>
    <definedName name="mhr4c95">#REF!</definedName>
    <definedName name="mhr7c1.5">#REF!</definedName>
    <definedName name="mhrBaseSpacer89">#REF!</definedName>
    <definedName name="mhrbellupvc89">#REF!</definedName>
    <definedName name="mhrflex3c2.5">#REF!</definedName>
    <definedName name="mhrGT10pr1.0">#REF!</definedName>
    <definedName name="mhrGT12c1.5">#REF!</definedName>
    <definedName name="mhrGT12c2.5">#REF!</definedName>
    <definedName name="mhrGT19c1.5">#REF!</definedName>
    <definedName name="mhrGT1c10">#REF!</definedName>
    <definedName name="mhrGT1c120">#REF!</definedName>
    <definedName name="mhrGT1c150">#REF!</definedName>
    <definedName name="mhrGT1c16">#REF!</definedName>
    <definedName name="mhrGT1c185">#REF!</definedName>
    <definedName name="mhrGT1c240">#REF!</definedName>
    <definedName name="mhrGT1c25">#REF!</definedName>
    <definedName name="mhrGT1c300">#REF!</definedName>
    <definedName name="mhrGT1c35">#REF!</definedName>
    <definedName name="mhrGT1c50">#REF!</definedName>
    <definedName name="mhrGT1c70">#REF!</definedName>
    <definedName name="mhrGT1c95">#REF!</definedName>
    <definedName name="mhrGT1pr1.0">#REF!</definedName>
    <definedName name="mhrGT1Q1.0">#REF!</definedName>
    <definedName name="mhrGT20pr1.0">#REF!</definedName>
    <definedName name="mhrGT27c1.5">#REF!</definedName>
    <definedName name="mhrGT2c2.5">#REF!</definedName>
    <definedName name="mhrGT2c4">#REF!</definedName>
    <definedName name="mhrGT37c1.5">#REF!</definedName>
    <definedName name="mhrGT3c185hv">#REF!</definedName>
    <definedName name="mhrGT3c2.5">#REF!</definedName>
    <definedName name="mhrGT3c240hv">#REF!</definedName>
    <definedName name="mhrGT4c10">#REF!</definedName>
    <definedName name="mhrGT4c120">#REF!</definedName>
    <definedName name="mhrGT4c150">#REF!</definedName>
    <definedName name="mhrGT4c16">#REF!</definedName>
    <definedName name="mhrGT4c185">#REF!</definedName>
    <definedName name="mhrGT4c2.5">#REF!</definedName>
    <definedName name="mhrGT4c240">#REF!</definedName>
    <definedName name="mhrGT4c25">#REF!</definedName>
    <definedName name="mhrGT4c300">#REF!</definedName>
    <definedName name="mhrGT4c35">#REF!</definedName>
    <definedName name="mhrGT4c4">#REF!</definedName>
    <definedName name="mhrGT4c50">#REF!</definedName>
    <definedName name="mhrGT4c6">#REF!</definedName>
    <definedName name="mhrGT4c70">#REF!</definedName>
    <definedName name="mhrGT4c95">#REF!</definedName>
    <definedName name="mhrGT7c1.5">#REF!</definedName>
    <definedName name="mhrGTflex3c2.5">#REF!</definedName>
    <definedName name="mhrIntSpacer89">#REF!</definedName>
    <definedName name="mhrupvc89">#REF!</definedName>
    <definedName name="mhrYjoint3c10">#REF!</definedName>
    <definedName name="mhrYjoint4c50">#REF!</definedName>
    <definedName name="MHs_per_ManDay">#REF!</definedName>
    <definedName name="MHs_per_MM">#REF!</definedName>
    <definedName name="mhsplca">#REF!</definedName>
    <definedName name="mht" localSheetId="3">#REF!</definedName>
    <definedName name="mht">#REF!</definedName>
    <definedName name="mhtt" localSheetId="3">#REF!</definedName>
    <definedName name="mhtt">#REF!</definedName>
    <definedName name="Mild_steel">#REF!</definedName>
    <definedName name="mile">#REF!</definedName>
    <definedName name="miniraj" localSheetId="3">#REF!</definedName>
    <definedName name="miniraj">#REF!</definedName>
    <definedName name="MINOR__BUILDING__WORKS" localSheetId="3">#REF!</definedName>
    <definedName name="MINOR__BUILDING__WORKS">#REF!</definedName>
    <definedName name="MinSNo">#REF!</definedName>
    <definedName name="Mire" localSheetId="3">#REF!</definedName>
    <definedName name="Mire">#REF!</definedName>
    <definedName name="misc" localSheetId="3">#REF!</definedName>
    <definedName name="misc">#REF!</definedName>
    <definedName name="mixer" localSheetId="3">#REF!</definedName>
    <definedName name="mixer">#REF!</definedName>
    <definedName name="mk">#REF!</definedName>
    <definedName name="mkl">#REF!</definedName>
    <definedName name="mktcoveredph1a">#REF!</definedName>
    <definedName name="mktcoveredph1b">#REF!</definedName>
    <definedName name="mktcoveredph2">#REF!</definedName>
    <definedName name="ML" localSheetId="3">#REF!</definedName>
    <definedName name="ML">#REF!</definedName>
    <definedName name="mlogmacros" localSheetId="3">#REF!</definedName>
    <definedName name="mlogmacros">#REF!</definedName>
    <definedName name="mm" localSheetId="3">#REF!</definedName>
    <definedName name="mm">#REF!</definedName>
    <definedName name="Mm_">#REF!</definedName>
    <definedName name="mm_1">#REF!</definedName>
    <definedName name="mm_10">#REF!</definedName>
    <definedName name="mm_11">#REF!</definedName>
    <definedName name="mm_16">#REF!</definedName>
    <definedName name="mm_8">#REF!</definedName>
    <definedName name="MM_Korean">#REF!</definedName>
    <definedName name="MM_Local.Reg">#REF!</definedName>
    <definedName name="MM_Third.Nation">#REF!</definedName>
    <definedName name="MMCalculated">#REF!</definedName>
    <definedName name="mmm">#REF!</definedName>
    <definedName name="mmmmm" localSheetId="3" hidden="1">{#N/A,#N/A,FALSE,"CCTV"}</definedName>
    <definedName name="mmmmm" hidden="1">{#N/A,#N/A,FALSE,"CCTV"}</definedName>
    <definedName name="MMPasted">#REF!</definedName>
    <definedName name="Mn">#REF!</definedName>
    <definedName name="Mn_2">#REF!</definedName>
    <definedName name="Mn_3">#REF!</definedName>
    <definedName name="Mn_4">#REF!</definedName>
    <definedName name="Mn_5">#REF!</definedName>
    <definedName name="Mn_C">#REF!</definedName>
    <definedName name="moalala">#REF!</definedName>
    <definedName name="mod" localSheetId="3">#REF!</definedName>
    <definedName name="mod">#REF!</definedName>
    <definedName name="MODIFCURR" localSheetId="3">#REF!</definedName>
    <definedName name="MODIFCURR">#REF!</definedName>
    <definedName name="modifiedbitumen" localSheetId="3">#REF!</definedName>
    <definedName name="modifiedbitumen">#REF!</definedName>
    <definedName name="module_data">#REF!</definedName>
    <definedName name="Module1.Goto_Quants_Generator">#N/A</definedName>
    <definedName name="Module1.Print_Setup_Budget_Estimate">#N/A</definedName>
    <definedName name="Module1.Print_Setup_Quants_Generator">#N/A</definedName>
    <definedName name="Module3.Goto_Budget_Estimate">#N/A</definedName>
    <definedName name="Module3.Goto_Quants_Generator">#N/A</definedName>
    <definedName name="Module3.Print_Setup_Budget_Estimate">#N/A</definedName>
    <definedName name="Module3.Print_Setup_Quants_Generator">#N/A</definedName>
    <definedName name="Mom">#REF!</definedName>
    <definedName name="Mom_">#REF!</definedName>
    <definedName name="momentab">#REF!</definedName>
    <definedName name="Month_Curr">#REF!</definedName>
    <definedName name="Month_next">#REF!</definedName>
    <definedName name="Month_Prev_1">#REF!</definedName>
    <definedName name="Month_prev_2">#REF!</definedName>
    <definedName name="mortor" localSheetId="3">#REF! = Address</definedName>
    <definedName name="mortor" localSheetId="11">#REF! = Address</definedName>
    <definedName name="mortor">#REF! = Address</definedName>
    <definedName name="mp" localSheetId="3">#REF!</definedName>
    <definedName name="mp">#REF!</definedName>
    <definedName name="mp1x25" localSheetId="3">#REF!</definedName>
    <definedName name="mp1x25">#REF!</definedName>
    <definedName name="Mpad12" localSheetId="3">#REF!</definedName>
    <definedName name="Mpad12">#REF!</definedName>
    <definedName name="MPad25" localSheetId="3">#REF!</definedName>
    <definedName name="MPad25">#REF!</definedName>
    <definedName name="MPMOB" localSheetId="3">#REF!</definedName>
    <definedName name="MPMOB">#REF!</definedName>
    <definedName name="mpwr">#REF!</definedName>
    <definedName name="mr">#REF!</definedName>
    <definedName name="mrf">#REF!</definedName>
    <definedName name="mrrr" localSheetId="3">#REF! = Address</definedName>
    <definedName name="mrrr" localSheetId="11">#REF! = Address</definedName>
    <definedName name="mrrr">#REF! = Address</definedName>
    <definedName name="MS" localSheetId="3">#REF!</definedName>
    <definedName name="MS">#REF!</definedName>
    <definedName name="MS.Struc" localSheetId="3">#REF!</definedName>
    <definedName name="MS.Struc">#REF!</definedName>
    <definedName name="msbars" localSheetId="3">#REF!</definedName>
    <definedName name="msbars">#REF!</definedName>
    <definedName name="msc">#REF!</definedName>
    <definedName name="mscaper">#REF!</definedName>
    <definedName name="Mscgl">#REF!</definedName>
    <definedName name="msl" localSheetId="3">#REF!</definedName>
    <definedName name="msl">#REF!</definedName>
    <definedName name="msteel" localSheetId="3">#REF!</definedName>
    <definedName name="msteel">#REF!</definedName>
    <definedName name="MSTON" localSheetId="3">#REF!</definedName>
    <definedName name="MSTON">#REF!</definedName>
    <definedName name="msy5onwards" localSheetId="3">#REF!</definedName>
    <definedName name="msy5onwards">#REF!</definedName>
    <definedName name="mt" localSheetId="3">#REF!</definedName>
    <definedName name="mt">#REF!</definedName>
    <definedName name="MTC1P" localSheetId="3">#REF!</definedName>
    <definedName name="MTC1P">#REF!</definedName>
    <definedName name="MTC3P" localSheetId="3">#REF!</definedName>
    <definedName name="MTC3P">#REF!</definedName>
    <definedName name="MTCHC">#REF!</definedName>
    <definedName name="MTCMB">#REF!</definedName>
    <definedName name="MTMAC12" localSheetId="3">#REF!</definedName>
    <definedName name="MTMAC12">#REF!</definedName>
    <definedName name="mtr" localSheetId="3">#REF!</definedName>
    <definedName name="mtr">#REF!</definedName>
    <definedName name="mtram" localSheetId="3">#REF!</definedName>
    <definedName name="mtram">#REF!</definedName>
    <definedName name="mu" localSheetId="3">#REF!</definedName>
    <definedName name="mu">#REF!</definedName>
    <definedName name="MultiplierNew" localSheetId="3">#REF!</definedName>
    <definedName name="MultiplierNew">#REF!</definedName>
    <definedName name="MultiplierNew_1">#REF!</definedName>
    <definedName name="MultiplierNew_17">#REF!</definedName>
    <definedName name="MultiplierNew_2">#REF!</definedName>
    <definedName name="MultiplierNew_6">#REF!</definedName>
    <definedName name="MultiplierOld">#REF!</definedName>
    <definedName name="MultiplierOld_1">#REF!</definedName>
    <definedName name="MultiplierOld_17">#REF!</definedName>
    <definedName name="MultiplierOld_2">#REF!</definedName>
    <definedName name="MultiplierOld_6">#REF!</definedName>
    <definedName name="MultiplierSfsNew">#REF!</definedName>
    <definedName name="MultiplierSfsNew_1">#REF!</definedName>
    <definedName name="MultiplierSfsNew_17">#REF!</definedName>
    <definedName name="MultiplierSfsNew_2">#REF!</definedName>
    <definedName name="MultiplierSfsNew_6">#REF!</definedName>
    <definedName name="multiplierSfsOld">#REF!</definedName>
    <definedName name="multiplierSfsOld_1">#REF!</definedName>
    <definedName name="multiplierSfsOld_17">#REF!</definedName>
    <definedName name="multiplierSfsOld_2">#REF!</definedName>
    <definedName name="multiplierSfsOld_6">#REF!</definedName>
    <definedName name="MUNION">#REF!</definedName>
    <definedName name="MUNON">#REF!</definedName>
    <definedName name="Muram">#REF!</definedName>
    <definedName name="mus">#REF!</definedName>
    <definedName name="museis">#REF!</definedName>
    <definedName name="MUTP">#REF!</definedName>
    <definedName name="mv">#REF!</definedName>
    <definedName name="mw">#REF!</definedName>
    <definedName name="mwt">#REF!</definedName>
    <definedName name="MYR">#REF!</definedName>
    <definedName name="mz">#REF!</definedName>
    <definedName name="n">#REF!</definedName>
    <definedName name="n_">#REF!</definedName>
    <definedName name="n___0">#REF!</definedName>
    <definedName name="n___0___0">"$#REF!.$#REF!$#REF!"</definedName>
    <definedName name="n___0___3">"$#REF!.$#REF!$#REF!"</definedName>
    <definedName name="n___0___4">"$#REF!.$#REF!$#REF!"</definedName>
    <definedName name="n___0_1">#REF!</definedName>
    <definedName name="n___0_10">#REF!</definedName>
    <definedName name="n___0_11">#REF!</definedName>
    <definedName name="n___0_16">#REF!</definedName>
    <definedName name="n___0_17">#REF!</definedName>
    <definedName name="n___0_8">#REF!</definedName>
    <definedName name="n___2">#REF!</definedName>
    <definedName name="n___2___0">"$#REF!.$#REF!$#REF!"</definedName>
    <definedName name="n___2___3">"$#REF!.$#REF!$#REF!"</definedName>
    <definedName name="n___2_1">#REF!</definedName>
    <definedName name="n___2_10">#REF!</definedName>
    <definedName name="n___2_11">#REF!</definedName>
    <definedName name="n___2_16">#REF!</definedName>
    <definedName name="n___2_17">#REF!</definedName>
    <definedName name="n___2_8">#REF!</definedName>
    <definedName name="n___3">#REF!</definedName>
    <definedName name="n___3___0">"$#REF!.$#REF!$#REF!"</definedName>
    <definedName name="n___3___3">"$#REF!.$#REF!$#REF!"</definedName>
    <definedName name="n___3___4">"$#REF!.$#REF!$#REF!"</definedName>
    <definedName name="n___3_1">#REF!</definedName>
    <definedName name="n___3_10">#REF!</definedName>
    <definedName name="n___3_11">#REF!</definedName>
    <definedName name="n___3_16">#REF!</definedName>
    <definedName name="n___3_17">#REF!</definedName>
    <definedName name="n___3_8">#REF!</definedName>
    <definedName name="n___4">#REF!</definedName>
    <definedName name="n___4___0">"$#REF!.$#REF!$#REF!"</definedName>
    <definedName name="n___4___3">"$#REF!.$#REF!$#REF!"</definedName>
    <definedName name="n___4_1">#REF!</definedName>
    <definedName name="n___4_10">#REF!</definedName>
    <definedName name="n___4_11">#REF!</definedName>
    <definedName name="n___4_16">#REF!</definedName>
    <definedName name="n___4_17">#REF!</definedName>
    <definedName name="n___4_8">#REF!</definedName>
    <definedName name="n___7">"$#REF!.$#REF!$#REF!"</definedName>
    <definedName name="n_1">#REF!</definedName>
    <definedName name="n_10">#REF!</definedName>
    <definedName name="n_11">#REF!</definedName>
    <definedName name="n_12">#REF!</definedName>
    <definedName name="n_16">#REF!</definedName>
    <definedName name="n_17">#REF!</definedName>
    <definedName name="n_18">#REF!</definedName>
    <definedName name="n_19">#REF!</definedName>
    <definedName name="n_2">"$#REF!.$#REF!$#REF!"</definedName>
    <definedName name="n_20">#REF!</definedName>
    <definedName name="n_21">#REF!</definedName>
    <definedName name="n_22">#REF!</definedName>
    <definedName name="n_24">#REF!</definedName>
    <definedName name="n_3" localSheetId="3">#REF!</definedName>
    <definedName name="n_3">#REF!</definedName>
    <definedName name="n_4" localSheetId="3">#REF!</definedName>
    <definedName name="n_4">#REF!</definedName>
    <definedName name="n_5" localSheetId="3">#REF!</definedName>
    <definedName name="n_5">#REF!</definedName>
    <definedName name="N_6">#REF!</definedName>
    <definedName name="n_7">#REF!</definedName>
    <definedName name="n_8">#REF!</definedName>
    <definedName name="n_9">#REF!</definedName>
    <definedName name="n_deff">#REF!</definedName>
    <definedName name="N1IN">#REF!</definedName>
    <definedName name="n1pig" localSheetId="3">#REF!</definedName>
    <definedName name="n1pig">#REF!</definedName>
    <definedName name="n1pignc" localSheetId="3">#REF!</definedName>
    <definedName name="n1pignc">#REF!</definedName>
    <definedName name="n1pigvl" localSheetId="3">#REF!</definedName>
    <definedName name="n1pigvl">#REF!</definedName>
    <definedName name="n1pind" localSheetId="3">#REF!</definedName>
    <definedName name="n1pind">#REF!</definedName>
    <definedName name="n1pindnc" localSheetId="3">#REF!</definedName>
    <definedName name="n1pindnc">#REF!</definedName>
    <definedName name="n1pindvl" localSheetId="3">#REF!</definedName>
    <definedName name="n1pindvl">#REF!</definedName>
    <definedName name="n1ping" localSheetId="3">#REF!</definedName>
    <definedName name="n1ping">#REF!</definedName>
    <definedName name="n1pingnc" localSheetId="3">#REF!</definedName>
    <definedName name="n1pingnc">#REF!</definedName>
    <definedName name="n1pingvl" localSheetId="3">#REF!</definedName>
    <definedName name="n1pingvl">#REF!</definedName>
    <definedName name="n1pint" localSheetId="3">#REF!</definedName>
    <definedName name="n1pint">#REF!</definedName>
    <definedName name="n1pintnc" localSheetId="3">#REF!</definedName>
    <definedName name="n1pintnc">#REF!</definedName>
    <definedName name="n1pintvl" localSheetId="3">#REF!</definedName>
    <definedName name="n1pintvl">#REF!</definedName>
    <definedName name="n1x" localSheetId="3">#REF!</definedName>
    <definedName name="n1x">#REF!</definedName>
    <definedName name="n1y" localSheetId="3">#REF!</definedName>
    <definedName name="n1y">#REF!</definedName>
    <definedName name="n24nc" localSheetId="3">#REF!</definedName>
    <definedName name="n24nc">#REF!</definedName>
    <definedName name="n24vl" localSheetId="3">#REF!</definedName>
    <definedName name="n24vl">#REF!</definedName>
    <definedName name="n2mignc" localSheetId="3">#REF!</definedName>
    <definedName name="n2mignc">#REF!</definedName>
    <definedName name="n2migvl" localSheetId="3">#REF!</definedName>
    <definedName name="n2migvl">#REF!</definedName>
    <definedName name="n2min1nc" localSheetId="3">#REF!</definedName>
    <definedName name="n2min1nc">#REF!</definedName>
    <definedName name="n2min1vl">#REF!</definedName>
    <definedName name="n2x" localSheetId="3">#REF!</definedName>
    <definedName name="n2x">#REF!</definedName>
    <definedName name="n2y" localSheetId="3">#REF!</definedName>
    <definedName name="n2y">#REF!</definedName>
    <definedName name="na" localSheetId="3">#REF!</definedName>
    <definedName name="na">#REF!</definedName>
    <definedName name="naa">#REF!</definedName>
    <definedName name="naab">#REF!</definedName>
    <definedName name="naabn">#REF!</definedName>
    <definedName name="nac">#REF!</definedName>
    <definedName name="nacbn">#REF!</definedName>
    <definedName name="NAFFASDD" localSheetId="3">#REF! = Address</definedName>
    <definedName name="NAFFASDD" localSheetId="11">#REF! = Address</definedName>
    <definedName name="NAFFASDD">#REF! = Address</definedName>
    <definedName name="nag" localSheetId="3">#REF!</definedName>
    <definedName name="nag">#REF!</definedName>
    <definedName name="Name">#REF!</definedName>
    <definedName name="nana" localSheetId="3">#REF!</definedName>
    <definedName name="nana">#REF!</definedName>
    <definedName name="nare" localSheetId="3" hidden="1">{"Execavation",#N/A,FALSE,"furniture (employer)"}</definedName>
    <definedName name="nare" hidden="1">{"Execavation",#N/A,FALSE,"furniture (employer)"}</definedName>
    <definedName name="nav" localSheetId="3">#REF!</definedName>
    <definedName name="nav">#REF!</definedName>
    <definedName name="nb" localSheetId="3">#REF!</definedName>
    <definedName name="nb">#REF!</definedName>
    <definedName name="Nbars" localSheetId="3">#REF!</definedName>
    <definedName name="Nbars">#REF!</definedName>
    <definedName name="NBAY" localSheetId="3">#REF!</definedName>
    <definedName name="NBAY">#REF!</definedName>
    <definedName name="nbay2" localSheetId="3">#REF!</definedName>
    <definedName name="nbay2">#REF!</definedName>
    <definedName name="nbb" localSheetId="3">#REF!</definedName>
    <definedName name="nbb">#REF!</definedName>
    <definedName name="Nc" localSheetId="3">#REF!</definedName>
    <definedName name="Nc">#REF!</definedName>
    <definedName name="nc0">#REF!</definedName>
    <definedName name="nc1nc">#REF!</definedName>
    <definedName name="nc1p" localSheetId="3">#REF!</definedName>
    <definedName name="nc1p">#REF!</definedName>
    <definedName name="nc1vl" localSheetId="3">#REF!</definedName>
    <definedName name="nc1vl">#REF!</definedName>
    <definedName name="nc24nc" localSheetId="3">#REF!</definedName>
    <definedName name="nc24nc">#REF!</definedName>
    <definedName name="nc24vl" localSheetId="3">#REF!</definedName>
    <definedName name="nc24vl">#REF!</definedName>
    <definedName name="nc3p" localSheetId="3">#REF!</definedName>
    <definedName name="nc3p">#REF!</definedName>
    <definedName name="NCBD100" localSheetId="3">#REF!</definedName>
    <definedName name="NCBD100">#REF!</definedName>
    <definedName name="NCBD200" localSheetId="3">#REF!</definedName>
    <definedName name="NCBD200">#REF!</definedName>
    <definedName name="NCBD250">#REF!</definedName>
    <definedName name="ncdd">#REF!</definedName>
    <definedName name="NCDD2">#REF!</definedName>
    <definedName name="NCHC">#REF!</definedName>
    <definedName name="ncompier" localSheetId="3">#REF!</definedName>
    <definedName name="ncompier">#REF!</definedName>
    <definedName name="Ncor1" localSheetId="3">#REF!</definedName>
    <definedName name="Ncor1">#REF!</definedName>
    <definedName name="nctr" localSheetId="3">#REF!</definedName>
    <definedName name="nctr">#REF!</definedName>
    <definedName name="nctram" localSheetId="3">#REF!</definedName>
    <definedName name="nctram">#REF!</definedName>
    <definedName name="NCVC100" localSheetId="3">#REF!</definedName>
    <definedName name="NCVC100">#REF!</definedName>
    <definedName name="NCVC200" localSheetId="3">#REF!</definedName>
    <definedName name="NCVC200">#REF!</definedName>
    <definedName name="NCVC250">#REF!</definedName>
    <definedName name="NCVC3P">#REF!</definedName>
    <definedName name="nd">#REF!</definedName>
    <definedName name="ndeff">#REF!</definedName>
    <definedName name="ndeff_">#REF!</definedName>
    <definedName name="Ne">#REF!</definedName>
    <definedName name="needle">#REF!</definedName>
    <definedName name="neoprene">#REF!</definedName>
    <definedName name="neoprinbearing">#REF!</definedName>
    <definedName name="neuaab">#REF!</definedName>
    <definedName name="neuab">#REF!</definedName>
    <definedName name="neucab">#REF!</definedName>
    <definedName name="new">#REF!</definedName>
    <definedName name="New_Canal">#REF!</definedName>
    <definedName name="NEWNA"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ME" localSheetId="3" hidden="1">{#N/A,#N/A,FALSE,"CCTV"}</definedName>
    <definedName name="NEWNAME" hidden="1">{#N/A,#N/A,FALSE,"CCTV"}</definedName>
    <definedName name="ng">#REF!</definedName>
    <definedName name="Nhâm_CT">#REF!</definedName>
    <definedName name="nhn" localSheetId="3">#REF!</definedName>
    <definedName name="nhn">#REF!</definedName>
    <definedName name="nhnnc" localSheetId="3">#REF!</definedName>
    <definedName name="nhnnc">#REF!</definedName>
    <definedName name="nhnvl" localSheetId="3">#REF!</definedName>
    <definedName name="nhnvl">#REF!</definedName>
    <definedName name="nig" localSheetId="3">#REF!</definedName>
    <definedName name="nig">#REF!</definedName>
    <definedName name="NIG13p">#REF!</definedName>
    <definedName name="nig1p" localSheetId="3">#REF!</definedName>
    <definedName name="nig1p">#REF!</definedName>
    <definedName name="nig3p" localSheetId="3">#REF!</definedName>
    <definedName name="nig3p">#REF!</definedName>
    <definedName name="nightnc" localSheetId="3">#REF!</definedName>
    <definedName name="nightnc">#REF!</definedName>
    <definedName name="nightvl" localSheetId="3">#REF!</definedName>
    <definedName name="nightvl">#REF!</definedName>
    <definedName name="nignc1p" localSheetId="3">#REF!</definedName>
    <definedName name="nignc1p">#REF!</definedName>
    <definedName name="nignc3p">#REF!</definedName>
    <definedName name="nigvl1p" localSheetId="3">#REF!</definedName>
    <definedName name="nigvl1p">#REF!</definedName>
    <definedName name="nigvl3p">#REF!</definedName>
    <definedName name="nin" localSheetId="3">#REF!</definedName>
    <definedName name="nin">#REF!</definedName>
    <definedName name="nin14nc3p" localSheetId="3">#REF!</definedName>
    <definedName name="nin14nc3p">#REF!</definedName>
    <definedName name="nin14vl3p" localSheetId="3">#REF!</definedName>
    <definedName name="nin14vl3p">#REF!</definedName>
    <definedName name="nin1903p">#REF!</definedName>
    <definedName name="nin190nc">#REF!</definedName>
    <definedName name="nin190nc3p" localSheetId="3">#REF!</definedName>
    <definedName name="nin190nc3p">#REF!</definedName>
    <definedName name="nin190vl" localSheetId="3">#REF!</definedName>
    <definedName name="nin190vl">#REF!</definedName>
    <definedName name="nin190vl3p" localSheetId="3">#REF!</definedName>
    <definedName name="nin190vl3p">#REF!</definedName>
    <definedName name="nin1pnc" localSheetId="3">#REF!</definedName>
    <definedName name="nin1pnc">#REF!</definedName>
    <definedName name="nin1pvl" localSheetId="3">#REF!</definedName>
    <definedName name="nin1pvl">#REF!</definedName>
    <definedName name="nin2903p" localSheetId="3">#REF!</definedName>
    <definedName name="nin2903p">#REF!</definedName>
    <definedName name="nin290nc3p" localSheetId="3">#REF!</definedName>
    <definedName name="nin290nc3p">#REF!</definedName>
    <definedName name="nin290vl3p" localSheetId="3">#REF!</definedName>
    <definedName name="nin290vl3p">#REF!</definedName>
    <definedName name="nin3p">#REF!</definedName>
    <definedName name="nind">#REF!</definedName>
    <definedName name="nind1p">#REF!</definedName>
    <definedName name="nind3p">#REF!</definedName>
    <definedName name="nindnc">#REF!</definedName>
    <definedName name="nindnc1p" localSheetId="3">#REF!</definedName>
    <definedName name="nindnc1p">#REF!</definedName>
    <definedName name="nindnc3p" localSheetId="3">#REF!</definedName>
    <definedName name="nindnc3p">#REF!</definedName>
    <definedName name="nindvl" localSheetId="3">#REF!</definedName>
    <definedName name="nindvl">#REF!</definedName>
    <definedName name="nindvl1p" localSheetId="3">#REF!</definedName>
    <definedName name="nindvl1p">#REF!</definedName>
    <definedName name="nindvl3p" localSheetId="3">#REF!</definedName>
    <definedName name="nindvl3p">#REF!</definedName>
    <definedName name="ning1p" localSheetId="3">#REF!</definedName>
    <definedName name="ning1p">#REF!</definedName>
    <definedName name="ningnc1p">#REF!</definedName>
    <definedName name="ningvl1p">#REF!</definedName>
    <definedName name="ninnc">#REF!</definedName>
    <definedName name="ninnc3p" localSheetId="3">#REF!</definedName>
    <definedName name="ninnc3p">#REF!</definedName>
    <definedName name="nint1p" localSheetId="3">#REF!</definedName>
    <definedName name="nint1p">#REF!</definedName>
    <definedName name="nintnc1p" localSheetId="3">#REF!</definedName>
    <definedName name="nintnc1p">#REF!</definedName>
    <definedName name="nintvl1p">#REF!</definedName>
    <definedName name="ninvl">#REF!</definedName>
    <definedName name="ninvl3p" localSheetId="3">#REF!</definedName>
    <definedName name="ninvl3p">#REF!</definedName>
    <definedName name="NIPP" localSheetId="3">#REF!</definedName>
    <definedName name="NIPP">#REF!</definedName>
    <definedName name="njrhjgh" localSheetId="3" hidden="1">{"Execavation",#N/A,FALSE,"furniture (employer)"}</definedName>
    <definedName name="njrhjgh" hidden="1">{"Execavation",#N/A,FALSE,"furniture (employer)"}</definedName>
    <definedName name="njvv">#REF!</definedName>
    <definedName name="nkknk" localSheetId="3" hidden="1">{#N/A,#N/A,FALSE,"CCTV"}</definedName>
    <definedName name="nkknk" hidden="1">{#N/A,#N/A,FALSE,"CCTV"}</definedName>
    <definedName name="nl" localSheetId="3">#REF!</definedName>
    <definedName name="nl">#REF!</definedName>
    <definedName name="NL12nc" localSheetId="3">#REF!</definedName>
    <definedName name="NL12nc">#REF!</definedName>
    <definedName name="NL12vl" localSheetId="3">#REF!</definedName>
    <definedName name="NL12vl">#REF!</definedName>
    <definedName name="nl1p" localSheetId="3">#REF!</definedName>
    <definedName name="nl1p">#REF!</definedName>
    <definedName name="nl3p" localSheetId="3">#REF!</definedName>
    <definedName name="nl3p">#REF!</definedName>
    <definedName name="nldvoicegrowthyr1" localSheetId="3">#REF!</definedName>
    <definedName name="nldvoicegrowthyr1">#REF!</definedName>
    <definedName name="nldvoicegrowthyr2" localSheetId="3">#REF!</definedName>
    <definedName name="nldvoicegrowthyr2">#REF!</definedName>
    <definedName name="nldvoicegrowthyr3">#REF!</definedName>
    <definedName name="nldvoicegrowthyr4">#REF!</definedName>
    <definedName name="nldvoicegrowthyr5onwards">#REF!</definedName>
    <definedName name="nlht">#REF!</definedName>
    <definedName name="nlmtc">#REF!</definedName>
    <definedName name="nlnc">#REF!</definedName>
    <definedName name="nlnc3p" localSheetId="3">#REF!</definedName>
    <definedName name="nlnc3p">#REF!</definedName>
    <definedName name="nlnc3pha" localSheetId="3">#REF!</definedName>
    <definedName name="nlnc3pha">#REF!</definedName>
    <definedName name="NLTK1p" localSheetId="3">#REF!</definedName>
    <definedName name="NLTK1p">#REF!</definedName>
    <definedName name="nlvl" localSheetId="3">#REF!</definedName>
    <definedName name="nlvl">#REF!</definedName>
    <definedName name="nlvl1">#REF!</definedName>
    <definedName name="nlvl3p" localSheetId="3">#REF!</definedName>
    <definedName name="nlvl3p">#REF!</definedName>
    <definedName name="nm" localSheetId="3">#REF!</definedName>
    <definedName name="nm">#REF!</definedName>
    <definedName name="nn" localSheetId="3">#REF!</definedName>
    <definedName name="nn">#REF!</definedName>
    <definedName name="nn1p">#REF!</definedName>
    <definedName name="nn3p">#REF!</definedName>
    <definedName name="NNHNHN">#REF!</definedName>
    <definedName name="nnn">#REF!</definedName>
    <definedName name="nnnc">#REF!</definedName>
    <definedName name="nnnc3p" localSheetId="3">#REF!</definedName>
    <definedName name="nnnc3p">#REF!</definedName>
    <definedName name="nnnnnnnn" localSheetId="3">#REF!</definedName>
    <definedName name="nnnnnnnn">#REF!</definedName>
    <definedName name="NNNNNNNNNNN" localSheetId="3">#REF!</definedName>
    <definedName name="NNNNNNNNNNN">#REF!</definedName>
    <definedName name="nnvl" localSheetId="3">#REF!</definedName>
    <definedName name="nnvl">#REF!</definedName>
    <definedName name="nnvl3p" localSheetId="3">#REF!</definedName>
    <definedName name="nnvl3p">#REF!</definedName>
    <definedName name="No_of_lanes_in_toll_plaza">#REF!</definedName>
    <definedName name="No_of_machine_required">#REF!</definedName>
    <definedName name="nobeam" localSheetId="3">#REF!</definedName>
    <definedName name="nobeam">#REF!</definedName>
    <definedName name="nocable1" localSheetId="3">#REF!</definedName>
    <definedName name="nocable1">#REF!</definedName>
    <definedName name="nocable2" localSheetId="3">#REF!</definedName>
    <definedName name="nocable2">#REF!</definedName>
    <definedName name="NOCABLE3">#REF!</definedName>
    <definedName name="Nocg">#REF!</definedName>
    <definedName name="Nocon" localSheetId="3">#REF!</definedName>
    <definedName name="Nocon">#REF!</definedName>
    <definedName name="noj" localSheetId="3">#REF!</definedName>
    <definedName name="noj">#REF!</definedName>
    <definedName name="NOK" localSheetId="3">#REF!</definedName>
    <definedName name="NOK">#REF!</definedName>
    <definedName name="nolanes" localSheetId="3">#REF!</definedName>
    <definedName name="nolanes">#REF!</definedName>
    <definedName name="NOMDEVIS">#REF!</definedName>
    <definedName name="Nomg">#REF!</definedName>
    <definedName name="NOMU" localSheetId="3">#REF!</definedName>
    <definedName name="NOMU">#REF!</definedName>
    <definedName name="nopl" localSheetId="3">#REF!</definedName>
    <definedName name="nopl">#REF!</definedName>
    <definedName name="normalcapex" localSheetId="3">#REF!</definedName>
    <definedName name="normalcapex">#REF!</definedName>
    <definedName name="Nos" localSheetId="3">#REF!</definedName>
    <definedName name="Nos">#REF!</definedName>
    <definedName name="nospc" localSheetId="3">#REF!</definedName>
    <definedName name="nospc">#REF!</definedName>
    <definedName name="Note1" localSheetId="3">#REF!</definedName>
    <definedName name="Note1">#REF!</definedName>
    <definedName name="Note10">#REF!</definedName>
    <definedName name="Note11">#REF!</definedName>
    <definedName name="Note12">#REF!</definedName>
    <definedName name="Note13">#REF!</definedName>
    <definedName name="Note14">#REF!</definedName>
    <definedName name="Note15">#REF!</definedName>
    <definedName name="Note16">#REF!</definedName>
    <definedName name="Note17">#REF!</definedName>
    <definedName name="Note18">#REF!</definedName>
    <definedName name="Note19">#REF!</definedName>
    <definedName name="Note2">#REF!</definedName>
    <definedName name="Note20">#REF!</definedName>
    <definedName name="Note21">#REF!</definedName>
    <definedName name="Note22">#REF!</definedName>
    <definedName name="Note23">#REF!</definedName>
    <definedName name="Note3">#REF!</definedName>
    <definedName name="Note3a">#REF!</definedName>
    <definedName name="Note4">#REF!</definedName>
    <definedName name="Note5">#REF!</definedName>
    <definedName name="Note7">#REF!</definedName>
    <definedName name="Note8">#REF!</definedName>
    <definedName name="Note9">#REF!</definedName>
    <definedName name="notes">#REF!</definedName>
    <definedName name="nothing">#REF!</definedName>
    <definedName name="notr">#REF!</definedName>
    <definedName name="NOW">#REF!</definedName>
    <definedName name="NP3HP450">#REF!</definedName>
    <definedName name="NP3HP600">#REF!</definedName>
    <definedName name="NP3HP750">#REF!</definedName>
    <definedName name="np3humepipe600">#REF!</definedName>
    <definedName name="np3humepipe750">#REF!</definedName>
    <definedName name="NP4Hume1.2">#REF!</definedName>
    <definedName name="NP4Hume1000">#REF!</definedName>
    <definedName name="NP4Hume1200">#REF!</definedName>
    <definedName name="NP4Hume600">#REF!</definedName>
    <definedName name="NP4Hume900">#REF!</definedName>
    <definedName name="Npiers">#REF!</definedName>
    <definedName name="npile2">#REF!</definedName>
    <definedName name="npile3">#REF!</definedName>
    <definedName name="NPS">#REF!</definedName>
    <definedName name="NPV">#REF!</definedName>
    <definedName name="NPV_Rate">#REF!</definedName>
    <definedName name="nq">#REF!</definedName>
    <definedName name="nq0">#REF!</definedName>
    <definedName name="nr">#REF!</definedName>
    <definedName name="NrBsAdd">#REF!</definedName>
    <definedName name="NrBsAdd_1">#REF!</definedName>
    <definedName name="NrBsAdd_17">#REF!</definedName>
    <definedName name="NrBsAdd_2">#REF!</definedName>
    <definedName name="NrBsAdd_6">#REF!</definedName>
    <definedName name="NrBsDPAdd">#REF!</definedName>
    <definedName name="NrBsDPAdd_1">#REF!</definedName>
    <definedName name="NrBsDPAdd_17">#REF!</definedName>
    <definedName name="NrBsDPAdd_2">#REF!</definedName>
    <definedName name="NrBsDPAdd_6">#REF!</definedName>
    <definedName name="NrBsDPNew">#REF!</definedName>
    <definedName name="NrBsDPNew_1">#REF!</definedName>
    <definedName name="NrBsDPNew_17">#REF!</definedName>
    <definedName name="NrBsDPNew_2">#REF!</definedName>
    <definedName name="NrBsDPNew_6">#REF!</definedName>
    <definedName name="NrBsDPOld">#REF!</definedName>
    <definedName name="NrBsDPOld_1">#REF!</definedName>
    <definedName name="NrBsDPOld_17">#REF!</definedName>
    <definedName name="NrBsDPOld_2">#REF!</definedName>
    <definedName name="NrBsDPOld_6">#REF!</definedName>
    <definedName name="NrBslAdd">#REF!</definedName>
    <definedName name="NrBslAdd_1">#REF!</definedName>
    <definedName name="NrBslAdd_17">#REF!</definedName>
    <definedName name="NrBslAdd_2">#REF!</definedName>
    <definedName name="NrBslAdd_6">#REF!</definedName>
    <definedName name="nrBslNew">#REF!</definedName>
    <definedName name="nrBslNew_1">#REF!</definedName>
    <definedName name="nrBslNew_17">#REF!</definedName>
    <definedName name="nrBslNew_2">#REF!</definedName>
    <definedName name="nrBslNew_6">#REF!</definedName>
    <definedName name="NrBslOld">#REF!</definedName>
    <definedName name="NrBslOld_1">#REF!</definedName>
    <definedName name="NrBslOld_17">#REF!</definedName>
    <definedName name="NrBslOld_2">#REF!</definedName>
    <definedName name="NrBslOld_6">#REF!</definedName>
    <definedName name="nrBsNew">#REF!</definedName>
    <definedName name="nrBsNew_1">#REF!</definedName>
    <definedName name="nrBsNew_17">#REF!</definedName>
    <definedName name="nrBsNew_2">#REF!</definedName>
    <definedName name="nrBsNew_6">#REF!</definedName>
    <definedName name="NrBsOld">#REF!</definedName>
    <definedName name="NrBsOld_1">#REF!</definedName>
    <definedName name="NrBsOld_17">#REF!</definedName>
    <definedName name="NrBsOld_2">#REF!</definedName>
    <definedName name="NrBsOld_6">#REF!</definedName>
    <definedName name="NrBsuAdd">#REF!</definedName>
    <definedName name="NrBsuAdd_1">#REF!</definedName>
    <definedName name="NrBsuAdd_17">#REF!</definedName>
    <definedName name="NrBsuAdd_2">#REF!</definedName>
    <definedName name="NrBsuAdd_6">#REF!</definedName>
    <definedName name="nrBsuNew">#REF!</definedName>
    <definedName name="nrBsuNew_1">#REF!</definedName>
    <definedName name="nrBsuNew_17">#REF!</definedName>
    <definedName name="nrBsuNew_2">#REF!</definedName>
    <definedName name="nrBsuNew_6">#REF!</definedName>
    <definedName name="NrBsuOld">#REF!</definedName>
    <definedName name="NrBsuOld_1">#REF!</definedName>
    <definedName name="NrBsuOld_17">#REF!</definedName>
    <definedName name="NrBsuOld_2">#REF!</definedName>
    <definedName name="NrBsuOld_6">#REF!</definedName>
    <definedName name="NrCiDPAdd">#REF!</definedName>
    <definedName name="NrCiDPAdd_1">#REF!</definedName>
    <definedName name="NrCiDPAdd_17">#REF!</definedName>
    <definedName name="NrCiDPAdd_2">#REF!</definedName>
    <definedName name="NrCiDPAdd_6">#REF!</definedName>
    <definedName name="NrCiDPNew">#REF!</definedName>
    <definedName name="NrCiDPNew_1">#REF!</definedName>
    <definedName name="NrCiDPNew_17">#REF!</definedName>
    <definedName name="NrCiDPNew_2">#REF!</definedName>
    <definedName name="NrCiDPNew_6">#REF!</definedName>
    <definedName name="NrCiDPOld">#REF!</definedName>
    <definedName name="NrCiDPOld_1">#REF!</definedName>
    <definedName name="NrCiDPOld_17">#REF!</definedName>
    <definedName name="NrCiDPOld_2">#REF!</definedName>
    <definedName name="NrCiDPOld_6">#REF!</definedName>
    <definedName name="NrCilAdd">#REF!</definedName>
    <definedName name="NrCilAdd_1">#REF!</definedName>
    <definedName name="NrCilAdd_17">#REF!</definedName>
    <definedName name="NrCilAdd_2">#REF!</definedName>
    <definedName name="NrCilAdd_6">#REF!</definedName>
    <definedName name="nrCilNew">#REF!</definedName>
    <definedName name="nrCilNew_1">#REF!</definedName>
    <definedName name="nrCilNew_17">#REF!</definedName>
    <definedName name="nrCilNew_2">#REF!</definedName>
    <definedName name="nrCilNew_6">#REF!</definedName>
    <definedName name="NrCilOld">#REF!</definedName>
    <definedName name="NrCilOld_1">#REF!</definedName>
    <definedName name="NrCilOld_17">#REF!</definedName>
    <definedName name="NrCilOld_2">#REF!</definedName>
    <definedName name="NrCilOld_6">#REF!</definedName>
    <definedName name="NrCiuAdd">#REF!</definedName>
    <definedName name="NrCiuAdd_1">#REF!</definedName>
    <definedName name="NrCiuAdd_17">#REF!</definedName>
    <definedName name="NrCiuAdd_2">#REF!</definedName>
    <definedName name="NrCiuAdd_6">#REF!</definedName>
    <definedName name="nrCiuNew">#REF!</definedName>
    <definedName name="nrCiuNew_1">#REF!</definedName>
    <definedName name="nrCiuNew_17">#REF!</definedName>
    <definedName name="nrCiuNew_2">#REF!</definedName>
    <definedName name="nrCiuNew_6">#REF!</definedName>
    <definedName name="NrCiuOld">#REF!</definedName>
    <definedName name="NrCiuOld_1">#REF!</definedName>
    <definedName name="NrCiuOld_17">#REF!</definedName>
    <definedName name="NrCiuOld_2">#REF!</definedName>
    <definedName name="NrCiuOld_6">#REF!</definedName>
    <definedName name="NrCTAPIAdd">#REF!</definedName>
    <definedName name="NrCTAPIAdd_1">#REF!</definedName>
    <definedName name="NrCTAPIAdd_17">#REF!</definedName>
    <definedName name="NrCTAPIAdd_2">#REF!</definedName>
    <definedName name="NrCTAPIAdd_6">#REF!</definedName>
    <definedName name="NrCTAPINew">#REF!</definedName>
    <definedName name="NrCTAPINew_1">#REF!</definedName>
    <definedName name="NrCTAPINew_17">#REF!</definedName>
    <definedName name="NrCTAPINew_2">#REF!</definedName>
    <definedName name="NrCTAPINew_6">#REF!</definedName>
    <definedName name="NrCTAPIOld">#REF!</definedName>
    <definedName name="NrCTAPIOld_1">#REF!</definedName>
    <definedName name="NrCTAPIOld_17">#REF!</definedName>
    <definedName name="NrCTAPIOld_2">#REF!</definedName>
    <definedName name="NrCTAPIOld_6">#REF!</definedName>
    <definedName name="NrCulOld">#REF!</definedName>
    <definedName name="NrCulOld_1">#REF!</definedName>
    <definedName name="NrCulOld_17">#REF!</definedName>
    <definedName name="NrCulOld_2">#REF!</definedName>
    <definedName name="NrCulOld_6">#REF!</definedName>
    <definedName name="NrGbAdd">#REF!</definedName>
    <definedName name="NrGbAdd_1">#REF!</definedName>
    <definedName name="NrGbAdd_17">#REF!</definedName>
    <definedName name="NrGbAdd_2">#REF!</definedName>
    <definedName name="NrGbAdd_6">#REF!</definedName>
    <definedName name="nrGbNew">#REF!</definedName>
    <definedName name="nrGbNew_1">#REF!</definedName>
    <definedName name="nrGbNew_17">#REF!</definedName>
    <definedName name="nrGbNew_2">#REF!</definedName>
    <definedName name="nrGbNew_6">#REF!</definedName>
    <definedName name="NrGbOld">#REF!</definedName>
    <definedName name="NrGbOld_1">#REF!</definedName>
    <definedName name="NrGbOld_17">#REF!</definedName>
    <definedName name="NrGbOld_2">#REF!</definedName>
    <definedName name="NrGbOld_6">#REF!</definedName>
    <definedName name="NrIlvAdd">#REF!</definedName>
    <definedName name="NrIlvAdd_1">#REF!</definedName>
    <definedName name="NrIlvAdd_17">#REF!</definedName>
    <definedName name="NrIlvAdd_2">#REF!</definedName>
    <definedName name="NrIlvAdd_6">#REF!</definedName>
    <definedName name="nrIlvNew">#REF!</definedName>
    <definedName name="nrIlvNew_1">#REF!</definedName>
    <definedName name="nrIlvNew_17">#REF!</definedName>
    <definedName name="nrIlvNew_2">#REF!</definedName>
    <definedName name="nrIlvNew_6">#REF!</definedName>
    <definedName name="NrIlvOld">#REF!</definedName>
    <definedName name="NrIlvOld_1">#REF!</definedName>
    <definedName name="NrIlvOld_17">#REF!</definedName>
    <definedName name="NrIlvOld_2">#REF!</definedName>
    <definedName name="NrIlvOld_6">#REF!</definedName>
    <definedName name="NrLSDPAdd">#REF!</definedName>
    <definedName name="NrLSDPAdd_1">#REF!</definedName>
    <definedName name="NrLSDPAdd_17">#REF!</definedName>
    <definedName name="NrLSDPAdd_2">#REF!</definedName>
    <definedName name="NrLSDPAdd_6">#REF!</definedName>
    <definedName name="NrLSDPNew">#REF!</definedName>
    <definedName name="NrLSDPNew_1">#REF!</definedName>
    <definedName name="NrLSDPNew_17">#REF!</definedName>
    <definedName name="NrLSDPNew_2">#REF!</definedName>
    <definedName name="NrLSDPNew_6">#REF!</definedName>
    <definedName name="NrLSDPOld">#REF!</definedName>
    <definedName name="NrLSDPOld_1">#REF!</definedName>
    <definedName name="NrLSDPOld_17">#REF!</definedName>
    <definedName name="NrLSDPOld_2">#REF!</definedName>
    <definedName name="NrLSDPOld_6">#REF!</definedName>
    <definedName name="NrLslAdd">#REF!</definedName>
    <definedName name="NrLslAdd_1">#REF!</definedName>
    <definedName name="NrLslAdd_17">#REF!</definedName>
    <definedName name="NrLslAdd_2">#REF!</definedName>
    <definedName name="NrLslAdd_6">#REF!</definedName>
    <definedName name="nrLslNew">#REF!</definedName>
    <definedName name="nrLslNew_1">#REF!</definedName>
    <definedName name="nrLslNew_17">#REF!</definedName>
    <definedName name="nrLslNew_2">#REF!</definedName>
    <definedName name="nrLslNew_6">#REF!</definedName>
    <definedName name="NrLslOld">#REF!</definedName>
    <definedName name="NrLslOld_1">#REF!</definedName>
    <definedName name="NrLslOld_17">#REF!</definedName>
    <definedName name="NrLslOld_2">#REF!</definedName>
    <definedName name="NrLslOld_6">#REF!</definedName>
    <definedName name="NrLsuAdd">#REF!</definedName>
    <definedName name="NrLsuAdd_1">#REF!</definedName>
    <definedName name="NrLsuAdd_17">#REF!</definedName>
    <definedName name="NrLsuAdd_2">#REF!</definedName>
    <definedName name="NrLsuAdd_6">#REF!</definedName>
    <definedName name="nrLsuNew">#REF!</definedName>
    <definedName name="nrLsuNew_1">#REF!</definedName>
    <definedName name="nrLsuNew_17">#REF!</definedName>
    <definedName name="nrLsuNew_2">#REF!</definedName>
    <definedName name="nrLsuNew_6">#REF!</definedName>
    <definedName name="NrLsuOld">#REF!</definedName>
    <definedName name="NrLsuOld_1">#REF!</definedName>
    <definedName name="NrLsuOld_17">#REF!</definedName>
    <definedName name="NrLsuOld_2">#REF!</definedName>
    <definedName name="NrLsuOld_6">#REF!</definedName>
    <definedName name="NrLvAdd">#REF!</definedName>
    <definedName name="NrLvAdd_1">#REF!</definedName>
    <definedName name="NrLvAdd_17">#REF!</definedName>
    <definedName name="NrLvAdd_2">#REF!</definedName>
    <definedName name="NrLvAdd_6">#REF!</definedName>
    <definedName name="nrLvNew">#REF!</definedName>
    <definedName name="nrLvNew_1">#REF!</definedName>
    <definedName name="nrLvNew_17">#REF!</definedName>
    <definedName name="nrLvNew_2">#REF!</definedName>
    <definedName name="nrLvNew_6">#REF!</definedName>
    <definedName name="NrLvOld">#REF!</definedName>
    <definedName name="NrLvOld_1">#REF!</definedName>
    <definedName name="NrLvOld_17">#REF!</definedName>
    <definedName name="NrLvOld_2">#REF!</definedName>
    <definedName name="NrLvOld_6">#REF!</definedName>
    <definedName name="NrOPCAdd">#REF!</definedName>
    <definedName name="NrOPCAdd_1">#REF!</definedName>
    <definedName name="NrOPCAdd_17">#REF!</definedName>
    <definedName name="NrOPCAdd_2">#REF!</definedName>
    <definedName name="NrOPCAdd_6">#REF!</definedName>
    <definedName name="NrOPCNew">#REF!</definedName>
    <definedName name="NrOPCNew_1">#REF!</definedName>
    <definedName name="NrOPCNew_17">#REF!</definedName>
    <definedName name="NrOPCNew_2">#REF!</definedName>
    <definedName name="NrOPCNew_6">#REF!</definedName>
    <definedName name="NrOPCOld">#REF!</definedName>
    <definedName name="NrOPCOld_1">#REF!</definedName>
    <definedName name="NrOPCOld_17">#REF!</definedName>
    <definedName name="NrOPCOld_2">#REF!</definedName>
    <definedName name="NrOPCOld_6">#REF!</definedName>
    <definedName name="Nrows">#REF!</definedName>
    <definedName name="NrPaAdd">#REF!</definedName>
    <definedName name="NrPaAdd_1">#REF!</definedName>
    <definedName name="NrPaAdd_17">#REF!</definedName>
    <definedName name="NrPaAdd_2">#REF!</definedName>
    <definedName name="NrPaAdd_6">#REF!</definedName>
    <definedName name="nrPaNew">#REF!</definedName>
    <definedName name="nrPaNew_1">#REF!</definedName>
    <definedName name="nrPaNew_17">#REF!</definedName>
    <definedName name="nrPaNew_2">#REF!</definedName>
    <definedName name="nrPaNew_6">#REF!</definedName>
    <definedName name="NrPaOld">#REF!</definedName>
    <definedName name="NrPaOld_1">#REF!</definedName>
    <definedName name="NrPaOld_17">#REF!</definedName>
    <definedName name="NrPaOld_2">#REF!</definedName>
    <definedName name="NrPaOld_6">#REF!</definedName>
    <definedName name="NrPvAdd">#REF!</definedName>
    <definedName name="NrPvAdd_1">#REF!</definedName>
    <definedName name="NrPvAdd_17">#REF!</definedName>
    <definedName name="NrPvAdd_2">#REF!</definedName>
    <definedName name="NrPvAdd_6">#REF!</definedName>
    <definedName name="nrPvNew">#REF!</definedName>
    <definedName name="nrPvNew_1">#REF!</definedName>
    <definedName name="nrPvNew_17">#REF!</definedName>
    <definedName name="nrPvNew_2">#REF!</definedName>
    <definedName name="nrPvNew_6">#REF!</definedName>
    <definedName name="NrPvOld">#REF!</definedName>
    <definedName name="NrPvOld_1">#REF!</definedName>
    <definedName name="NrPvOld_17">#REF!</definedName>
    <definedName name="NrPvOld_2">#REF!</definedName>
    <definedName name="NrPvOld_6">#REF!</definedName>
    <definedName name="NrSfsAdd">#REF!</definedName>
    <definedName name="NrSfsAdd_1">#REF!</definedName>
    <definedName name="NrSfsAdd_17">#REF!</definedName>
    <definedName name="NrSfsAdd_2">#REF!</definedName>
    <definedName name="NrSfsAdd_6">#REF!</definedName>
    <definedName name="nrSfsNew">#REF!</definedName>
    <definedName name="nrSfsNew_1">#REF!</definedName>
    <definedName name="nrSfsNew_17">#REF!</definedName>
    <definedName name="nrSfsNew_2">#REF!</definedName>
    <definedName name="nrSfsNew_6">#REF!</definedName>
    <definedName name="NrSfsOld">#REF!</definedName>
    <definedName name="NrSfsOld_1">#REF!</definedName>
    <definedName name="NrSfsOld_17">#REF!</definedName>
    <definedName name="NrSfsOld_2">#REF!</definedName>
    <definedName name="NrSfsOld_6">#REF!</definedName>
    <definedName name="NrSQLAdd">#REF!</definedName>
    <definedName name="NrSQLAdd_1">#REF!</definedName>
    <definedName name="NrSQLAdd_17">#REF!</definedName>
    <definedName name="NrSQLAdd_2">#REF!</definedName>
    <definedName name="NrSQLAdd_6">#REF!</definedName>
    <definedName name="NrSQLNew">#REF!</definedName>
    <definedName name="NrSQLNew_1">#REF!</definedName>
    <definedName name="NrSQLNew_17">#REF!</definedName>
    <definedName name="NrSQLNew_2">#REF!</definedName>
    <definedName name="NrSQLNew_6">#REF!</definedName>
    <definedName name="NrSQLOld">#REF!</definedName>
    <definedName name="NrSQLOld_1">#REF!</definedName>
    <definedName name="NrSQLOld_17">#REF!</definedName>
    <definedName name="NrSQLOld_2">#REF!</definedName>
    <definedName name="NrSQLOld_6">#REF!</definedName>
    <definedName name="NrTvAdd">#REF!</definedName>
    <definedName name="NrTvAdd_1">#REF!</definedName>
    <definedName name="NrTvAdd_17">#REF!</definedName>
    <definedName name="NrTvAdd_2">#REF!</definedName>
    <definedName name="NrTvAdd_6">#REF!</definedName>
    <definedName name="nrTvNew">#REF!</definedName>
    <definedName name="nrTvNew_1">#REF!</definedName>
    <definedName name="nrTvNew_17">#REF!</definedName>
    <definedName name="nrTvNew_2">#REF!</definedName>
    <definedName name="nrTvNew_6">#REF!</definedName>
    <definedName name="NrTvOld">#REF!</definedName>
    <definedName name="NrTvOld_1">#REF!</definedName>
    <definedName name="NrTvOld_17">#REF!</definedName>
    <definedName name="NrTvOld_2">#REF!</definedName>
    <definedName name="NrTvOld_6">#REF!</definedName>
    <definedName name="NrWebAdd">#REF!</definedName>
    <definedName name="NrWebAdd_1">#REF!</definedName>
    <definedName name="NrWebAdd_17">#REF!</definedName>
    <definedName name="NrWebAdd_2">#REF!</definedName>
    <definedName name="NrWebAdd_6">#REF!</definedName>
    <definedName name="NrWebNew">#REF!</definedName>
    <definedName name="NrWebNew_1">#REF!</definedName>
    <definedName name="NrWebNew_17">#REF!</definedName>
    <definedName name="NrWebNew_2">#REF!</definedName>
    <definedName name="NrWebNew_6">#REF!</definedName>
    <definedName name="NrWebOld">#REF!</definedName>
    <definedName name="NrWebOld_1">#REF!</definedName>
    <definedName name="NrWebOld_17">#REF!</definedName>
    <definedName name="NrWebOld_2">#REF!</definedName>
    <definedName name="NrWebOld_6">#REF!</definedName>
    <definedName name="ns">#REF!</definedName>
    <definedName name="Nspans">#REF!</definedName>
    <definedName name="NSS">#REF!</definedName>
    <definedName name="NSSR1" localSheetId="3">#REF!</definedName>
    <definedName name="NSSR1">#REF!</definedName>
    <definedName name="NSSR10" localSheetId="3">#REF!</definedName>
    <definedName name="NSSR10">#REF!</definedName>
    <definedName name="NSSR100" localSheetId="3">#REF!</definedName>
    <definedName name="NSSR100">#REF!</definedName>
    <definedName name="NSSR101">#REF!</definedName>
    <definedName name="NSSR102">#REF!</definedName>
    <definedName name="NSSR103">#REF!</definedName>
    <definedName name="NSSR104">#REF!</definedName>
    <definedName name="NSSR105">#REF!</definedName>
    <definedName name="NSSR106">#REF!</definedName>
    <definedName name="NSSR107">#REF!</definedName>
    <definedName name="NSSR108">#REF!</definedName>
    <definedName name="NSSR109">#REF!</definedName>
    <definedName name="NSSR11">#REF!</definedName>
    <definedName name="NSSR110">#REF!</definedName>
    <definedName name="NSSR111">#REF!</definedName>
    <definedName name="NSSR112">#REF!</definedName>
    <definedName name="NSSR113">#REF!</definedName>
    <definedName name="NSSR114">#REF!</definedName>
    <definedName name="NSSR115">#REF!</definedName>
    <definedName name="NSSR116">#REF!</definedName>
    <definedName name="NSSR117">#REF!</definedName>
    <definedName name="NSSR118">#REF!</definedName>
    <definedName name="NSSR119">#REF!</definedName>
    <definedName name="NSSR12">#REF!</definedName>
    <definedName name="NSSR120">#REF!</definedName>
    <definedName name="NSSR121">#REF!</definedName>
    <definedName name="NSSR122">#REF!</definedName>
    <definedName name="NSSR123">#REF!</definedName>
    <definedName name="NSSR124">#REF!</definedName>
    <definedName name="NSSR125">#REF!</definedName>
    <definedName name="NSSR126">#REF!</definedName>
    <definedName name="NSSR127">#REF!</definedName>
    <definedName name="NSSR128">#REF!</definedName>
    <definedName name="NSSR129">#REF!</definedName>
    <definedName name="NSSR13">#REF!</definedName>
    <definedName name="NSSR130">#REF!</definedName>
    <definedName name="NSSR131">#REF!</definedName>
    <definedName name="NSSR132">#REF!</definedName>
    <definedName name="NSSR133">#REF!</definedName>
    <definedName name="NSSR134">#REF!</definedName>
    <definedName name="NSSR135">#REF!</definedName>
    <definedName name="NSSR136">#REF!</definedName>
    <definedName name="NSSR137">#REF!</definedName>
    <definedName name="NSSR138">#REF!</definedName>
    <definedName name="NSSR139">#REF!</definedName>
    <definedName name="NSSR14">#REF!</definedName>
    <definedName name="NSSR140">#REF!</definedName>
    <definedName name="NSSR141">#REF!</definedName>
    <definedName name="NSSR142">#REF!</definedName>
    <definedName name="NSSR143">#REF!</definedName>
    <definedName name="NSSR144">#REF!</definedName>
    <definedName name="NSSR145">#REF!</definedName>
    <definedName name="NSSR146">#REF!</definedName>
    <definedName name="NSSR147">#REF!</definedName>
    <definedName name="NSSR148">#REF!</definedName>
    <definedName name="NSSR149">#REF!</definedName>
    <definedName name="NSSR15">#REF!</definedName>
    <definedName name="NSSR150">#REF!</definedName>
    <definedName name="NSSR151">#REF!</definedName>
    <definedName name="NSSR152">#REF!</definedName>
    <definedName name="NSSR153">#REF!</definedName>
    <definedName name="NSSR154">#REF!</definedName>
    <definedName name="NSSR155">#REF!</definedName>
    <definedName name="NSSR156">#REF!</definedName>
    <definedName name="NSSR157">#REF!</definedName>
    <definedName name="NSSR158">#REF!</definedName>
    <definedName name="NSSR159">#REF!</definedName>
    <definedName name="NSSR16">#REF!</definedName>
    <definedName name="NSSR160">#REF!</definedName>
    <definedName name="NSSR161">#REF!</definedName>
    <definedName name="NSSR162">#REF!</definedName>
    <definedName name="NSSR163">#REF!</definedName>
    <definedName name="NSSR164">#REF!</definedName>
    <definedName name="NSSR165">#REF!</definedName>
    <definedName name="NSSR166">#REF!</definedName>
    <definedName name="NSSR167">#REF!</definedName>
    <definedName name="NSSR168">#REF!</definedName>
    <definedName name="NSSR169">#REF!</definedName>
    <definedName name="NSSR17">#REF!</definedName>
    <definedName name="NSSR170">#REF!</definedName>
    <definedName name="NSSR171">#REF!</definedName>
    <definedName name="NSSR172">#REF!</definedName>
    <definedName name="NSSR173">#REF!</definedName>
    <definedName name="NSSR174">#REF!</definedName>
    <definedName name="NSSR18">#REF!</definedName>
    <definedName name="NSSR19">#REF!</definedName>
    <definedName name="NSSR2">#REF!</definedName>
    <definedName name="NSSR20">#REF!</definedName>
    <definedName name="NSSR21">#REF!</definedName>
    <definedName name="NSSR22">#REF!</definedName>
    <definedName name="NSSR23">#REF!</definedName>
    <definedName name="NSSR24">#REF!</definedName>
    <definedName name="NSSR25">#REF!</definedName>
    <definedName name="NSSR26">#REF!</definedName>
    <definedName name="NSSR27">#REF!</definedName>
    <definedName name="NSSR28">#REF!</definedName>
    <definedName name="NSSR29">#REF!</definedName>
    <definedName name="NSSR3">#REF!</definedName>
    <definedName name="NSSR30">#REF!</definedName>
    <definedName name="NSSR31">#REF!</definedName>
    <definedName name="NSSR32">#REF!</definedName>
    <definedName name="NSSR33">#REF!</definedName>
    <definedName name="NSSR34">#REF!</definedName>
    <definedName name="NSSR35">#REF!</definedName>
    <definedName name="NSSR36">#REF!</definedName>
    <definedName name="NSSR37">#REF!</definedName>
    <definedName name="NSSR38">#REF!</definedName>
    <definedName name="NSSR39">#REF!</definedName>
    <definedName name="NSSR4">#REF!</definedName>
    <definedName name="NSSR40">#REF!</definedName>
    <definedName name="NSSR41">#REF!</definedName>
    <definedName name="NSSR42">#REF!</definedName>
    <definedName name="NSSR43">#REF!</definedName>
    <definedName name="NSSR44">#REF!</definedName>
    <definedName name="NSSR45">#REF!</definedName>
    <definedName name="NSSR46">#REF!</definedName>
    <definedName name="NSSR47">#REF!</definedName>
    <definedName name="NSSR48">#REF!</definedName>
    <definedName name="NSSR49">#REF!</definedName>
    <definedName name="NSSR5">#REF!</definedName>
    <definedName name="NSSR50">#REF!</definedName>
    <definedName name="NSSR51">#REF!</definedName>
    <definedName name="NSSR52">#REF!</definedName>
    <definedName name="NSSR53">#REF!</definedName>
    <definedName name="NSSR54">#REF!</definedName>
    <definedName name="NSSR55">#REF!</definedName>
    <definedName name="NSSR56">#REF!</definedName>
    <definedName name="NSSR57">#REF!</definedName>
    <definedName name="NSSR58">#REF!</definedName>
    <definedName name="NSSR59">#REF!</definedName>
    <definedName name="NSSR6">#REF!</definedName>
    <definedName name="NSSR60">#REF!</definedName>
    <definedName name="NSSR61">#REF!</definedName>
    <definedName name="NSSR62">#REF!</definedName>
    <definedName name="NSSR63">#REF!</definedName>
    <definedName name="NSSR64">#REF!</definedName>
    <definedName name="NSSR65">#REF!</definedName>
    <definedName name="NSSR66">#REF!</definedName>
    <definedName name="NSSR67">#REF!</definedName>
    <definedName name="NSSR68">#REF!</definedName>
    <definedName name="NSSR69">#REF!</definedName>
    <definedName name="NSSR7">#REF!</definedName>
    <definedName name="NSSR70">#REF!</definedName>
    <definedName name="NSSR71">#REF!</definedName>
    <definedName name="NSSR72">#REF!</definedName>
    <definedName name="NSSR73">#REF!</definedName>
    <definedName name="NSSR74">#REF!</definedName>
    <definedName name="NSSR75">#REF!</definedName>
    <definedName name="NSSR76">#REF!</definedName>
    <definedName name="NSSR77">#REF!</definedName>
    <definedName name="NSSR78">#REF!</definedName>
    <definedName name="NSSR79">#REF!</definedName>
    <definedName name="NSSR8">#REF!</definedName>
    <definedName name="NSSR80">#REF!</definedName>
    <definedName name="NSSR81">#REF!</definedName>
    <definedName name="NSSR82">#REF!</definedName>
    <definedName name="NSSR83">#REF!</definedName>
    <definedName name="NSSR84">#REF!</definedName>
    <definedName name="NSSR85">#REF!</definedName>
    <definedName name="NSSR86">#REF!</definedName>
    <definedName name="NSSR87">#REF!</definedName>
    <definedName name="NSSR88">#REF!</definedName>
    <definedName name="NSSR89">#REF!</definedName>
    <definedName name="NSSR9">#REF!</definedName>
    <definedName name="NSSR90">#REF!</definedName>
    <definedName name="NSSR91">#REF!</definedName>
    <definedName name="NSSR92">#REF!</definedName>
    <definedName name="NSSR93">#REF!</definedName>
    <definedName name="NSSR94">#REF!</definedName>
    <definedName name="NSSR95">#REF!</definedName>
    <definedName name="NSSR96">#REF!</definedName>
    <definedName name="NSSR97">#REF!</definedName>
    <definedName name="NSSR98">#REF!</definedName>
    <definedName name="NSSR99">#REF!</definedName>
    <definedName name="NUA">#REF!</definedName>
    <definedName name="num">#REF!</definedName>
    <definedName name="num_page">#REF!</definedName>
    <definedName name="Num_Pmt_Per_Year" localSheetId="3">#REF!</definedName>
    <definedName name="Num_Pmt_Per_Year">#REF!</definedName>
    <definedName name="num2text">#REF!</definedName>
    <definedName name="Number_of_lanes">#REF!</definedName>
    <definedName name="Number_of_Payments">#N/A</definedName>
    <definedName name="nuoc">#REF!</definedName>
    <definedName name="nvibrator">#REF!</definedName>
    <definedName name="Nvoid">#REF!</definedName>
    <definedName name="NW">#REF!</definedName>
    <definedName name="Nwebs" localSheetId="3">#REF!</definedName>
    <definedName name="Nwebs">#REF!</definedName>
    <definedName name="nx" localSheetId="3">#REF!</definedName>
    <definedName name="nx">#REF!</definedName>
    <definedName name="nxmtc" localSheetId="3">#REF!</definedName>
    <definedName name="nxmtc">#REF!</definedName>
    <definedName name="ny" localSheetId="3">#REF!</definedName>
    <definedName name="ny">#REF!</definedName>
    <definedName name="ny0" localSheetId="3">#REF!</definedName>
    <definedName name="ny0">#REF!</definedName>
    <definedName name="Nyrad1" localSheetId="3">#REF!</definedName>
    <definedName name="Nyrad1">#REF!</definedName>
    <definedName name="NyradB1">#REF!</definedName>
    <definedName name="NyradF1">#REF!</definedName>
    <definedName name="NyradO1">#REF!</definedName>
    <definedName name="O">#REF!</definedName>
    <definedName name="oa" hidden="1">#REF!</definedName>
    <definedName name="oAst1">#REF!</definedName>
    <definedName name="oAst2">#REF!</definedName>
    <definedName name="oAst3">#REF!</definedName>
    <definedName name="oAst4">#REF!</definedName>
    <definedName name="ocgl">#REF!</definedName>
    <definedName name="OD" localSheetId="3">#REF!</definedName>
    <definedName name="OD">#REF!</definedName>
    <definedName name="ODH" localSheetId="3" hidden="1">#REF!</definedName>
    <definedName name="ODH" hidden="1">#REF!</definedName>
    <definedName name="Oest" localSheetId="3">#REF!</definedName>
    <definedName name="Oest">#REF!</definedName>
    <definedName name="oexudl" localSheetId="3">#REF!</definedName>
    <definedName name="oexudl">#REF!</definedName>
    <definedName name="ofcablescost" localSheetId="3">#REF!</definedName>
    <definedName name="ofcablescost">#REF!</definedName>
    <definedName name="oh" localSheetId="3">#REF!</definedName>
    <definedName name="oh">#REF!</definedName>
    <definedName name="OHP">#REF!</definedName>
    <definedName name="OHP_4">#REF!</definedName>
    <definedName name="oililui" localSheetId="3" hidden="1">{#N/A,#N/A,FALSE,"CCTV"}</definedName>
    <definedName name="oililui" hidden="1">{#N/A,#N/A,FALSE,"CCTV"}</definedName>
    <definedName name="ok">#REF!</definedName>
    <definedName name="OM_Rate">#REF!</definedName>
    <definedName name="OM_Rate_C">#REF!</definedName>
    <definedName name="OM_Rate2">#REF!</definedName>
    <definedName name="OM_Rate3">#REF!</definedName>
    <definedName name="OM_Rate4">#REF!</definedName>
    <definedName name="OM_Rate5">#REF!</definedName>
    <definedName name="omaxm1">#REF!</definedName>
    <definedName name="omaxm2">#REF!</definedName>
    <definedName name="omaxm3">#REF!</definedName>
    <definedName name="omaxm4">#REF!</definedName>
    <definedName name="omer">#REF!</definedName>
    <definedName name="omer_10">#REF!</definedName>
    <definedName name="omer_11">#REF!</definedName>
    <definedName name="omer_16">#REF!</definedName>
    <definedName name="omer_8">#REF!</definedName>
    <definedName name="omf">#REF!</definedName>
    <definedName name="OMI">#REF!</definedName>
    <definedName name="OP">#REF!</definedName>
    <definedName name="Operation_start_date">#REF!</definedName>
    <definedName name="Operation_start_date_C">#REF!</definedName>
    <definedName name="Operation_start_date2">#REF!</definedName>
    <definedName name="Operation_start_date3">#REF!</definedName>
    <definedName name="Operation_start_date4">#REF!</definedName>
    <definedName name="Operation_start_date5">#REF!</definedName>
    <definedName name="ops">#REF!</definedName>
    <definedName name="Option">#REF!</definedName>
    <definedName name="optpatchcord">#REF!</definedName>
    <definedName name="ord_musd">#REF!</definedName>
    <definedName name="orderbacklog" localSheetId="3">#REF!</definedName>
    <definedName name="orderbacklog">#REF!</definedName>
    <definedName name="orderbooked98" localSheetId="3">#REF!</definedName>
    <definedName name="orderbooked98">#REF!</definedName>
    <definedName name="ORDERSTATUS" localSheetId="3">#REF!</definedName>
    <definedName name="ORDERSTATUS">#REF!</definedName>
    <definedName name="OrdinaryRodBinder" localSheetId="3">#REF!</definedName>
    <definedName name="OrdinaryRodBinder">#REF!</definedName>
    <definedName name="ordinaysoil3to6" localSheetId="3">#REF!</definedName>
    <definedName name="ordinaysoil3to6">#REF!</definedName>
    <definedName name="ORDREVCOLL" localSheetId="3">#REF!</definedName>
    <definedName name="ORDREVCOLL">#REF!</definedName>
    <definedName name="Organization" localSheetId="3">#REF!</definedName>
    <definedName name="Organization">#REF!</definedName>
    <definedName name="Orientation" localSheetId="3">#REF!</definedName>
    <definedName name="Orientation">#REF!</definedName>
    <definedName name="origin">#REF!</definedName>
    <definedName name="osc">#REF!</definedName>
    <definedName name="ospmaintenance">#REF!</definedName>
    <definedName name="OTHER_PRICING" localSheetId="3">#REF!</definedName>
    <definedName name="OTHER_PRICING">#REF!</definedName>
    <definedName name="otherfinancialcharge" localSheetId="3">#REF!</definedName>
    <definedName name="otherfinancialcharge">#REF!</definedName>
    <definedName name="otherinterconnectperldca" localSheetId="3">#REF!</definedName>
    <definedName name="otherinterconnectperldca">#REF!</definedName>
    <definedName name="othernwtfcy1">#REF!</definedName>
    <definedName name="othernwtfcy2">#REF!</definedName>
    <definedName name="othernwtfcy3">#REF!</definedName>
    <definedName name="othernwtfcy4">#REF!</definedName>
    <definedName name="othernwtfcy5onwards">#REF!</definedName>
    <definedName name="OTHERS" localSheetId="3">#REF!</definedName>
    <definedName name="OTHERS">#REF!</definedName>
    <definedName name="Óu75" localSheetId="3">#REF!</definedName>
    <definedName name="Óu75">#REF!</definedName>
    <definedName name="oudl" localSheetId="3">#REF!</definedName>
    <definedName name="oudl">#REF!</definedName>
    <definedName name="OUT" localSheetId="3">#REF!</definedName>
    <definedName name="OUT">#REF!</definedName>
    <definedName name="Out_of_Scope" localSheetId="3">#REF!</definedName>
    <definedName name="Out_of_Scope">#REF!</definedName>
    <definedName name="Outlets" localSheetId="3">#REF!</definedName>
    <definedName name="Outlets">#REF!</definedName>
    <definedName name="Output_Q">#REF!</definedName>
    <definedName name="OutputRange">#REF!</definedName>
    <definedName name="outsourcedmanpowerph1a">#REF!</definedName>
    <definedName name="outsourcedmanpowerph1b">#REF!</definedName>
    <definedName name="outsourcedmanpowerph2">#REF!</definedName>
    <definedName name="ovdep">#REF!</definedName>
    <definedName name="ovdpr" localSheetId="3">#REF!</definedName>
    <definedName name="ovdpr">#REF!</definedName>
    <definedName name="OVER" localSheetId="3">#REF!</definedName>
    <definedName name="OVER">#REF!</definedName>
    <definedName name="Overall_Mobi_Mth" localSheetId="3">#REF!</definedName>
    <definedName name="Overall_Mobi_Mth">#REF!</definedName>
    <definedName name="Overall_Mth">#REF!</definedName>
    <definedName name="ovpr">#REF!</definedName>
    <definedName name="P" localSheetId="3">#REF!</definedName>
    <definedName name="P">#REF!</definedName>
    <definedName name="P_1" localSheetId="3">#REF!</definedName>
    <definedName name="P_1">#REF!</definedName>
    <definedName name="P_10" localSheetId="3">#REF!</definedName>
    <definedName name="P_10">#REF!</definedName>
    <definedName name="P_11" localSheetId="3">#REF!</definedName>
    <definedName name="P_11">#REF!</definedName>
    <definedName name="P_16" localSheetId="3">#REF!</definedName>
    <definedName name="P_16">#REF!</definedName>
    <definedName name="P_2">#REF!</definedName>
    <definedName name="P_20">#REF!</definedName>
    <definedName name="P_25">#REF!</definedName>
    <definedName name="P_3">#REF!</definedName>
    <definedName name="P_32" localSheetId="3">#REF!</definedName>
    <definedName name="P_32">#REF!</definedName>
    <definedName name="P_4" localSheetId="3">#REF!</definedName>
    <definedName name="P_4">#REF!</definedName>
    <definedName name="P_40" localSheetId="3">#REF!</definedName>
    <definedName name="P_40">#REF!</definedName>
    <definedName name="P_5" localSheetId="3">#REF!</definedName>
    <definedName name="P_5">#REF!</definedName>
    <definedName name="P_50" localSheetId="3">#REF!</definedName>
    <definedName name="P_50">#REF!</definedName>
    <definedName name="P_6" localSheetId="3">#REF!</definedName>
    <definedName name="P_6">#REF!</definedName>
    <definedName name="P_6DSO" localSheetId="3">#REF!</definedName>
    <definedName name="P_6DSO">#REF!</definedName>
    <definedName name="P_7DPO" localSheetId="3">#REF!</definedName>
    <definedName name="P_7DPO">#REF!</definedName>
    <definedName name="P_8" localSheetId="3">#REF!</definedName>
    <definedName name="P_8">#REF!</definedName>
    <definedName name="P_E_rate">#REF!</definedName>
    <definedName name="P_E_rate_C">#REF!</definedName>
    <definedName name="P_E_rate2">#REF!</definedName>
    <definedName name="P_E_rate3">#REF!</definedName>
    <definedName name="P_E_rate4">#REF!</definedName>
    <definedName name="P_E_rate5">#REF!</definedName>
    <definedName name="P_Name" localSheetId="3">#REF!</definedName>
    <definedName name="P_Name">#REF!</definedName>
    <definedName name="P_score">#REF!</definedName>
    <definedName name="p_shape" localSheetId="3">#REF!</definedName>
    <definedName name="p_shape">#REF!</definedName>
    <definedName name="P0" localSheetId="3">#REF!</definedName>
    <definedName name="P0">#REF!</definedName>
    <definedName name="P1R" localSheetId="3">#REF!</definedName>
    <definedName name="P1R">#REF!</definedName>
    <definedName name="P2R" localSheetId="3">#REF!</definedName>
    <definedName name="P2R">#REF!</definedName>
    <definedName name="P3R" localSheetId="3">#REF!</definedName>
    <definedName name="P3R">#REF!</definedName>
    <definedName name="P4R" localSheetId="3">#REF!</definedName>
    <definedName name="P4R">#REF!</definedName>
    <definedName name="p4s" localSheetId="3">#REF!</definedName>
    <definedName name="p4s">#REF!</definedName>
    <definedName name="P5R" localSheetId="3">#REF!</definedName>
    <definedName name="P5R">#REF!</definedName>
    <definedName name="PA" localSheetId="3">#REF!</definedName>
    <definedName name="PA">#REF!</definedName>
    <definedName name="Page">#REF!</definedName>
    <definedName name="Page1" localSheetId="3">#REF!</definedName>
    <definedName name="Page1">#REF!</definedName>
    <definedName name="PAGE2" localSheetId="3">#REF!</definedName>
    <definedName name="PAGE2">#REF!</definedName>
    <definedName name="PAGE3" localSheetId="3">#REF!</definedName>
    <definedName name="PAGE3">#REF!</definedName>
    <definedName name="PAGE5">#REF!</definedName>
    <definedName name="paint">#REF!</definedName>
    <definedName name="PaintAGRU">#REF!</definedName>
    <definedName name="PaintAS">#REF!</definedName>
    <definedName name="PaintCOMM">#REF!</definedName>
    <definedName name="PaintCW">#REF!</definedName>
    <definedName name="painter">#REF!</definedName>
    <definedName name="painter1">#REF!</definedName>
    <definedName name="PaintERU" localSheetId="3">#REF!</definedName>
    <definedName name="PaintERU">#REF!</definedName>
    <definedName name="PaintGTG" localSheetId="3">#REF!</definedName>
    <definedName name="PaintGTG">#REF!</definedName>
    <definedName name="PaintHO" localSheetId="3">#REF!</definedName>
    <definedName name="PaintHO">#REF!</definedName>
    <definedName name="Painting">#REF!</definedName>
    <definedName name="PaintSG">#REF!</definedName>
    <definedName name="PaintTEG">#REF!</definedName>
    <definedName name="PAN_TILES">#REF!</definedName>
    <definedName name="parm">#REF!</definedName>
    <definedName name="part_no">#REF!</definedName>
    <definedName name="Passenger_shelter">#REF!</definedName>
    <definedName name="paver">#REF!</definedName>
    <definedName name="Pay_Date">#REF!</definedName>
    <definedName name="Pay_Num">#REF!</definedName>
    <definedName name="Payment_Date">#N/A</definedName>
    <definedName name="PaymentBreakdown" localSheetId="3" hidden="1">{#N/A,#N/A,FALSE,"CCTV"}</definedName>
    <definedName name="PaymentBreakdown" hidden="1">{#N/A,#N/A,FALSE,"CCTV"}</definedName>
    <definedName name="PBinstalcost">#REF!</definedName>
    <definedName name="Pbx">#REF!</definedName>
    <definedName name="Pby">#REF!</definedName>
    <definedName name="PC" localSheetId="3">#REF!</definedName>
    <definedName name="PC">#REF!</definedName>
    <definedName name="pcar" localSheetId="3">#REF!</definedName>
    <definedName name="pcar">#REF!</definedName>
    <definedName name="PCC" localSheetId="3">#REF!</definedName>
    <definedName name="PCC">#REF!</definedName>
    <definedName name="PCCDISM" localSheetId="3">#REF!</definedName>
    <definedName name="PCCDISM">#REF!</definedName>
    <definedName name="pccp" localSheetId="3">#REF!</definedName>
    <definedName name="pccp">#REF!</definedName>
    <definedName name="pccproj" localSheetId="3">#REF!</definedName>
    <definedName name="pccproj">#REF!</definedName>
    <definedName name="pcct" localSheetId="3">#REF!</definedName>
    <definedName name="pcct">#REF!</definedName>
    <definedName name="pccthk">#REF!</definedName>
    <definedName name="pclen">#REF!</definedName>
    <definedName name="pcofm">#REF!</definedName>
    <definedName name="pcofmab">#REF!</definedName>
    <definedName name="pcofn">#REF!</definedName>
    <definedName name="pcofnab">#REF!</definedName>
    <definedName name="pconv">#REF!</definedName>
    <definedName name="pconvcable">#REF!</definedName>
    <definedName name="PCT" localSheetId="3">#REF!</definedName>
    <definedName name="PCT">#REF!</definedName>
    <definedName name="pcthk" localSheetId="3">#REF!</definedName>
    <definedName name="pcthk">#REF!</definedName>
    <definedName name="pcwd" localSheetId="3">#REF!</definedName>
    <definedName name="pcwd">#REF!</definedName>
    <definedName name="Pd" localSheetId="3">#REF!</definedName>
    <definedName name="Pd">#REF!</definedName>
    <definedName name="pdh" localSheetId="3">#REF!</definedName>
    <definedName name="pdh">#REF!</definedName>
    <definedName name="pdm" localSheetId="3">#REF!</definedName>
    <definedName name="pdm">#REF!</definedName>
    <definedName name="pdmab" localSheetId="3">#REF!</definedName>
    <definedName name="pdmab">#REF!</definedName>
    <definedName name="pdvol">#REF!</definedName>
    <definedName name="PECTimer">#REF!</definedName>
    <definedName name="ped_no">#REF!</definedName>
    <definedName name="PEJM">#REF!</definedName>
    <definedName name="perbox">#REF!</definedName>
    <definedName name="percentagemarketcoveredph2">#REF!</definedName>
    <definedName name="percentagemktcoveredph1a">#REF!</definedName>
    <definedName name="percentagemktcoveredph1b">#REF!</definedName>
    <definedName name="percentcables">#REF!</definedName>
    <definedName name="percentcivil">#REF!</definedName>
    <definedName name="percentducts">#REF!</definedName>
    <definedName name="percentelectro">#REF!</definedName>
    <definedName name="percentland">#REF!</definedName>
    <definedName name="percentothers">#REF!</definedName>
    <definedName name="percentrow">#REF!</definedName>
    <definedName name="peri" localSheetId="3">#REF!</definedName>
    <definedName name="peri">#REF!</definedName>
    <definedName name="peri1" localSheetId="3">#REF!</definedName>
    <definedName name="peri1">#REF!</definedName>
    <definedName name="periimported" localSheetId="3">#REF!</definedName>
    <definedName name="periimported">#REF!</definedName>
    <definedName name="Period">#REF!</definedName>
    <definedName name="Period_Excav" localSheetId="3">#REF!</definedName>
    <definedName name="Period_Excav">#REF!</definedName>
    <definedName name="Period_Struc" localSheetId="3">#REF!</definedName>
    <definedName name="Period_Struc">#REF!</definedName>
    <definedName name="Pest" localSheetId="3">#REF!</definedName>
    <definedName name="Pest">#REF!</definedName>
    <definedName name="Petrol">#REF!</definedName>
    <definedName name="PF" localSheetId="3">#REF!</definedName>
    <definedName name="PF">#REF!</definedName>
    <definedName name="pfinisher" localSheetId="3">#REF!</definedName>
    <definedName name="pfinisher">#REF!</definedName>
    <definedName name="PG" localSheetId="3">#REF!</definedName>
    <definedName name="PG">#REF!</definedName>
    <definedName name="PG___0" localSheetId="3">#REF!</definedName>
    <definedName name="PG___0">#REF!</definedName>
    <definedName name="PG___0___0">"$#REF!.$#REF!$#REF!:$#REF!$#REF!"</definedName>
    <definedName name="PG___0___3">"$#REF!.$#REF!$#REF!:$#REF!$#REF!"</definedName>
    <definedName name="PG___0___4">"$#REF!.$#REF!$#REF!:$#REF!$#REF!"</definedName>
    <definedName name="PG___0_1">#REF!</definedName>
    <definedName name="PG___0_10">#REF!</definedName>
    <definedName name="PG___0_11">#REF!</definedName>
    <definedName name="PG___0_16">#REF!</definedName>
    <definedName name="PG___0_17">#REF!</definedName>
    <definedName name="PG___0_8">#REF!</definedName>
    <definedName name="PG___2">#REF!</definedName>
    <definedName name="PG___2___0">"$#REF!.$#REF!$#REF!:$#REF!$#REF!"</definedName>
    <definedName name="PG___2___3">"$#REF!.$#REF!$#REF!:$#REF!$#REF!"</definedName>
    <definedName name="PG___2_1">#REF!</definedName>
    <definedName name="PG___2_10">#REF!</definedName>
    <definedName name="PG___2_11">#REF!</definedName>
    <definedName name="PG___2_16">#REF!</definedName>
    <definedName name="PG___2_17">#REF!</definedName>
    <definedName name="PG___2_8">#REF!</definedName>
    <definedName name="PG___3">#REF!</definedName>
    <definedName name="PG___3___0">"$#REF!.$#REF!$#REF!:$#REF!$#REF!"</definedName>
    <definedName name="PG___3___3">"$#REF!.$#REF!$#REF!:$#REF!$#REF!"</definedName>
    <definedName name="PG___3___4">"$#REF!.$#REF!$#REF!:$#REF!$#REF!"</definedName>
    <definedName name="PG___3_1">#REF!</definedName>
    <definedName name="PG___3_10">#REF!</definedName>
    <definedName name="PG___3_11">#REF!</definedName>
    <definedName name="PG___3_16">#REF!</definedName>
    <definedName name="PG___3_17">#REF!</definedName>
    <definedName name="PG___3_8">#REF!</definedName>
    <definedName name="PG___4">#REF!</definedName>
    <definedName name="PG___4___0">"$#REF!.$#REF!$#REF!:$#REF!$#REF!"</definedName>
    <definedName name="PG___4___3">"$#REF!.$#REF!$#REF!:$#REF!$#REF!"</definedName>
    <definedName name="PG___4_1">#REF!</definedName>
    <definedName name="PG___4_10">#REF!</definedName>
    <definedName name="PG___4_11">#REF!</definedName>
    <definedName name="PG___4_16">#REF!</definedName>
    <definedName name="PG___4_17">#REF!</definedName>
    <definedName name="PG___4_8">#REF!</definedName>
    <definedName name="PG___7">"$#REF!.$#REF!$#REF!:$#REF!$#REF!"</definedName>
    <definedName name="PG_1">#REF!</definedName>
    <definedName name="PG_10">#REF!</definedName>
    <definedName name="PG_11">#REF!</definedName>
    <definedName name="PG_12">#REF!</definedName>
    <definedName name="PG_16">#REF!</definedName>
    <definedName name="PG_17">#REF!</definedName>
    <definedName name="PG_2">"$#REF!.$#REF!$#REF!:$#REF!$#REF!"</definedName>
    <definedName name="PG_3">#REF!</definedName>
    <definedName name="PG_4">#REF!</definedName>
    <definedName name="PG_5">#REF!</definedName>
    <definedName name="PG_6">#REF!</definedName>
    <definedName name="PG_7">#REF!</definedName>
    <definedName name="PG_8">#REF!</definedName>
    <definedName name="PG_9">#REF!</definedName>
    <definedName name="pge">#REF!</definedName>
    <definedName name="PGLabt">#REF!</definedName>
    <definedName name="ph">#REF!</definedName>
    <definedName name="PhaseCode">#REF!</definedName>
    <definedName name="phh" localSheetId="3">#REF!</definedName>
    <definedName name="phh">#REF!</definedName>
    <definedName name="PHI" localSheetId="3">#REF!</definedName>
    <definedName name="PHI">#REF!</definedName>
    <definedName name="Pi" localSheetId="3">#REF!</definedName>
    <definedName name="Pi">#REF!</definedName>
    <definedName name="pidp" localSheetId="3">#REF!</definedName>
    <definedName name="pidp">#REF!</definedName>
    <definedName name="piep" localSheetId="3">#REF!</definedName>
    <definedName name="piep">#REF!</definedName>
    <definedName name="pier2" localSheetId="3">#REF!</definedName>
    <definedName name="pier2">#REF!</definedName>
    <definedName name="pierpiles" localSheetId="3">#REF!</definedName>
    <definedName name="pierpiles">#REF!</definedName>
    <definedName name="piervol1">#REF!</definedName>
    <definedName name="piervol2">#REF!</definedName>
    <definedName name="pilaxl">#REF!</definedName>
    <definedName name="pild" localSheetId="3">#REF!</definedName>
    <definedName name="pild">#REF!</definedName>
    <definedName name="pile_no" localSheetId="3">#REF!</definedName>
    <definedName name="pile_no">#REF!</definedName>
    <definedName name="pileab" localSheetId="3">#REF!</definedName>
    <definedName name="pileab">#REF!</definedName>
    <definedName name="piledia1">#REF!</definedName>
    <definedName name="piledia2">#REF!</definedName>
    <definedName name="piledia3">#REF!</definedName>
    <definedName name="pilem">#REF!</definedName>
    <definedName name="Piletipele">#REF!</definedName>
    <definedName name="pilfck">#REF!</definedName>
    <definedName name="pill">#REF!</definedName>
    <definedName name="pillab">#REF!</definedName>
    <definedName name="piln">#REF!</definedName>
    <definedName name="pilnab">#REF!</definedName>
    <definedName name="pilnabmin">#REF!</definedName>
    <definedName name="pilst">#REF!</definedName>
    <definedName name="pilstab">#REF!</definedName>
    <definedName name="PIPE">#REF!</definedName>
    <definedName name="Pipe_1">#REF!</definedName>
    <definedName name="pipe_CPC">#REF!</definedName>
    <definedName name="pipe_CPC1">#REF!</definedName>
    <definedName name="Pipe_culvert">#REF!</definedName>
    <definedName name="PipeC">#REF!</definedName>
    <definedName name="PIPECHW">#REF!</definedName>
    <definedName name="pipedism">#REF!</definedName>
    <definedName name="Pipes" localSheetId="3">#REF!</definedName>
    <definedName name="Pipes">#REF!</definedName>
    <definedName name="Pipeworks" localSheetId="3">#REF!</definedName>
    <definedName name="Pipeworks">#REF!</definedName>
    <definedName name="Piping" localSheetId="3">#REF!</definedName>
    <definedName name="Piping">#REF!</definedName>
    <definedName name="Piping_Eqt_FC">#REF!</definedName>
    <definedName name="Piping_Eqt_LC">#REF!</definedName>
    <definedName name="Piping_McxMth">#REF!</definedName>
    <definedName name="pis">#REF!</definedName>
    <definedName name="pitching">#REF!</definedName>
    <definedName name="piu">#REF!</definedName>
    <definedName name="PK">#REF!</definedName>
    <definedName name="PKAAA" localSheetId="3" hidden="1">#REF!</definedName>
    <definedName name="PKAAA" hidden="1">#REF!</definedName>
    <definedName name="PKBB" localSheetId="3" hidden="1">#REF!</definedName>
    <definedName name="PKBB" hidden="1">#REF!</definedName>
    <definedName name="PKCC" localSheetId="3" hidden="1">#REF!</definedName>
    <definedName name="PKCC" hidden="1">#REF!</definedName>
    <definedName name="Pkg_col">#REF!</definedName>
    <definedName name="PKG_NO">#REF!</definedName>
    <definedName name="pl" localSheetId="3">#REF!</definedName>
    <definedName name="pl">#REF!</definedName>
    <definedName name="pl4a" localSheetId="3">#REF!</definedName>
    <definedName name="pl4a">#REF!</definedName>
    <definedName name="Plant_capacity">#REF!</definedName>
    <definedName name="Plant_capacity_C">#REF!</definedName>
    <definedName name="Plant_capacity2">#REF!</definedName>
    <definedName name="Plant_capacity3">#REF!</definedName>
    <definedName name="Plant_capacity4">#REF!</definedName>
    <definedName name="Plant_capacity5">#REF!</definedName>
    <definedName name="plast">#REF!</definedName>
    <definedName name="PLASTER" localSheetId="3">#REF!</definedName>
    <definedName name="PLASTER">#REF!</definedName>
    <definedName name="platecompactor" localSheetId="3">#REF!</definedName>
    <definedName name="platecompactor">#REF!</definedName>
    <definedName name="plcaar" localSheetId="3">#REF!</definedName>
    <definedName name="plcaar">#REF!</definedName>
    <definedName name="plcablvl">#REF!</definedName>
    <definedName name="plcasl" localSheetId="3">#REF!</definedName>
    <definedName name="plcasl">#REF!</definedName>
    <definedName name="plcast" localSheetId="3">#REF!</definedName>
    <definedName name="plcast">#REF!</definedName>
    <definedName name="plcaswt" localSheetId="3">#REF!</definedName>
    <definedName name="plcaswt">#REF!</definedName>
    <definedName name="plcath">#REF!</definedName>
    <definedName name="plcathe" localSheetId="3">#REF!</definedName>
    <definedName name="plcathe">#REF!</definedName>
    <definedName name="plcathl" localSheetId="3">#REF!</definedName>
    <definedName name="plcathl">#REF!</definedName>
    <definedName name="plcathlb" localSheetId="3">#REF!</definedName>
    <definedName name="plcathlb">#REF!</definedName>
    <definedName name="plcathlt">#REF!</definedName>
    <definedName name="plcathm">#REF!</definedName>
    <definedName name="plcatht">#REF!</definedName>
    <definedName name="plcathtb">#REF!</definedName>
    <definedName name="plcathtt">#REF!</definedName>
    <definedName name="plcatl">#REF!</definedName>
    <definedName name="plcatlvl">#REF!</definedName>
    <definedName name="plcawdl">#REF!</definedName>
    <definedName name="plcawdt">#REF!</definedName>
    <definedName name="plcawt" localSheetId="3">#REF!</definedName>
    <definedName name="plcawt">#REF!</definedName>
    <definedName name="plcb" localSheetId="3">#REF!</definedName>
    <definedName name="plcb">#REF!</definedName>
    <definedName name="plcbab" localSheetId="3">#REF!</definedName>
    <definedName name="plcbab">#REF!</definedName>
    <definedName name="plcf">#REF!</definedName>
    <definedName name="plcfa">#REF!</definedName>
    <definedName name="plcl">#REF!</definedName>
    <definedName name="plclab">#REF!</definedName>
    <definedName name="plct">#REF!</definedName>
    <definedName name="plcta">#REF!</definedName>
    <definedName name="plcwt">#REF!</definedName>
    <definedName name="plcwta">#REF!</definedName>
    <definedName name="pldp">#REF!</definedName>
    <definedName name="pldpa">#REF!</definedName>
    <definedName name="plfl">#REF!</definedName>
    <definedName name="plfla">#REF!</definedName>
    <definedName name="pll">#REF!</definedName>
    <definedName name="plla">#REF!</definedName>
    <definedName name="PLMSUM">#REF!</definedName>
    <definedName name="Plot">#REF!</definedName>
    <definedName name="PlotNumber">#REF!</definedName>
    <definedName name="plst">#REF!</definedName>
    <definedName name="plu">#REF!</definedName>
    <definedName name="PLUG">#REF!</definedName>
    <definedName name="plumber">#REF!</definedName>
    <definedName name="PM">#REF!</definedName>
    <definedName name="PM_Comm" localSheetId="3">#REF!</definedName>
    <definedName name="PM_Comm">#REF!</definedName>
    <definedName name="PM_Misc" localSheetId="3">#REF!</definedName>
    <definedName name="PM_Misc">#REF!</definedName>
    <definedName name="PM_Ratio" localSheetId="3">#REF!</definedName>
    <definedName name="PM_Ratio">#REF!</definedName>
    <definedName name="PM_Tech">#REF!</definedName>
    <definedName name="PMLead">#REF!</definedName>
    <definedName name="pmomi">#REF!</definedName>
    <definedName name="pmomia">#REF!</definedName>
    <definedName name="PN">#REF!</definedName>
    <definedName name="Pnm">#REF!</definedName>
    <definedName name="Pno">#REF!</definedName>
    <definedName name="POIDS">#REF!</definedName>
    <definedName name="point1">#REF!</definedName>
    <definedName name="Poisson">#REF!</definedName>
    <definedName name="POP" localSheetId="3">#REF!</definedName>
    <definedName name="POP">#REF!</definedName>
    <definedName name="POP0" localSheetId="3">#REF!</definedName>
    <definedName name="POP0">#REF!</definedName>
    <definedName name="populationgrowthrate" localSheetId="3">#REF!</definedName>
    <definedName name="populationgrowthrate">#REF!</definedName>
    <definedName name="postt" localSheetId="3">#REF!</definedName>
    <definedName name="postt">#REF!</definedName>
    <definedName name="pots30if" localSheetId="3">#REF!</definedName>
    <definedName name="pots30if">#REF!</definedName>
    <definedName name="potscable" localSheetId="3">#REF!</definedName>
    <definedName name="potscable">#REF!</definedName>
    <definedName name="potsif" localSheetId="3">#REF!</definedName>
    <definedName name="potsif">#REF!</definedName>
    <definedName name="pound" localSheetId="3">#REF!</definedName>
    <definedName name="pound">#REF!</definedName>
    <definedName name="Power_consumption">#REF!</definedName>
    <definedName name="Power_consumption_C">#REF!</definedName>
    <definedName name="Power_consumption2">#REF!</definedName>
    <definedName name="Power_consumption3">#REF!</definedName>
    <definedName name="Power_consumption4">#REF!</definedName>
    <definedName name="Power_consumption5">#REF!</definedName>
    <definedName name="Power_cost">#REF!</definedName>
    <definedName name="pp" localSheetId="3">#REF!</definedName>
    <definedName name="pp">#REF!</definedName>
    <definedName name="ppn" localSheetId="3">#REF!</definedName>
    <definedName name="ppn">#REF!</definedName>
    <definedName name="ppna" localSheetId="3">#REF!</definedName>
    <definedName name="ppna">#REF!</definedName>
    <definedName name="ppoi">#REF!</definedName>
    <definedName name="PPP" localSheetId="3" hidden="1">{#N/A,#N/A,FALSE,"CCTV"}</definedName>
    <definedName name="PPP" hidden="1">{#N/A,#N/A,FALSE,"CCTV"}</definedName>
    <definedName name="pprt">#REF!</definedName>
    <definedName name="pprtab">#REF!</definedName>
    <definedName name="pra">#REF!</definedName>
    <definedName name="prar">#REF!</definedName>
    <definedName name="pras">#REF!</definedName>
    <definedName name="pratap" localSheetId="3" hidden="1">{"'Sheet1'!$A$4386:$N$4591"}</definedName>
    <definedName name="pratap" hidden="1">{"'Sheet1'!$A$4386:$N$4591"}</definedName>
    <definedName name="prbsm">#REF!</definedName>
    <definedName name="prbsme">#REF!</definedName>
    <definedName name="prbsms">#REF!</definedName>
    <definedName name="prbsn">#REF!</definedName>
    <definedName name="prbtm">#REF!</definedName>
    <definedName name="prcablvl">#REF!</definedName>
    <definedName name="prcacl">#REF!</definedName>
    <definedName name="prcasl">#REF!</definedName>
    <definedName name="prcathe">#REF!</definedName>
    <definedName name="prcathm">#REF!</definedName>
    <definedName name="prcatl" localSheetId="3">#REF!</definedName>
    <definedName name="prcatl">#REF!</definedName>
    <definedName name="prcatlvl" localSheetId="3">#REF!</definedName>
    <definedName name="prcatlvl">#REF!</definedName>
    <definedName name="prcawi">#REF!</definedName>
    <definedName name="prcawie" localSheetId="3">#REF!</definedName>
    <definedName name="prcawie">#REF!</definedName>
    <definedName name="prcawim" localSheetId="3">#REF!</definedName>
    <definedName name="prcawim">#REF!</definedName>
    <definedName name="prdia">#REF!</definedName>
    <definedName name="precc" localSheetId="3">#REF!</definedName>
    <definedName name="precc">#REF!</definedName>
    <definedName name="preccs" localSheetId="3">#REF!</definedName>
    <definedName name="preccs">#REF!</definedName>
    <definedName name="PreisAdd" localSheetId="3">#REF!</definedName>
    <definedName name="PreisAdd">#REF!</definedName>
    <definedName name="PreisAdd_1">#REF!</definedName>
    <definedName name="PreisAdd_17">#REF!</definedName>
    <definedName name="PreisAdd_2">#REF!</definedName>
    <definedName name="PreisAdd_6">#REF!</definedName>
    <definedName name="PreisEinzel">#REF!</definedName>
    <definedName name="PreisEinzel_1">#REF!</definedName>
    <definedName name="PreisEinzel_17">#REF!</definedName>
    <definedName name="PreisEinzel_2">#REF!</definedName>
    <definedName name="PreisEinzel_6">#REF!</definedName>
    <definedName name="PreisNew">#REF!</definedName>
    <definedName name="PreisNew_1">#REF!</definedName>
    <definedName name="PreisNew_17">#REF!</definedName>
    <definedName name="PreisNew_2">#REF!</definedName>
    <definedName name="PreisNew_6">#REF!</definedName>
    <definedName name="PreisOld">#REF!</definedName>
    <definedName name="PreisOld_1">#REF!</definedName>
    <definedName name="PreisOld_17">#REF!</definedName>
    <definedName name="PreisOld_2">#REF!</definedName>
    <definedName name="PreisOld_6">#REF!</definedName>
    <definedName name="Preliminary">#REF!</definedName>
    <definedName name="Premould20">#REF!</definedName>
    <definedName name="premoulded">#REF!</definedName>
    <definedName name="Preparation">#REF!</definedName>
    <definedName name="pres">#REF!</definedName>
    <definedName name="pressure">#REF!</definedName>
    <definedName name="PrevYears">#REF!</definedName>
    <definedName name="prface" localSheetId="3">#REF!</definedName>
    <definedName name="prface">#REF!</definedName>
    <definedName name="prfrht" localSheetId="3">#REF!</definedName>
    <definedName name="prfrht">#REF!</definedName>
    <definedName name="prht" localSheetId="3">#REF!</definedName>
    <definedName name="prht">#REF!</definedName>
    <definedName name="Price">#REF!</definedName>
    <definedName name="Price_Acoust._Ceil">#REF!</definedName>
    <definedName name="Price_Block">#REF!</definedName>
    <definedName name="Price_Brick">#REF!</definedName>
    <definedName name="Price_Conc_4000">#REF!</definedName>
    <definedName name="Price_Conc_5000">#REF!</definedName>
    <definedName name="Price_Conc_6000">#REF!</definedName>
    <definedName name="price_fall_factor">#REF!</definedName>
    <definedName name="price_fall_factor_C">#REF!</definedName>
    <definedName name="price_fall_factor2">#REF!</definedName>
    <definedName name="price_fall_factor3">#REF!</definedName>
    <definedName name="price_fall_factor4">#REF!</definedName>
    <definedName name="price_fall_factor5">#REF!</definedName>
    <definedName name="Price_Form_Beam">#REF!</definedName>
    <definedName name="Price_Form_Colmn">#REF!</definedName>
    <definedName name="Price_Form_Core">#REF!</definedName>
    <definedName name="Price_Form_Slab">#REF!</definedName>
    <definedName name="Price_Form_Wall">#REF!</definedName>
    <definedName name="Price_Gyp._Ceil">#REF!</definedName>
    <definedName name="Price_Gyp.W_Both">#REF!</definedName>
    <definedName name="Price_Gyp.W_One">#REF!</definedName>
    <definedName name="Price_Paint_Emulsn">#REF!</definedName>
    <definedName name="Price_Plaster_Ceil">#REF!</definedName>
    <definedName name="Price_Plaster_Ext">#REF!</definedName>
    <definedName name="Price_Plaster_Floor">#REF!</definedName>
    <definedName name="Price_Plaster_Wall">#REF!</definedName>
    <definedName name="Price_Rebar_High">#REF!</definedName>
    <definedName name="Price_Rebar_Mild">#REF!</definedName>
    <definedName name="Price_Stl.Door_D">#REF!</definedName>
    <definedName name="Price_Stl.Door_S">#REF!</definedName>
    <definedName name="Price_Stone_Floor">#REF!</definedName>
    <definedName name="Price_Stone_Wall">#REF!</definedName>
    <definedName name="Price_Wd.Door_D">#REF!</definedName>
    <definedName name="Price_Wd.Door_S">#REF!</definedName>
    <definedName name="PriceAdd">#REF!</definedName>
    <definedName name="PriceAdd_1">#REF!</definedName>
    <definedName name="PriceAdd_17">#REF!</definedName>
    <definedName name="PriceAdd_2">#REF!</definedName>
    <definedName name="PriceAdd_6">#REF!</definedName>
    <definedName name="PriceLocalSale">#REF!</definedName>
    <definedName name="PriceLocalSale_1">#REF!</definedName>
    <definedName name="PriceLocalSale_17">#REF!</definedName>
    <definedName name="PriceLocalSale_2">#REF!</definedName>
    <definedName name="PriceLocalSale_6">#REF!</definedName>
    <definedName name="PriceNew">#REF!</definedName>
    <definedName name="PriceNew_1">#REF!</definedName>
    <definedName name="PriceNew_17">#REF!</definedName>
    <definedName name="PriceNew_2">#REF!</definedName>
    <definedName name="PriceNew_6">#REF!</definedName>
    <definedName name="PriceOld">#REF!</definedName>
    <definedName name="PriceOld_1">#REF!</definedName>
    <definedName name="PriceOld_17">#REF!</definedName>
    <definedName name="PriceOld_2">#REF!</definedName>
    <definedName name="PriceOld_6">#REF!</definedName>
    <definedName name="PriceTotAdd">#REF!</definedName>
    <definedName name="PriceTotAdd_1">#REF!</definedName>
    <definedName name="PriceTotAdd_17">#REF!</definedName>
    <definedName name="PriceTotAdd_2">#REF!</definedName>
    <definedName name="PriceTotAdd_6">#REF!</definedName>
    <definedName name="PriceTotNew">#REF!</definedName>
    <definedName name="PriceTotNew_1">#REF!</definedName>
    <definedName name="PriceTotNew_17">#REF!</definedName>
    <definedName name="PriceTotNew_2">#REF!</definedName>
    <definedName name="PriceTotNew_6">#REF!</definedName>
    <definedName name="PriceTotOld">#REF!</definedName>
    <definedName name="PriceTotOld_1">#REF!</definedName>
    <definedName name="PriceTotOld_17">#REF!</definedName>
    <definedName name="PriceTotOld_2">#REF!</definedName>
    <definedName name="PriceTotOld_6">#REF!</definedName>
    <definedName name="Princ">#REF!</definedName>
    <definedName name="Print">#REF!</definedName>
    <definedName name="PRINT_1">#REF!</definedName>
    <definedName name="PRINT_17">#REF!</definedName>
    <definedName name="PRINT_3">#REF!</definedName>
    <definedName name="_xlnm.Print_Area" localSheetId="3">#REF!</definedName>
    <definedName name="_xlnm.Print_Area">#REF!</definedName>
    <definedName name="PRINT_AREA_MI">#REF!</definedName>
    <definedName name="Print_Area_Reset">#N/A</definedName>
    <definedName name="Print_Area1">#REF!</definedName>
    <definedName name="Print_Checklist">#REF!</definedName>
    <definedName name="Print_Cover">#REF!</definedName>
    <definedName name="Print_Data">#REF!</definedName>
    <definedName name="Print_ITR" localSheetId="3">#REF!</definedName>
    <definedName name="Print_ITR">#REF!</definedName>
    <definedName name="Print_Prelim_analysis" localSheetId="3">#REF!</definedName>
    <definedName name="Print_Prelim_analysis">#REF!</definedName>
    <definedName name="Print_Prelims" localSheetId="3">#REF!</definedName>
    <definedName name="Print_Prelims">#REF!</definedName>
    <definedName name="Print_Range">#REF!</definedName>
    <definedName name="Print_S1">#REF!</definedName>
    <definedName name="Print_Settlement">#REF!</definedName>
    <definedName name="Print_Setup_Quants_Generator">#N/A</definedName>
    <definedName name="PRINT_TITILES">#REF!</definedName>
    <definedName name="PRINT_TITLE">#REF!</definedName>
    <definedName name="_xlnm.Print_Titles" localSheetId="3">#REF!</definedName>
    <definedName name="_xlnm.Print_Titles">#REF!</definedName>
    <definedName name="PRINT_TITLES_MI">#REF!</definedName>
    <definedName name="Print_Titles_MI_1">#REF!</definedName>
    <definedName name="Print_Titles_MI_2">#REF!</definedName>
    <definedName name="Print_Titles_MI_6">#REF!</definedName>
    <definedName name="Print_TRA">#REF!</definedName>
    <definedName name="Print_V1">#REF!</definedName>
    <definedName name="Print_V2">#N/A</definedName>
    <definedName name="PRINTA">#REF!</definedName>
    <definedName name="PRJ_CODE">#REF!</definedName>
    <definedName name="PRJ_NAME">#REF!</definedName>
    <definedName name="prjName">#REF!</definedName>
    <definedName name="prjNo">#REF!</definedName>
    <definedName name="prlatl">#REF!</definedName>
    <definedName name="prlgthl">#REF!</definedName>
    <definedName name="prlgtht">#REF!</definedName>
    <definedName name="prmf1">#REF!</definedName>
    <definedName name="prmf2">#REF!</definedName>
    <definedName name="prmfc">#REF!</definedName>
    <definedName name="prmi1">#REF!</definedName>
    <definedName name="prmi2">#REF!</definedName>
    <definedName name="prmic">#REF!</definedName>
    <definedName name="prn_aggqntty">#REF!</definedName>
    <definedName name="PRN_MAJ_QUANTITY">#REF!</definedName>
    <definedName name="PRNO">#REF!</definedName>
    <definedName name="pro">#REF!</definedName>
    <definedName name="Processing_costs">#REF!</definedName>
    <definedName name="Production_No.">#REF!</definedName>
    <definedName name="Production_No._C">#REF!</definedName>
    <definedName name="Production_No.2">#REF!</definedName>
    <definedName name="Production_No.3">#REF!</definedName>
    <definedName name="Production_No.4">#REF!</definedName>
    <definedName name="Production_No.5">#REF!</definedName>
    <definedName name="production_worker_rate">#REF!</definedName>
    <definedName name="production_worker_rate_C">#REF!</definedName>
    <definedName name="production_worker_rate2">#REF!</definedName>
    <definedName name="production_worker_rate3">#REF!</definedName>
    <definedName name="production_worker_rate4">#REF!</definedName>
    <definedName name="production_worker_rate5">#REF!</definedName>
    <definedName name="production_yr">#REF!</definedName>
    <definedName name="production_yr_C">#REF!</definedName>
    <definedName name="production_yr2">#REF!</definedName>
    <definedName name="production_yr3">#REF!</definedName>
    <definedName name="production_yr4">#REF!</definedName>
    <definedName name="production_yr5">#REF!</definedName>
    <definedName name="ProfileOfTaggedInstruments___ByConstrMgr_Complex_Category" localSheetId="3">#REF!</definedName>
    <definedName name="ProfileOfTaggedInstruments___ByConstrMgr_Complex_Category">#REF!</definedName>
    <definedName name="PROJ">#REF!</definedName>
    <definedName name="Project" localSheetId="3">#REF!</definedName>
    <definedName name="Project">#REF!</definedName>
    <definedName name="PROJECT_Description" localSheetId="3">#REF!</definedName>
    <definedName name="PROJECT_Description">#REF!</definedName>
    <definedName name="PROJECT_Description_16" localSheetId="3">#REF!</definedName>
    <definedName name="PROJECT_Description_16">#REF!</definedName>
    <definedName name="PROJECT_Description1">#REF!</definedName>
    <definedName name="PROJECT_Description1_16">#REF!</definedName>
    <definedName name="PROJECT_Description2">#REF!</definedName>
    <definedName name="PROJECT_Description2_16">#REF!</definedName>
    <definedName name="Project_length">#REF!</definedName>
    <definedName name="ProjectLocation">#REF!</definedName>
    <definedName name="ProjectNumber">#REF!</definedName>
    <definedName name="Projects" localSheetId="3">#REF!</definedName>
    <definedName name="Projects">#REF!</definedName>
    <definedName name="ProjectSubtitle">#REF!</definedName>
    <definedName name="ProjectTitle">#REF!</definedName>
    <definedName name="Proname" localSheetId="3">#REF!</definedName>
    <definedName name="Proname">#REF!</definedName>
    <definedName name="proom" localSheetId="3">#REF!</definedName>
    <definedName name="proom">#REF!</definedName>
    <definedName name="Protections_AUTRE1_fin" localSheetId="3">#REF!</definedName>
    <definedName name="Protections_AUTRE1_fin">#REF!</definedName>
    <definedName name="Protections_AUTRE2_fin">#REF!</definedName>
    <definedName name="Protections_EQUIPE_fin">#REF!</definedName>
    <definedName name="Protections_LATTES_fin">#REF!</definedName>
    <definedName name="Protections_RESERV_fin">#REF!</definedName>
    <definedName name="Protections_TOLERI_fin">#REF!</definedName>
    <definedName name="prprcnt">#REF!</definedName>
    <definedName name="prtab">#REF!</definedName>
    <definedName name="prthk">#REF!</definedName>
    <definedName name="prtp">#REF!</definedName>
    <definedName name="prwt">#REF!</definedName>
    <definedName name="prwtb">#REF!</definedName>
    <definedName name="prwts">#REF!</definedName>
    <definedName name="PS">#REF!</definedName>
    <definedName name="psbmth">#REF!</definedName>
    <definedName name="pspl">#REF!</definedName>
    <definedName name="pspla">#REF!</definedName>
    <definedName name="pspt">#REF!</definedName>
    <definedName name="pspta">#REF!</definedName>
    <definedName name="psv">#REF!</definedName>
    <definedName name="pt">#REF!</definedName>
    <definedName name="PTA_Bulk">#REF!</definedName>
    <definedName name="PTA_ISBL">#REF!</definedName>
    <definedName name="PTNC">#REF!</definedName>
    <definedName name="Ptroller" localSheetId="3">#REF!</definedName>
    <definedName name="Ptroller">#REF!</definedName>
    <definedName name="pts" localSheetId="3">#REF!</definedName>
    <definedName name="pts">#REF!</definedName>
    <definedName name="Pugmill" localSheetId="3">#REF!</definedName>
    <definedName name="Pugmill">#REF!</definedName>
    <definedName name="pullingcost" localSheetId="3">#REF!</definedName>
    <definedName name="pullingcost">#REF!</definedName>
    <definedName name="Pump" localSheetId="3">#REF!</definedName>
    <definedName name="Pump">#REF!</definedName>
    <definedName name="Puz" localSheetId="3">#REF!</definedName>
    <definedName name="Puz">#REF!</definedName>
    <definedName name="PVClist">#REF!</definedName>
    <definedName name="pvcpipe100" localSheetId="3">#REF!</definedName>
    <definedName name="pvcpipe100">#REF!</definedName>
    <definedName name="pvcpipe150" localSheetId="3">#REF!</definedName>
    <definedName name="pvcpipe150">#REF!</definedName>
    <definedName name="pvcpipe50" localSheetId="3">#REF!</definedName>
    <definedName name="pvcpipe50">#REF!</definedName>
    <definedName name="PW" localSheetId="3">#REF!</definedName>
    <definedName name="PW">#REF!</definedName>
    <definedName name="pwid" localSheetId="3">#REF!</definedName>
    <definedName name="pwid">#REF!</definedName>
    <definedName name="Pwl" localSheetId="3">#REF!</definedName>
    <definedName name="Pwl">#REF!</definedName>
    <definedName name="PWr" localSheetId="3">#REF!</definedName>
    <definedName name="PWr">#REF!</definedName>
    <definedName name="pyranometer" localSheetId="3">#REF!</definedName>
    <definedName name="pyranometer">#REF!</definedName>
    <definedName name="q" localSheetId="3">#REF!</definedName>
    <definedName name="q">#REF!</definedName>
    <definedName name="Q_1" localSheetId="3">#REF!</definedName>
    <definedName name="Q_1">#REF!</definedName>
    <definedName name="Q_10" localSheetId="3">#REF!</definedName>
    <definedName name="Q_10">#REF!</definedName>
    <definedName name="Q_11" localSheetId="3">#REF!</definedName>
    <definedName name="Q_11">#REF!</definedName>
    <definedName name="Q_16">#REF!</definedName>
    <definedName name="Q_2">#REF!</definedName>
    <definedName name="Q_6">#REF!</definedName>
    <definedName name="Q_8">#REF!</definedName>
    <definedName name="q1u">#REF!</definedName>
    <definedName name="Q2777x2c">#REF!</definedName>
    <definedName name="qa">#REF!</definedName>
    <definedName name="qap" localSheetId="3" hidden="1">{"'Typical Costs Estimates'!$C$158:$H$161"}</definedName>
    <definedName name="qap" hidden="1">{"'Typical Costs Estimates'!$C$158:$H$161"}</definedName>
    <definedName name="QAR">#REF!</definedName>
    <definedName name="Qc" localSheetId="3">#REF!</definedName>
    <definedName name="Qc">#REF!</definedName>
    <definedName name="Qf" localSheetId="3">#REF!</definedName>
    <definedName name="Qf">#REF!</definedName>
    <definedName name="Qi">#REF!</definedName>
    <definedName name="qJAY34476">#REF!</definedName>
    <definedName name="Ql">#REF!</definedName>
    <definedName name="qnet">#REF!</definedName>
    <definedName name="qnetl">#REF!</definedName>
    <definedName name="qnetlat">#REF!</definedName>
    <definedName name="qnetseis">#REF!</definedName>
    <definedName name="qnetsi">#REF!</definedName>
    <definedName name="qnetsil">#REF!</definedName>
    <definedName name="qnetsiv">#REF!</definedName>
    <definedName name="qnetv">#REF!</definedName>
    <definedName name="Qpu">#REF!</definedName>
    <definedName name="qq">#REF!</definedName>
    <definedName name="QQQ">#N/A</definedName>
    <definedName name="qqqq" localSheetId="3" hidden="1">{"'장비'!$A$3:$M$12"}</definedName>
    <definedName name="qqqq" hidden="1">{"'장비'!$A$3:$M$12"}</definedName>
    <definedName name="qryEqptOrdDelyETAProfile_byConstrMgr">#REF!</definedName>
    <definedName name="qryEqptOrdPODelProfile_ByConstrMgr">#REF!</definedName>
    <definedName name="qryForEqptProfTotalDelvdFdnErnIndImp">#REF!</definedName>
    <definedName name="qrySummROSDatesFromQuery">#REF!</definedName>
    <definedName name="qryUnitForecastUtils">#REF!</definedName>
    <definedName name="Qspan">#REF!</definedName>
    <definedName name="qSTE50748">#REF!</definedName>
    <definedName name="Qsu">#REF!</definedName>
    <definedName name="Qty">#REF!</definedName>
    <definedName name="Qty.">#REF!</definedName>
    <definedName name="QTY_6.01a">#REF!</definedName>
    <definedName name="QTY_6.01b">#REF!</definedName>
    <definedName name="QTY_6.01c">#REF!</definedName>
    <definedName name="QTY_6.02" localSheetId="3">#REF!</definedName>
    <definedName name="QTY_6.02">#REF!</definedName>
    <definedName name="QTY_6.03" localSheetId="3">#REF!</definedName>
    <definedName name="QTY_6.03">#REF!</definedName>
    <definedName name="QTY_6.04" localSheetId="3">#REF!</definedName>
    <definedName name="QTY_6.04">#REF!</definedName>
    <definedName name="QTY_6.05" localSheetId="3">#REF!</definedName>
    <definedName name="QTY_6.05">#REF!</definedName>
    <definedName name="qty_6.06" localSheetId="3">#REF!</definedName>
    <definedName name="qty_6.06">#REF!</definedName>
    <definedName name="QTY_6.06a" localSheetId="3">#REF!</definedName>
    <definedName name="QTY_6.06a">#REF!</definedName>
    <definedName name="QTY_6.06b" localSheetId="3">#REF!</definedName>
    <definedName name="QTY_6.06b">#REF!</definedName>
    <definedName name="QTY_6.07" localSheetId="3">#REF!</definedName>
    <definedName name="QTY_6.07">#REF!</definedName>
    <definedName name="QTY_6.08">#REF!</definedName>
    <definedName name="QTY_6.09" localSheetId="3">#REF!</definedName>
    <definedName name="QTY_6.09">#REF!</definedName>
    <definedName name="QTY_6.10" localSheetId="3">#REF!</definedName>
    <definedName name="QTY_6.10">#REF!</definedName>
    <definedName name="qty_6.11" localSheetId="3">#REF!</definedName>
    <definedName name="qty_6.11">#REF!</definedName>
    <definedName name="QTY_6.12">#REF!</definedName>
    <definedName name="QTY_6.13">#REF!</definedName>
    <definedName name="QTY_6.14a">#REF!</definedName>
    <definedName name="QTY_6.14b">#REF!</definedName>
    <definedName name="QTY_6.14c">#REF!</definedName>
    <definedName name="QTY_6.14d">#REF!</definedName>
    <definedName name="QTY_6.14e">#REF!</definedName>
    <definedName name="QTY_6.14f">#REF!</definedName>
    <definedName name="QTY_6.15" localSheetId="3">#REF!</definedName>
    <definedName name="QTY_6.15">#REF!</definedName>
    <definedName name="QTY_6.16" localSheetId="3">#REF!</definedName>
    <definedName name="QTY_6.16">#REF!</definedName>
    <definedName name="QTY_6.17" localSheetId="3">#REF!</definedName>
    <definedName name="QTY_6.17">#REF!</definedName>
    <definedName name="QTY_6.18" localSheetId="3">#REF!</definedName>
    <definedName name="QTY_6.18">#REF!</definedName>
    <definedName name="QTY_6.19" localSheetId="3">#REF!</definedName>
    <definedName name="QTY_6.19">#REF!</definedName>
    <definedName name="QTY_6.20" localSheetId="3">#REF!</definedName>
    <definedName name="QTY_6.20">#REF!</definedName>
    <definedName name="QTY_6.21" localSheetId="3">#REF!</definedName>
    <definedName name="QTY_6.21">#REF!</definedName>
    <definedName name="QTY_6.22" localSheetId="3">#REF!</definedName>
    <definedName name="QTY_6.22">#REF!</definedName>
    <definedName name="QTY_6.23" localSheetId="3">#REF!</definedName>
    <definedName name="QTY_6.23">#REF!</definedName>
    <definedName name="QTY_6.24" localSheetId="3">#REF!</definedName>
    <definedName name="QTY_6.24">#REF!</definedName>
    <definedName name="QTY_6.25" localSheetId="3">#REF!</definedName>
    <definedName name="QTY_6.25">#REF!</definedName>
    <definedName name="QTY_6.26" localSheetId="3">#REF!</definedName>
    <definedName name="QTY_6.26">#REF!</definedName>
    <definedName name="QTY_6.27" localSheetId="3">#REF!</definedName>
    <definedName name="QTY_6.27">#REF!</definedName>
    <definedName name="QTY_6.28" localSheetId="3">#REF!</definedName>
    <definedName name="QTY_6.28">#REF!</definedName>
    <definedName name="qty_6.29" localSheetId="3">#REF!</definedName>
    <definedName name="qty_6.29">#REF!</definedName>
    <definedName name="qty_6.30">#REF!</definedName>
    <definedName name="qty_6.31">#REF!</definedName>
    <definedName name="qty_6.32">#REF!</definedName>
    <definedName name="qty_7.01a">#REF!</definedName>
    <definedName name="qty_7.03">#REF!</definedName>
    <definedName name="qty_7.06">#REF!</definedName>
    <definedName name="qty_7.08">#REF!</definedName>
    <definedName name="qty_7.13">#REF!</definedName>
    <definedName name="qty_7.15">#REF!</definedName>
    <definedName name="qty_7.23">#REF!</definedName>
    <definedName name="qty_7.24a">#REF!</definedName>
    <definedName name="Qty_Ceiling" localSheetId="3">#REF!</definedName>
    <definedName name="Qty_Ceiling">#REF!</definedName>
    <definedName name="Qty_Conc" localSheetId="3">#REF!</definedName>
    <definedName name="Qty_Conc">#REF!</definedName>
    <definedName name="Qty_Door.Window" localSheetId="3">#REF!</definedName>
    <definedName name="Qty_Door.Window">#REF!</definedName>
    <definedName name="Qty_Excavation">#REF!</definedName>
    <definedName name="Qty_Form">#REF!</definedName>
    <definedName name="Qty_Masonry">#REF!</definedName>
    <definedName name="Qty_Painting">#REF!</definedName>
    <definedName name="Qty_Plastering">#REF!</definedName>
    <definedName name="Qty_Ratio">#REF!</definedName>
    <definedName name="Qty_Rebar">#REF!</definedName>
    <definedName name="Qty_Stone">#REF!</definedName>
    <definedName name="Qty_Wall">#REF!</definedName>
    <definedName name="qtyunitsum">#REF!</definedName>
    <definedName name="Quantity">#REF!</definedName>
    <definedName name="Quantity_16">#REF!</definedName>
    <definedName name="quao" localSheetId="3">#REF!</definedName>
    <definedName name="quao">#REF!</definedName>
    <definedName name="Query1" localSheetId="3">#REF!</definedName>
    <definedName name="Query1">#REF!</definedName>
    <definedName name="qult" localSheetId="3">#REF!</definedName>
    <definedName name="qult">#REF!</definedName>
    <definedName name="Quote_Rev_No" localSheetId="3">#REF!</definedName>
    <definedName name="Quote_Rev_No">#REF!</definedName>
    <definedName name="qw">#REF!</definedName>
    <definedName name="qwe" localSheetId="3" hidden="1">{"'장비'!$A$3:$M$12"}</definedName>
    <definedName name="qwe" hidden="1">{"'장비'!$A$3:$M$12"}</definedName>
    <definedName name="QWER" localSheetId="3" hidden="1">{#N/A,#N/A,FALSE,"CCTV"}</definedName>
    <definedName name="QWER" hidden="1">{#N/A,#N/A,FALSE,"CCTV"}</definedName>
    <definedName name="QWERT" localSheetId="3" hidden="1">{#N/A,#N/A,FALSE,"CCTV"}</definedName>
    <definedName name="QWERT" hidden="1">{#N/A,#N/A,FALSE,"CCTV"}</definedName>
    <definedName name="R_">#REF!</definedName>
    <definedName name="Ra" localSheetId="3">#REF!</definedName>
    <definedName name="Ra">#REF!</definedName>
    <definedName name="ra11p" localSheetId="3">#REF!</definedName>
    <definedName name="ra11p">#REF!</definedName>
    <definedName name="ra13p" localSheetId="3">#REF!</definedName>
    <definedName name="ra13p">#REF!</definedName>
    <definedName name="raaa" localSheetId="3" hidden="1">{"'Sheet1'!$A$4386:$N$4591"}</definedName>
    <definedName name="raaa" hidden="1">{"'Sheet1'!$A$4386:$N$4591"}</definedName>
    <definedName name="RAbil">#REF!</definedName>
    <definedName name="RAbill">#REF!</definedName>
    <definedName name="rack1">#REF!</definedName>
    <definedName name="rack2">#REF!</definedName>
    <definedName name="rack3">#REF!</definedName>
    <definedName name="rack4">#REF!</definedName>
    <definedName name="rad_dscnt" localSheetId="3">#REF!</definedName>
    <definedName name="rad_dscnt">#REF!</definedName>
    <definedName name="RaftD" localSheetId="3">#REF!</definedName>
    <definedName name="RaftD">#REF!</definedName>
    <definedName name="RaftSlbThk" localSheetId="3">#REF!</definedName>
    <definedName name="RaftSlbThk">#REF!</definedName>
    <definedName name="RAIL">#REF!</definedName>
    <definedName name="raj">#REF!</definedName>
    <definedName name="rajagopal">#REF!</definedName>
    <definedName name="RAJESH">#REF!</definedName>
    <definedName name="ram">#REF!</definedName>
    <definedName name="RANGE6">#REF!</definedName>
    <definedName name="RAO" localSheetId="3">#REF!</definedName>
    <definedName name="RAO">#REF!</definedName>
    <definedName name="RAO_1" localSheetId="3">#REF!</definedName>
    <definedName name="RAO_1">#REF!</definedName>
    <definedName name="RAO_10" localSheetId="3">#REF!</definedName>
    <definedName name="RAO_10">#REF!</definedName>
    <definedName name="RAO_11">#REF!</definedName>
    <definedName name="RAO_16">#REF!</definedName>
    <definedName name="RAO_17">#REF!</definedName>
    <definedName name="RAO_8">#REF!</definedName>
    <definedName name="RAPS" localSheetId="3">#REF!</definedName>
    <definedName name="RAPS">#REF!</definedName>
    <definedName name="rarewt" localSheetId="3" hidden="1">{#N/A,#N/A,FALSE,"CCTV"}</definedName>
    <definedName name="rarewt" hidden="1">{#N/A,#N/A,FALSE,"CCTV"}</definedName>
    <definedName name="rate">#REF!</definedName>
    <definedName name="RATE_6.01aii">#REF!</definedName>
    <definedName name="RATE_6.01b">#REF!</definedName>
    <definedName name="RATE_6.01c">#REF!</definedName>
    <definedName name="RATE_6.04">#REF!</definedName>
    <definedName name="RATE_6.06b">#REF!</definedName>
    <definedName name="RATE_6.14a">#REF!</definedName>
    <definedName name="RATE_6.14b">#REF!</definedName>
    <definedName name="RATE_6.14c">#REF!</definedName>
    <definedName name="RATE_6.14d">#REF!</definedName>
    <definedName name="RATE_6.14e">#REF!</definedName>
    <definedName name="RATE_6.14f">#REF!</definedName>
    <definedName name="RATE_6.16">#REF!</definedName>
    <definedName name="RATE_6.17">#REF!</definedName>
    <definedName name="RATE_6.26">#REF!</definedName>
    <definedName name="RATE_6.27">#REF!</definedName>
    <definedName name="RATE_6.29">#REF!</definedName>
    <definedName name="RATE_6.30">#REF!</definedName>
    <definedName name="RATEST" localSheetId="3">#REF!</definedName>
    <definedName name="RATEST">#REF!</definedName>
    <definedName name="ratio" localSheetId="3">#REF!</definedName>
    <definedName name="ratio">#REF!</definedName>
    <definedName name="Ratios_Error">#REF!</definedName>
    <definedName name="raw_material_input">#REF!</definedName>
    <definedName name="raw_material_input_C">#REF!</definedName>
    <definedName name="raw_material_input2">#REF!</definedName>
    <definedName name="raw_material_input3">#REF!</definedName>
    <definedName name="raw_material_input4">#REF!</definedName>
    <definedName name="raw_material_input5">#REF!</definedName>
    <definedName name="rb" localSheetId="3">#REF!</definedName>
    <definedName name="rb">#REF!</definedName>
    <definedName name="Rbuc" localSheetId="3">#REF!</definedName>
    <definedName name="Rbuc">#REF!</definedName>
    <definedName name="RCC" localSheetId="3">#REF!</definedName>
    <definedName name="RCC">#REF!</definedName>
    <definedName name="RCCdiam" localSheetId="3">#REF!</definedName>
    <definedName name="RCCdiam">#REF!</definedName>
    <definedName name="rccm20" localSheetId="3">#REF!</definedName>
    <definedName name="rccm20">#REF!</definedName>
    <definedName name="RCCpipe300" localSheetId="3">#REF!</definedName>
    <definedName name="RCCpipe300">#REF!</definedName>
    <definedName name="RCCpipe600" localSheetId="3">#REF!</definedName>
    <definedName name="RCCpipe600">#REF!</definedName>
    <definedName name="rccrail">#REF!</definedName>
    <definedName name="RCD" localSheetId="3">#REF!</definedName>
    <definedName name="RCD">#REF!</definedName>
    <definedName name="Rcr" localSheetId="3">#REF!</definedName>
    <definedName name="Rcr">#REF!</definedName>
    <definedName name="RCS" localSheetId="3">#REF!</definedName>
    <definedName name="RCS">#REF!</definedName>
    <definedName name="rdc" localSheetId="3">#REF!</definedName>
    <definedName name="rdc">#REF!</definedName>
    <definedName name="Rdeck" localSheetId="3">#REF!</definedName>
    <definedName name="Rdeck">#REF!</definedName>
    <definedName name="rdl" localSheetId="3">#REF!</definedName>
    <definedName name="rdl">#REF!</definedName>
    <definedName name="rdla">#REF!</definedName>
    <definedName name="RDN" localSheetId="3" hidden="1">{#N/A,#N/A,FALSE,"COVER.XLS";#N/A,#N/A,FALSE,"RACT1.XLS";#N/A,#N/A,FALSE,"RACT2.XLS";#N/A,#N/A,FALSE,"ECCMP";#N/A,#N/A,FALSE,"WELDER.XLS"}</definedName>
    <definedName name="RDN" hidden="1">{#N/A,#N/A,FALSE,"COVER.XLS";#N/A,#N/A,FALSE,"RACT1.XLS";#N/A,#N/A,FALSE,"RACT2.XLS";#N/A,#N/A,FALSE,"ECCMP";#N/A,#N/A,FALSE,"WELDER.XLS"}</definedName>
    <definedName name="Re" localSheetId="3">#REF!</definedName>
    <definedName name="Re">#REF!</definedName>
    <definedName name="re_bar" localSheetId="3">#REF!</definedName>
    <definedName name="re_bar">#REF!</definedName>
    <definedName name="ReacCU" localSheetId="3">#REF!</definedName>
    <definedName name="ReacCU">#REF!</definedName>
    <definedName name="reb1800chitt" localSheetId="3">#REF!</definedName>
    <definedName name="reb1800chitt">#REF!</definedName>
    <definedName name="reb1800main" localSheetId="3">#REF!</definedName>
    <definedName name="reb1800main">#REF!</definedName>
    <definedName name="reb300chitt" localSheetId="3">#REF!</definedName>
    <definedName name="reb300chitt">#REF!</definedName>
    <definedName name="reb300main" localSheetId="3">#REF!</definedName>
    <definedName name="reb300main">#REF!</definedName>
    <definedName name="reb600chitt">#REF!</definedName>
    <definedName name="reb600main">#REF!</definedName>
    <definedName name="reb900chitt">#REF!</definedName>
    <definedName name="reb900main">#REF!</definedName>
    <definedName name="REBAR" localSheetId="3">#REF!</definedName>
    <definedName name="REBAR">#REF!</definedName>
    <definedName name="RebarQty1">#N/A</definedName>
    <definedName name="rebatercc">#REF!</definedName>
    <definedName name="rebatetree1800">#REF!</definedName>
    <definedName name="rebatetree1800chitt">#REF!</definedName>
    <definedName name="REBATETREE300600">#REF!</definedName>
    <definedName name="REBATETREE300600CHITT">#REF!</definedName>
    <definedName name="rebatetree600900">#REF!</definedName>
    <definedName name="REBBASE">#REF!</definedName>
    <definedName name="rebbrick">#REF!</definedName>
    <definedName name="rebdrain">#REF!</definedName>
    <definedName name="rebexp">#REF!</definedName>
    <definedName name="rebguard">#REF!</definedName>
    <definedName name="rebhp">#REF!</definedName>
    <definedName name="rebpcc">#REF!</definedName>
    <definedName name="rebr">#REF!</definedName>
    <definedName name="rebrail">#REF!</definedName>
    <definedName name="rebstone">#REF!</definedName>
    <definedName name="rebsubbase">#REF!</definedName>
    <definedName name="rebtemp">#REF!</definedName>
    <definedName name="REBWC">#REF!</definedName>
    <definedName name="recon" localSheetId="3">#REF!</definedName>
    <definedName name="recon">#REF!</definedName>
    <definedName name="reconc">#REF!</definedName>
    <definedName name="_xlnm.Recorder">#REF!</definedName>
    <definedName name="Recorder1">#REF!</definedName>
    <definedName name="RECOUT">#N/A</definedName>
    <definedName name="rect_4_415" localSheetId="3">#REF!</definedName>
    <definedName name="rect_4_415">#REF!</definedName>
    <definedName name="RED" localSheetId="3">#REF!</definedName>
    <definedName name="RED">#REF!</definedName>
    <definedName name="redep" localSheetId="3">#REF!</definedName>
    <definedName name="redep">#REF!</definedName>
    <definedName name="redrsp" localSheetId="3">#REF!</definedName>
    <definedName name="redrsp">#REF!</definedName>
    <definedName name="Reductioningrowthrate">#REF!</definedName>
    <definedName name="reexp">#REF!</definedName>
    <definedName name="ref" localSheetId="3">chw</definedName>
    <definedName name="ref">chw</definedName>
    <definedName name="Refer_Note_19" localSheetId="3">#REF!</definedName>
    <definedName name="Refer_Note_19">#REF!</definedName>
    <definedName name="regsb" localSheetId="3">#REF!</definedName>
    <definedName name="regsb">#REF!</definedName>
    <definedName name="regua" localSheetId="3">#REF!</definedName>
    <definedName name="regua">#REF!</definedName>
    <definedName name="rehp" localSheetId="3">#REF!</definedName>
    <definedName name="rehp">#REF!</definedName>
    <definedName name="Reinstate" localSheetId="3">#REF!</definedName>
    <definedName name="Reinstate">#REF!</definedName>
    <definedName name="Reinstatement" localSheetId="3">#REF!</definedName>
    <definedName name="Reinstatement">#REF!</definedName>
    <definedName name="rel" localSheetId="3">#REF!</definedName>
    <definedName name="rel">#REF!</definedName>
    <definedName name="relax1000">#REF!</definedName>
    <definedName name="REM1___0">#REF!</definedName>
    <definedName name="REM1___0___0">"$#REF!.$#REF!$#REF!"</definedName>
    <definedName name="REM1___0___3">"$#REF!.$#REF!$#REF!"</definedName>
    <definedName name="REM1___0___4">"$#REF!.$#REF!$#REF!"</definedName>
    <definedName name="REM1___0_1">#REF!</definedName>
    <definedName name="REM1___0_10">#REF!</definedName>
    <definedName name="REM1___0_11">#REF!</definedName>
    <definedName name="REM1___0_16">#REF!</definedName>
    <definedName name="REM1___0_17">#REF!</definedName>
    <definedName name="REM1___0_8">#REF!</definedName>
    <definedName name="REM1___2">#REF!</definedName>
    <definedName name="REM1___2___0">"$#REF!.$#REF!$#REF!"</definedName>
    <definedName name="REM1___2___3">"$#REF!.$#REF!$#REF!"</definedName>
    <definedName name="REM1___2_1">#REF!</definedName>
    <definedName name="REM1___2_10">#REF!</definedName>
    <definedName name="REM1___2_11">#REF!</definedName>
    <definedName name="REM1___2_16">#REF!</definedName>
    <definedName name="REM1___2_17">#REF!</definedName>
    <definedName name="REM1___2_8">#REF!</definedName>
    <definedName name="REM1___3">#REF!</definedName>
    <definedName name="REM1___3___0">"$#REF!.$#REF!$#REF!"</definedName>
    <definedName name="REM1___3___3">"$#REF!.$#REF!$#REF!"</definedName>
    <definedName name="REM1___3___4">"$#REF!.$#REF!$#REF!"</definedName>
    <definedName name="REM1___3_1">#REF!</definedName>
    <definedName name="REM1___3_10">#REF!</definedName>
    <definedName name="REM1___3_11">#REF!</definedName>
    <definedName name="REM1___3_16">#REF!</definedName>
    <definedName name="REM1___3_17">#REF!</definedName>
    <definedName name="REM1___3_8">#REF!</definedName>
    <definedName name="REM1___4">#REF!</definedName>
    <definedName name="REM1___4___0">"$#REF!.$#REF!$#REF!"</definedName>
    <definedName name="REM1___4___3">"$#REF!.$#REF!$#REF!"</definedName>
    <definedName name="REM1___4_1">#REF!</definedName>
    <definedName name="REM1___4_10">#REF!</definedName>
    <definedName name="REM1___4_11">#REF!</definedName>
    <definedName name="REM1___4_16">#REF!</definedName>
    <definedName name="REM1___4_17">#REF!</definedName>
    <definedName name="REM1___4_8">#REF!</definedName>
    <definedName name="REM1___7">"$#REF!.$#REF!$#REF!"</definedName>
    <definedName name="REM1_1">#REF!</definedName>
    <definedName name="REM1_10">#REF!</definedName>
    <definedName name="REM1_11">#REF!</definedName>
    <definedName name="REM1_12">#REF!</definedName>
    <definedName name="REM1_16">#REF!</definedName>
    <definedName name="REM1_2">"$#REF!.$#REF!$#REF!"</definedName>
    <definedName name="REM1_3">#REF!</definedName>
    <definedName name="REM1_4">#REF!</definedName>
    <definedName name="REM1_5">#REF!</definedName>
    <definedName name="REM1_6">#REF!</definedName>
    <definedName name="REM1_7">#REF!</definedName>
    <definedName name="REM1_8">#REF!</definedName>
    <definedName name="REM1_9">#REF!</definedName>
    <definedName name="REM2___0">#REF!</definedName>
    <definedName name="REM2___0___0">"$#REF!.$#REF!$#REF!"</definedName>
    <definedName name="REM2___0___3">"$#REF!.$#REF!$#REF!"</definedName>
    <definedName name="REM2___0___4">"$#REF!.$#REF!$#REF!"</definedName>
    <definedName name="REM2___0_1">#REF!</definedName>
    <definedName name="REM2___0_10">#REF!</definedName>
    <definedName name="REM2___0_11">#REF!</definedName>
    <definedName name="REM2___0_16">#REF!</definedName>
    <definedName name="REM2___0_17">#REF!</definedName>
    <definedName name="REM2___0_8">#REF!</definedName>
    <definedName name="REM2___2">#REF!</definedName>
    <definedName name="REM2___2___0">"$#REF!.$#REF!$#REF!"</definedName>
    <definedName name="REM2___2___3">"$#REF!.$#REF!$#REF!"</definedName>
    <definedName name="REM2___2_1">#REF!</definedName>
    <definedName name="REM2___2_10">#REF!</definedName>
    <definedName name="REM2___2_11">#REF!</definedName>
    <definedName name="REM2___2_16">#REF!</definedName>
    <definedName name="REM2___2_17">#REF!</definedName>
    <definedName name="REM2___2_8">#REF!</definedName>
    <definedName name="REM2___3">#REF!</definedName>
    <definedName name="REM2___3___0">"$#REF!.$#REF!$#REF!"</definedName>
    <definedName name="REM2___3___3">"$#REF!.$#REF!$#REF!"</definedName>
    <definedName name="REM2___3___4">"$#REF!.$#REF!$#REF!"</definedName>
    <definedName name="REM2___3_1">#REF!</definedName>
    <definedName name="REM2___3_10">#REF!</definedName>
    <definedName name="REM2___3_11">#REF!</definedName>
    <definedName name="REM2___3_16">#REF!</definedName>
    <definedName name="REM2___3_17">#REF!</definedName>
    <definedName name="REM2___3_8">#REF!</definedName>
    <definedName name="REM2___4">#REF!</definedName>
    <definedName name="REM2___4___0">"$#REF!.$#REF!$#REF!"</definedName>
    <definedName name="REM2___4___3">"$#REF!.$#REF!$#REF!"</definedName>
    <definedName name="REM2___4_1">#REF!</definedName>
    <definedName name="REM2___4_10">#REF!</definedName>
    <definedName name="REM2___4_11">#REF!</definedName>
    <definedName name="REM2___4_16">#REF!</definedName>
    <definedName name="REM2___4_17">#REF!</definedName>
    <definedName name="REM2___4_8">#REF!</definedName>
    <definedName name="REM2___7">"$#REF!.$#REF!$#REF!"</definedName>
    <definedName name="REM2_1">#REF!</definedName>
    <definedName name="REM2_10">#REF!</definedName>
    <definedName name="REM2_11">#REF!</definedName>
    <definedName name="REM2_12">#REF!</definedName>
    <definedName name="REM2_16">#REF!</definedName>
    <definedName name="REM2_2">"$#REF!.$#REF!$#REF!"</definedName>
    <definedName name="REM2_3">#REF!</definedName>
    <definedName name="REM2_4">#REF!</definedName>
    <definedName name="REM2_5">#REF!</definedName>
    <definedName name="REM2_6">#REF!</definedName>
    <definedName name="REM2_7">#REF!</definedName>
    <definedName name="REM2_8">#REF!</definedName>
    <definedName name="REM2_9">#REF!</definedName>
    <definedName name="remf1">#REF!</definedName>
    <definedName name="remf2">#REF!</definedName>
    <definedName name="remfc">#REF!</definedName>
    <definedName name="remi1">#REF!</definedName>
    <definedName name="remi2">#REF!</definedName>
    <definedName name="remic">#REF!</definedName>
    <definedName name="REMOVE" localSheetId="3">#REF! = Address</definedName>
    <definedName name="REMOVE" localSheetId="11">#REF! = Address</definedName>
    <definedName name="REMOVE">#REF! = Address</definedName>
    <definedName name="rep" localSheetId="3">#REF!</definedName>
    <definedName name="rep">#REF!</definedName>
    <definedName name="repayment" localSheetId="3">#REF!</definedName>
    <definedName name="repayment">#REF!</definedName>
    <definedName name="repcc" localSheetId="3">#REF!</definedName>
    <definedName name="repcc">#REF!</definedName>
    <definedName name="rerail" localSheetId="3">#REF!</definedName>
    <definedName name="rerail">#REF!</definedName>
    <definedName name="rercc" localSheetId="3">#REF!</definedName>
    <definedName name="rercc">#REF!</definedName>
    <definedName name="res_sum" localSheetId="3" hidden="1">{#N/A,#N/A,FALSE,"COVER1.XLS ";#N/A,#N/A,FALSE,"RACT1.XLS";#N/A,#N/A,FALSE,"RACT2.XLS";#N/A,#N/A,FALSE,"ECCMP";#N/A,#N/A,FALSE,"WELDER.XLS"}</definedName>
    <definedName name="res_sum" hidden="1">{#N/A,#N/A,FALSE,"COVER1.XLS ";#N/A,#N/A,FALSE,"RACT1.XLS";#N/A,#N/A,FALSE,"RACT2.XLS";#N/A,#N/A,FALSE,"ECCMP";#N/A,#N/A,FALSE,"WELDER.XLS"}</definedName>
    <definedName name="ResCu" localSheetId="3">#REF!</definedName>
    <definedName name="ResCu">#REF!</definedName>
    <definedName name="rest" localSheetId="3">#REF!</definedName>
    <definedName name="rest">#REF!</definedName>
    <definedName name="restorationcost" localSheetId="3">#REF!</definedName>
    <definedName name="restorationcost">#REF!</definedName>
    <definedName name="restp" localSheetId="3">#REF!</definedName>
    <definedName name="restp">#REF!</definedName>
    <definedName name="Result">#REF!</definedName>
    <definedName name="results" localSheetId="3">#REF!</definedName>
    <definedName name="results">#REF!</definedName>
    <definedName name="retemp">#REF!</definedName>
    <definedName name="retr1800c">#REF!</definedName>
    <definedName name="retr1800m">#REF!</definedName>
    <definedName name="retr300">#REF!</definedName>
    <definedName name="retr300c">#REF!</definedName>
    <definedName name="retr600" localSheetId="3">#REF!</definedName>
    <definedName name="retr600">#REF!</definedName>
    <definedName name="retr600c">#REF!</definedName>
    <definedName name="retr600m">#REF!</definedName>
    <definedName name="retr900">#REF!</definedName>
    <definedName name="retr900c">#REF!</definedName>
    <definedName name="returnw" localSheetId="3">#REF!</definedName>
    <definedName name="returnw">#REF!</definedName>
    <definedName name="Rev" localSheetId="3">#REF!</definedName>
    <definedName name="Rev">#REF!</definedName>
    <definedName name="REV." localSheetId="3">#REF!</definedName>
    <definedName name="REV.">#REF!</definedName>
    <definedName name="REVIS">#REF!</definedName>
    <definedName name="revised" localSheetId="3" hidden="1">{#N/A,#N/A,FALSE,"COVER1.XLS ";#N/A,#N/A,FALSE,"RACT1.XLS";#N/A,#N/A,FALSE,"RACT2.XLS";#N/A,#N/A,FALSE,"ECCMP";#N/A,#N/A,FALSE,"WELDER.XLS"}</definedName>
    <definedName name="revised" hidden="1">{#N/A,#N/A,FALSE,"COVER1.XLS ";#N/A,#N/A,FALSE,"RACT1.XLS";#N/A,#N/A,FALSE,"RACT2.XLS";#N/A,#N/A,FALSE,"ECCMP";#N/A,#N/A,FALSE,"WELDER.XLS"}</definedName>
    <definedName name="Revision" localSheetId="3">#REF!</definedName>
    <definedName name="Revision">#REF!</definedName>
    <definedName name="revloss1anoncolocation" localSheetId="3">#REF!</definedName>
    <definedName name="revloss1anoncolocation">#REF!</definedName>
    <definedName name="revloss1bnoncolocation" localSheetId="3">#REF!</definedName>
    <definedName name="revloss1bnoncolocation">#REF!</definedName>
    <definedName name="revloss2noncolocation">#REF!</definedName>
    <definedName name="Revq1">#REF!</definedName>
    <definedName name="revq2">#REF!</definedName>
    <definedName name="revq3">#REF!</definedName>
    <definedName name="revq4">#REF!</definedName>
    <definedName name="revshare">#REF!</definedName>
    <definedName name="revsharebasis">#REF!</definedName>
    <definedName name="revshareSDCAtfc">#REF!</definedName>
    <definedName name="REVSTATUS" localSheetId="3">#REF!</definedName>
    <definedName name="REVSTATUS">#REF!</definedName>
    <definedName name="revstatuspage1" localSheetId="3">#REF!</definedName>
    <definedName name="revstatuspage1">#REF!</definedName>
    <definedName name="revstatuspage2" localSheetId="3">#REF!</definedName>
    <definedName name="revstatuspage2">#REF!</definedName>
    <definedName name="REWALL" localSheetId="3" hidden="1">{"form-D1",#N/A,FALSE,"FORM-D1";"form-D1_amt",#N/A,FALSE,"FORM-D1"}</definedName>
    <definedName name="REWALL" hidden="1">{"form-D1",#N/A,FALSE,"FORM-D1";"form-D1_amt",#N/A,FALSE,"FORM-D1"}</definedName>
    <definedName name="rewc">#REF!</definedName>
    <definedName name="RFA" localSheetId="3">#REF!</definedName>
    <definedName name="RFA">#REF!</definedName>
    <definedName name="rfafg" localSheetId="3" hidden="1">{"Execavation",#N/A,FALSE,"furniture (employer)"}</definedName>
    <definedName name="rfafg" hidden="1">{"Execavation",#N/A,FALSE,"furniture (employer)"}</definedName>
    <definedName name="RFB">#REF!</definedName>
    <definedName name="RFC">#REF!</definedName>
    <definedName name="RFcover">#REF!</definedName>
    <definedName name="RFE" localSheetId="3">#REF!</definedName>
    <definedName name="RFE">#REF!</definedName>
    <definedName name="RFF" localSheetId="3">#REF!</definedName>
    <definedName name="RFF">#REF!</definedName>
    <definedName name="RFG" localSheetId="3">#REF!</definedName>
    <definedName name="RFG">#REF!</definedName>
    <definedName name="RFP002_CIVIL_FC">#REF!</definedName>
    <definedName name="RFP002_CIVIL_LC">#REF!</definedName>
    <definedName name="RFP002_ELEC_FC">#REF!</definedName>
    <definedName name="RFP002_ELEC_LC">#REF!</definedName>
    <definedName name="RFP002_EQUIP_FC">#REF!</definedName>
    <definedName name="RFP002_EQUIP_LC">#REF!</definedName>
    <definedName name="RFP002_INSTR_FC">#REF!</definedName>
    <definedName name="RFP002_INSTR_LC">#REF!</definedName>
    <definedName name="RFP002_INSU_FC">#REF!</definedName>
    <definedName name="RFP002_INSU_LC">#REF!</definedName>
    <definedName name="RFP002_OTR1_FC">#REF!</definedName>
    <definedName name="RFP002_OTR1_LC">#REF!</definedName>
    <definedName name="RFP002_OTR2_FC">#REF!</definedName>
    <definedName name="RFP002_OTR2_LC">#REF!</definedName>
    <definedName name="RFP002_PAINT_FC">#REF!</definedName>
    <definedName name="RFP002_PAINT_LC">#REF!</definedName>
    <definedName name="RFP002_PIPE_FC">#REF!</definedName>
    <definedName name="RFP002_PIPE_LC">#REF!</definedName>
    <definedName name="RFP002_SRNO">#REF!</definedName>
    <definedName name="RFP002_TOTAL">#REF!</definedName>
    <definedName name="RFP003A">#REF!</definedName>
    <definedName name="RFP003B">#REF!</definedName>
    <definedName name="RFP003C">#REF!</definedName>
    <definedName name="RFP003D">#REF!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P003E_UR_CON_LC">#REF!</definedName>
    <definedName name="RFP003E_UR_MAT_FC">#REF!</definedName>
    <definedName name="RFP003E_UR_MAT_LC">#REF!</definedName>
    <definedName name="RFP003F">#REF!</definedName>
    <definedName name="RFP004Material_Total_LC">#REF!</definedName>
    <definedName name="RFP004Materiall_Total_FC">#REF!</definedName>
    <definedName name="RFP012DL_Total_MM">#REF!</definedName>
    <definedName name="RFstructure">#REF!</definedName>
    <definedName name="rgg" localSheetId="3">#REF!</definedName>
    <definedName name="rgg">#REF!</definedName>
    <definedName name="rho" localSheetId="3">#REF!</definedName>
    <definedName name="rho">#REF!</definedName>
    <definedName name="ri" localSheetId="3">#REF!</definedName>
    <definedName name="ri">#REF!</definedName>
    <definedName name="Ric">#REF!</definedName>
    <definedName name="rig">#REF!</definedName>
    <definedName name="Rigid_Pavement">#REF!</definedName>
    <definedName name="rilmkt" localSheetId="3">#REF!</definedName>
    <definedName name="rilmkt">#REF!</definedName>
    <definedName name="Rise" localSheetId="3">#REF!</definedName>
    <definedName name="Rise">#REF!</definedName>
    <definedName name="RiseS">#REF!</definedName>
    <definedName name="RiseT">#REF!</definedName>
    <definedName name="RiskAutoStopPercChange">1.5</definedName>
    <definedName name="RiskBeforeSimMacro">"Initialise_Model"</definedName>
    <definedName name="RiskCollectDistributionSamples">2</definedName>
    <definedName name="RiskExcelReportsToGenerate">0</definedName>
    <definedName name="RiskFixedSeed">1</definedName>
    <definedName name="RiskGenerateExcelReportsAtEndOfSimulation">FALSE</definedName>
    <definedName name="RiskGroup">#REF!</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2</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kd" localSheetId="3" hidden="1">{#N/A,#N/A,FALSE,"CCTV"}</definedName>
    <definedName name="rkd" hidden="1">{#N/A,#N/A,FALSE,"CCTV"}</definedName>
    <definedName name="rl" localSheetId="3">#REF!</definedName>
    <definedName name="rl">#REF!</definedName>
    <definedName name="RLPS">#REF!</definedName>
    <definedName name="RMB_INR">#REF!</definedName>
    <definedName name="RMB_INR_2">#REF!</definedName>
    <definedName name="RMB_INR_3">#REF!</definedName>
    <definedName name="RMB_INR_4">#REF!</definedName>
    <definedName name="RMB_INR_5">#REF!</definedName>
    <definedName name="RMB_USD">#REF!</definedName>
    <definedName name="RMB_USD_2">#REF!</definedName>
    <definedName name="RMB_USD_3">#REF!</definedName>
    <definedName name="RMB_USD_4">#REF!</definedName>
    <definedName name="RMB_USD_5">#REF!</definedName>
    <definedName name="RNGDETAILS0" localSheetId="3">#REF!</definedName>
    <definedName name="RNGDETAILS0">#REF!</definedName>
    <definedName name="RNGDETAILS1" localSheetId="3">#REF!</definedName>
    <definedName name="RNGDETAILS1">#REF!</definedName>
    <definedName name="Road" localSheetId="3">#REF!</definedName>
    <definedName name="Road">#REF!</definedName>
    <definedName name="Road_Diversion" localSheetId="3">#REF!</definedName>
    <definedName name="Road_Diversion">#REF!</definedName>
    <definedName name="ROB" localSheetId="3">#REF!</definedName>
    <definedName name="ROB">#REF!</definedName>
    <definedName name="robot">#REF!</definedName>
    <definedName name="Rodbinder">#REF!</definedName>
    <definedName name="RoE">#REF!</definedName>
    <definedName name="RoE_2">#REF!</definedName>
    <definedName name="RoE_3">#REF!</definedName>
    <definedName name="RoE_4">#REF!</definedName>
    <definedName name="RoE_5">#REF!</definedName>
    <definedName name="RoE_C">#REF!</definedName>
    <definedName name="roller">#REF!</definedName>
    <definedName name="ROLLFCCASHFLOW">#REF!</definedName>
    <definedName name="ROLLFCWKGS">#REF!</definedName>
    <definedName name="ROLLGFC">#REF!</definedName>
    <definedName name="ROOF">#REF!</definedName>
    <definedName name="Roof_Beams" localSheetId="3">#REF!</definedName>
    <definedName name="Roof_Beams">#REF!</definedName>
    <definedName name="RoofBeams" localSheetId="3">#REF!</definedName>
    <definedName name="RoofBeams">#REF!</definedName>
    <definedName name="Roofstructure" localSheetId="3">#REF!</definedName>
    <definedName name="Roofstructure">#REF!</definedName>
    <definedName name="rosid" localSheetId="3">#REF!</definedName>
    <definedName name="rosid">#REF!</definedName>
    <definedName name="roughstone" localSheetId="3">#REF!</definedName>
    <definedName name="roughstone">#REF!</definedName>
    <definedName name="rout_t" localSheetId="3">#REF!</definedName>
    <definedName name="rout_t">#REF!</definedName>
    <definedName name="Row">#REF!</definedName>
    <definedName name="Rowc">#REF!</definedName>
    <definedName name="RP">#REF!</definedName>
    <definedName name="Rpaint">#REF!</definedName>
    <definedName name="rqf">#REF!</definedName>
    <definedName name="rr" localSheetId="3" hidden="1">{#N/A,#N/A,FALSE,"consu_cover";#N/A,#N/A,FALSE,"consu_strategy";#N/A,#N/A,FALSE,"consu_flow";#N/A,#N/A,FALSE,"Summary_reqmt";#N/A,#N/A,FALSE,"field_ppg";#N/A,#N/A,FALSE,"ppg_shop";#N/A,#N/A,FALSE,"strl";#N/A,#N/A,FALSE,"tankages";#N/A,#N/A,FALSE,"gases"}</definedName>
    <definedName name="rr" hidden="1">{#N/A,#N/A,FALSE,"consu_cover";#N/A,#N/A,FALSE,"consu_strategy";#N/A,#N/A,FALSE,"consu_flow";#N/A,#N/A,FALSE,"Summary_reqmt";#N/A,#N/A,FALSE,"field_ppg";#N/A,#N/A,FALSE,"ppg_shop";#N/A,#N/A,FALSE,"strl";#N/A,#N/A,FALSE,"tankages";#N/A,#N/A,FALSE,"gases"}</definedName>
    <definedName name="rrc">#REF!</definedName>
    <definedName name="rrcost">#REF!</definedName>
    <definedName name="rrg" localSheetId="3">#REF!</definedName>
    <definedName name="rrg">#REF!</definedName>
    <definedName name="rrm">#REF!</definedName>
    <definedName name="RRoll8">#REF!</definedName>
    <definedName name="Rs" localSheetId="3">#REF!</definedName>
    <definedName name="Rs">#REF!</definedName>
    <definedName name="Rse" localSheetId="3">#REF!</definedName>
    <definedName name="Rse">#REF!</definedName>
    <definedName name="Rso" localSheetId="3">#REF!</definedName>
    <definedName name="Rso">#REF!</definedName>
    <definedName name="Rt">#REF!</definedName>
    <definedName name="rtnht">#REF!</definedName>
    <definedName name="rtnht1">#REF!</definedName>
    <definedName name="rtnht2">#REF!</definedName>
    <definedName name="rtnlb">#REF!</definedName>
    <definedName name="rtnlt">#REF!</definedName>
    <definedName name="rtnthk">#REF!</definedName>
    <definedName name="RTTRTRTR"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wta">#REF!</definedName>
    <definedName name="RTYE" localSheetId="3" hidden="1">{"'장비'!$A$3:$M$12"}</definedName>
    <definedName name="RTYE" hidden="1">{"'장비'!$A$3:$M$12"}</definedName>
    <definedName name="Ru">#REF!</definedName>
    <definedName name="rubbish">#REF!</definedName>
    <definedName name="run">#REF!</definedName>
    <definedName name="rup" localSheetId="3">#REF!</definedName>
    <definedName name="rup">#REF!</definedName>
    <definedName name="Ruraltitle" localSheetId="3">#REF!</definedName>
    <definedName name="Ruraltitle">#REF!</definedName>
    <definedName name="RW" localSheetId="3">#REF!</definedName>
    <definedName name="RW">#REF!</definedName>
    <definedName name="rwere" localSheetId="3" hidden="1">{#N/A,#N/A,FALSE,"COVER1.XLS ";#N/A,#N/A,FALSE,"RACT1.XLS";#N/A,#N/A,FALSE,"RACT2.XLS";#N/A,#N/A,FALSE,"ECCMP";#N/A,#N/A,FALSE,"WELDER.XLS"}</definedName>
    <definedName name="rwere" hidden="1">{#N/A,#N/A,FALSE,"COVER1.XLS ";#N/A,#N/A,FALSE,"RACT1.XLS";#N/A,#N/A,FALSE,"RACT2.XLS";#N/A,#N/A,FALSE,"ECCMP";#N/A,#N/A,FALSE,"WELDER.XLS"}</definedName>
    <definedName name="rwgrd">#REF!</definedName>
    <definedName name="Rxy" localSheetId="3">#REF!</definedName>
    <definedName name="Rxy">#REF!</definedName>
    <definedName name="Ryx" localSheetId="3">#REF!</definedName>
    <definedName name="Ryx">#REF!</definedName>
    <definedName name="s" localSheetId="3">#REF!</definedName>
    <definedName name="s">#REF!</definedName>
    <definedName name="s_1">#REF!</definedName>
    <definedName name="s_10">#REF!</definedName>
    <definedName name="s_11">#REF!</definedName>
    <definedName name="s_16">#REF!</definedName>
    <definedName name="s_17">#REF!</definedName>
    <definedName name="S_2">#REF!</definedName>
    <definedName name="S_6">#REF!</definedName>
    <definedName name="s_8">#REF!</definedName>
    <definedName name="S_C_CURRENT_KASTRIP">#REF!</definedName>
    <definedName name="s_curve">#REF!</definedName>
    <definedName name="S_score">#REF!</definedName>
    <definedName name="S23Man" hidden="1">#REF!</definedName>
    <definedName name="s75F29">#REF!</definedName>
    <definedName name="Sa" localSheetId="3">#REF!</definedName>
    <definedName name="Sa">#REF!</definedName>
    <definedName name="SACHIN" localSheetId="3">#REF!</definedName>
    <definedName name="SACHIN">#REF!</definedName>
    <definedName name="sadasjkhkasjhd" localSheetId="3">#REF!</definedName>
    <definedName name="sadasjkhkasjhd">#REF!</definedName>
    <definedName name="SADSA" localSheetId="3">#REF!</definedName>
    <definedName name="SADSA">#REF!</definedName>
    <definedName name="saedd5" localSheetId="3">#REF!</definedName>
    <definedName name="saedd5">#REF!</definedName>
    <definedName name="saeed" localSheetId="3">#REF!</definedName>
    <definedName name="saeed">#REF!</definedName>
    <definedName name="sagdhag" localSheetId="3" hidden="1">{#N/A,#N/A,FALSE,"COVER1.XLS ";#N/A,#N/A,FALSE,"RACT1.XLS";#N/A,#N/A,FALSE,"RACT2.XLS";#N/A,#N/A,FALSE,"ECCMP";#N/A,#N/A,FALSE,"WELDER.XLS"}</definedName>
    <definedName name="sagdhag" hidden="1">{#N/A,#N/A,FALSE,"COVER1.XLS ";#N/A,#N/A,FALSE,"RACT1.XLS";#N/A,#N/A,FALSE,"RACT2.XLS";#N/A,#N/A,FALSE,"ECCMP";#N/A,#N/A,FALSE,"WELDER.XLS"}</definedName>
    <definedName name="Sal.Escal_Korean">#REF!</definedName>
    <definedName name="Sal.Escal_Local.Reg">#REF!</definedName>
    <definedName name="Sal.Escal_Third.N">#REF!</definedName>
    <definedName name="Salary_Korean">#REF!</definedName>
    <definedName name="Salary_Local.Reg">#REF!</definedName>
    <definedName name="salary_months">#REF!</definedName>
    <definedName name="salary_months_C">#REF!</definedName>
    <definedName name="salary_months2">#REF!</definedName>
    <definedName name="salary_months3">#REF!</definedName>
    <definedName name="salary_months4">#REF!</definedName>
    <definedName name="salary_months5">#REF!</definedName>
    <definedName name="Salary_Third.N">#REF!</definedName>
    <definedName name="salaryinhouse">#REF!</definedName>
    <definedName name="salaryoutsourced">#REF!</definedName>
    <definedName name="salballies" localSheetId="3">#REF!</definedName>
    <definedName name="salballies">#REF!</definedName>
    <definedName name="SalesFactor" localSheetId="3">#REF!</definedName>
    <definedName name="SalesFactor">#REF!</definedName>
    <definedName name="SalesFactor_1" localSheetId="3">#REF!</definedName>
    <definedName name="SalesFactor_1">#REF!</definedName>
    <definedName name="SalesFactor_17">#REF!</definedName>
    <definedName name="SalesFactor_2">#REF!</definedName>
    <definedName name="SalesFactor_6">#REF!</definedName>
    <definedName name="Samc">#REF!</definedName>
    <definedName name="Sams">#REF!</definedName>
    <definedName name="Sand">#REF!</definedName>
    <definedName name="sanddust">#REF!</definedName>
    <definedName name="sandf" localSheetId="3">#REF!</definedName>
    <definedName name="sandf">#REF!</definedName>
    <definedName name="SandI_Mobi_Mth" localSheetId="3">#REF!</definedName>
    <definedName name="SandI_Mobi_Mth">#REF!</definedName>
    <definedName name="SandI_Mth" localSheetId="3">#REF!</definedName>
    <definedName name="SandI_Mth">#REF!</definedName>
    <definedName name="sandm">#REF!</definedName>
    <definedName name="SAR">#REF!</definedName>
    <definedName name="SAREA">#REF!</definedName>
    <definedName name="SAREA_">#REF!</definedName>
    <definedName name="sarea1">#REF!</definedName>
    <definedName name="sarita">#REF!</definedName>
    <definedName name="SAS">#REF!</definedName>
    <definedName name="Satya">#REF!</definedName>
    <definedName name="SB">#REF!</definedName>
    <definedName name="sc" localSheetId="3">#REF!</definedName>
    <definedName name="sc">#REF!</definedName>
    <definedName name="SC_Ave" localSheetId="3">#REF!</definedName>
    <definedName name="SC_Ave">#REF!</definedName>
    <definedName name="SC_Mobi_Mth" localSheetId="3">#REF!</definedName>
    <definedName name="SC_Mobi_Mth">#REF!</definedName>
    <definedName name="SC_MP_Peak">#REF!</definedName>
    <definedName name="SC_Mth">#REF!</definedName>
    <definedName name="scada">#REF!</definedName>
    <definedName name="Scaffolding" localSheetId="3" hidden="1">{"'Break down'!$A$4"}</definedName>
    <definedName name="Scaffolding" hidden="1">{"'Break down'!$A$4"}</definedName>
    <definedName name="scale">#REF!</definedName>
    <definedName name="scaleupfactor">#REF!</definedName>
    <definedName name="scbc" localSheetId="3">#REF!</definedName>
    <definedName name="scbc">#REF!</definedName>
    <definedName name="scc" localSheetId="3">#REF!</definedName>
    <definedName name="scc">#REF!</definedName>
    <definedName name="scd" localSheetId="3">#REF!</definedName>
    <definedName name="scd">#REF!</definedName>
    <definedName name="scda" localSheetId="3">#REF!</definedName>
    <definedName name="scda">#REF!</definedName>
    <definedName name="scdam" localSheetId="3">#REF!</definedName>
    <definedName name="scdam">#REF!</definedName>
    <definedName name="scf">#REF!</definedName>
    <definedName name="Sched_Pay">#REF!</definedName>
    <definedName name="Scheduled_Extra_Payments">#REF!</definedName>
    <definedName name="Scheduled_Interest_Rate">#REF!</definedName>
    <definedName name="Scheduled_Monthly_Payment">#REF!</definedName>
    <definedName name="SchList">#REF!</definedName>
    <definedName name="SCHrs1">#N/A</definedName>
    <definedName name="SCIENCE">#REF!</definedName>
    <definedName name="scraper">#REF!</definedName>
    <definedName name="screening">#REF!</definedName>
    <definedName name="SD" hidden="1">#REF!</definedName>
    <definedName name="sd3p">#REF!</definedName>
    <definedName name="sdaad" localSheetId="3">#REF!</definedName>
    <definedName name="sdaad">#REF!</definedName>
    <definedName name="sdadsa" localSheetId="3">#REF!</definedName>
    <definedName name="sdadsa">#REF!</definedName>
    <definedName name="sdasdasdas" localSheetId="3">#REF!</definedName>
    <definedName name="sdasdasdas">#REF!</definedName>
    <definedName name="Sdate" localSheetId="3">#REF!</definedName>
    <definedName name="Sdate">#REF!</definedName>
    <definedName name="sdcacarriagetfc1a" localSheetId="3">#REF!</definedName>
    <definedName name="sdcacarriagetfc1a">#REF!</definedName>
    <definedName name="sdcacarriagetfc1b" localSheetId="3">#REF!</definedName>
    <definedName name="sdcacarriagetfc1b">#REF!</definedName>
    <definedName name="sdcacarriagetfc2" localSheetId="3">#REF!</definedName>
    <definedName name="sdcacarriagetfc2">#REF!</definedName>
    <definedName name="sde" localSheetId="3">#REF!</definedName>
    <definedName name="sde">#REF!</definedName>
    <definedName name="sdfg" localSheetId="3" hidden="1">#REF!</definedName>
    <definedName name="sdfg" hidden="1">#REF!</definedName>
    <definedName name="sdfsfsf" localSheetId="3">#REF!</definedName>
    <definedName name="sdfsfsf">#REF!</definedName>
    <definedName name="sdghkcd" localSheetId="3">#REF!</definedName>
    <definedName name="sdghkcd">#REF!</definedName>
    <definedName name="sdghkcd_10" localSheetId="3">#REF!</definedName>
    <definedName name="sdghkcd_10">#REF!</definedName>
    <definedName name="sdghkcd_11">#REF!</definedName>
    <definedName name="sdghkcd_16">#REF!</definedName>
    <definedName name="sdghkcd_8">#REF!</definedName>
    <definedName name="sdhjaksdhsjakhdakjs" localSheetId="3">#REF!</definedName>
    <definedName name="sdhjaksdhsjakhdakjs">#REF!</definedName>
    <definedName name="sdkjakfej" localSheetId="3">#REF!</definedName>
    <definedName name="sdkjakfej">#REF!</definedName>
    <definedName name="sdl" localSheetId="3">#REF!</definedName>
    <definedName name="sdl">#REF!</definedName>
    <definedName name="sdlcg" localSheetId="3">#REF!</definedName>
    <definedName name="sdlcg">#REF!</definedName>
    <definedName name="SDMONG" localSheetId="3">#REF!</definedName>
    <definedName name="SDMONG">#REF!</definedName>
    <definedName name="sdsf">#REF!</definedName>
    <definedName name="sdssdsd">#REF!</definedName>
    <definedName name="SEC">#REF!</definedName>
    <definedName name="SEC___0">#REF!</definedName>
    <definedName name="SEC___0___0">"$#REF!.$#REF!$#REF!:$#REF!$#REF!"</definedName>
    <definedName name="SEC___0___3">"$#REF!.$#REF!$#REF!:$#REF!$#REF!"</definedName>
    <definedName name="SEC___0___4">"$#REF!.$#REF!$#REF!:$#REF!$#REF!"</definedName>
    <definedName name="SEC___0_1">#REF!</definedName>
    <definedName name="SEC___0_10">#REF!</definedName>
    <definedName name="SEC___0_11">#REF!</definedName>
    <definedName name="SEC___0_16">#REF!</definedName>
    <definedName name="SEC___0_17">#REF!</definedName>
    <definedName name="SEC___0_8">#REF!</definedName>
    <definedName name="SEC___2">#REF!</definedName>
    <definedName name="SEC___2___0">"$#REF!.$#REF!$#REF!:$#REF!$#REF!"</definedName>
    <definedName name="SEC___2___3">"$#REF!.$#REF!$#REF!:$#REF!$#REF!"</definedName>
    <definedName name="SEC___2_1">#REF!</definedName>
    <definedName name="SEC___2_10">#REF!</definedName>
    <definedName name="SEC___2_11">#REF!</definedName>
    <definedName name="SEC___2_16">#REF!</definedName>
    <definedName name="SEC___2_17">#REF!</definedName>
    <definedName name="SEC___2_8">#REF!</definedName>
    <definedName name="SEC___3">#REF!</definedName>
    <definedName name="SEC___3___0">"$#REF!.$#REF!$#REF!:$#REF!$#REF!"</definedName>
    <definedName name="SEC___3___3">"$#REF!.$#REF!$#REF!:$#REF!$#REF!"</definedName>
    <definedName name="SEC___3___4">"$#REF!.$#REF!$#REF!:$#REF!$#REF!"</definedName>
    <definedName name="SEC___3_1">#REF!</definedName>
    <definedName name="SEC___3_10">#REF!</definedName>
    <definedName name="SEC___3_11">#REF!</definedName>
    <definedName name="SEC___3_16">#REF!</definedName>
    <definedName name="SEC___3_17">#REF!</definedName>
    <definedName name="SEC___3_8">#REF!</definedName>
    <definedName name="SEC___4">#REF!</definedName>
    <definedName name="SEC___4___0">"$#REF!.$#REF!$#REF!:$#REF!$#REF!"</definedName>
    <definedName name="SEC___4___3">"$#REF!.$#REF!$#REF!:$#REF!$#REF!"</definedName>
    <definedName name="SEC___4_1">#REF!</definedName>
    <definedName name="SEC___4_10">#REF!</definedName>
    <definedName name="SEC___4_11">#REF!</definedName>
    <definedName name="SEC___4_16">#REF!</definedName>
    <definedName name="SEC___4_17">#REF!</definedName>
    <definedName name="SEC___4_8">#REF!</definedName>
    <definedName name="SEC___7">"$#REF!.$#REF!$#REF!:$#REF!$#REF!"</definedName>
    <definedName name="SEC_1">#REF!</definedName>
    <definedName name="SEC_10">#REF!</definedName>
    <definedName name="SEC_11">#REF!</definedName>
    <definedName name="SEC_12">#REF!</definedName>
    <definedName name="SEC_16">#REF!</definedName>
    <definedName name="SEC_17">#REF!</definedName>
    <definedName name="SEC_2">"$#REF!.$#REF!$#REF!:$#REF!$#REF!"</definedName>
    <definedName name="SEC_3">#REF!</definedName>
    <definedName name="SEC_4">#REF!</definedName>
    <definedName name="SEC_5">#REF!</definedName>
    <definedName name="SEC_6">#REF!</definedName>
    <definedName name="SEC_7">#REF!</definedName>
    <definedName name="SEC_8">#REF!</definedName>
    <definedName name="SEC_9">#REF!</definedName>
    <definedName name="SECTION">#REF!</definedName>
    <definedName name="seiscg">#REF!</definedName>
    <definedName name="seisfor">#REF!</definedName>
    <definedName name="seishcof">#REF!</definedName>
    <definedName name="SEK" localSheetId="3">#REF!</definedName>
    <definedName name="SEK">#REF!</definedName>
    <definedName name="selling_price">#REF!</definedName>
    <definedName name="selling_price_C">#REF!</definedName>
    <definedName name="selling_price2">#REF!</definedName>
    <definedName name="selling_price3">#REF!</definedName>
    <definedName name="selling_price4">#REF!</definedName>
    <definedName name="selling_price5">#REF!</definedName>
    <definedName name="semfc" localSheetId="3">#REF!</definedName>
    <definedName name="semfc">#REF!</definedName>
    <definedName name="semi1" localSheetId="3">#REF!</definedName>
    <definedName name="semi1">#REF!</definedName>
    <definedName name="semi2">#REF!</definedName>
    <definedName name="semic">#REF!</definedName>
    <definedName name="sencount" hidden="1">1</definedName>
    <definedName name="senserpaver">#REF!</definedName>
    <definedName name="senthil">#REF!</definedName>
    <definedName name="ServerName">#REF!</definedName>
    <definedName name="SERVICE">#REF!</definedName>
    <definedName name="Service_Road">#REF!</definedName>
    <definedName name="setmnt">#REF!</definedName>
    <definedName name="setval1">#REF!</definedName>
    <definedName name="setvalue">#REF!</definedName>
    <definedName name="setvalue1">#REF!</definedName>
    <definedName name="Sf">#REF!</definedName>
    <definedName name="SFA">#REF!</definedName>
    <definedName name="sfab">#REF!</definedName>
    <definedName name="SFB">#REF!</definedName>
    <definedName name="SFC">#REF!</definedName>
    <definedName name="sfM">#REF!</definedName>
    <definedName name="sfpr">#REF!</definedName>
    <definedName name="SG">#REF!</definedName>
    <definedName name="SGD">#REF!</definedName>
    <definedName name="SGDSGD" localSheetId="3">#REF! = Address</definedName>
    <definedName name="SGDSGD" localSheetId="11">#REF! = Address</definedName>
    <definedName name="SGDSGD">#REF! = Address</definedName>
    <definedName name="sgnc">#REF!</definedName>
    <definedName name="Sgrade">#REF!</definedName>
    <definedName name="sgvl">#REF!</definedName>
    <definedName name="SGx" localSheetId="3">#REF!</definedName>
    <definedName name="SGx">#REF!</definedName>
    <definedName name="sh" localSheetId="3">#REF!</definedName>
    <definedName name="sh">#REF!</definedName>
    <definedName name="ShadeGlass" localSheetId="3">#REF!</definedName>
    <definedName name="ShadeGlass">#REF!</definedName>
    <definedName name="ShadeGlassMenu">#REF!</definedName>
    <definedName name="shaji">#REF!</definedName>
    <definedName name="shaji_1">#REF!</definedName>
    <definedName name="shaji_10">#REF!</definedName>
    <definedName name="shaji_11">#REF!</definedName>
    <definedName name="shaji_16">#REF!</definedName>
    <definedName name="shaji_8">#REF!</definedName>
    <definedName name="SHEET">#REF!</definedName>
    <definedName name="Sheet_Pile">#REF!</definedName>
    <definedName name="SHEET1">#REF!</definedName>
    <definedName name="sheet10">#REF!</definedName>
    <definedName name="sheet11">#REF!</definedName>
    <definedName name="sheet12" localSheetId="3">#REF!</definedName>
    <definedName name="sheet12">#REF!</definedName>
    <definedName name="sheet13" localSheetId="3">#REF!</definedName>
    <definedName name="sheet13">#REF!</definedName>
    <definedName name="sheet14" localSheetId="3">#REF!</definedName>
    <definedName name="sheet14">#REF!</definedName>
    <definedName name="sheet15">#REF!</definedName>
    <definedName name="sheet16">#REF!</definedName>
    <definedName name="sheet17" localSheetId="3">#REF!</definedName>
    <definedName name="sheet17">#REF!</definedName>
    <definedName name="sheet18" localSheetId="3">#REF!</definedName>
    <definedName name="sheet18">#REF!</definedName>
    <definedName name="sheet19" localSheetId="3">#REF!</definedName>
    <definedName name="sheet19">#REF!</definedName>
    <definedName name="sheet2">#REF!</definedName>
    <definedName name="sheet3" localSheetId="3">#REF!</definedName>
    <definedName name="sheet3">#REF!</definedName>
    <definedName name="sheet4">#REF!</definedName>
    <definedName name="sheet5">#REF!</definedName>
    <definedName name="sheet6" localSheetId="3">#REF!</definedName>
    <definedName name="sheet6">#REF!</definedName>
    <definedName name="sheet7" localSheetId="3">#REF!</definedName>
    <definedName name="sheet7">#REF!</definedName>
    <definedName name="sheet8">#REF!</definedName>
    <definedName name="sheet9">#REF!</definedName>
    <definedName name="shelf_1_fixed">#REF!</definedName>
    <definedName name="shelf_1A_var">#REF!</definedName>
    <definedName name="shelf_1B_fixed">#REF!</definedName>
    <definedName name="shelf_1B_var">#REF!</definedName>
    <definedName name="shelf_1C_fixed">#REF!</definedName>
    <definedName name="shelf_1C_var">#REF!</definedName>
    <definedName name="shelf_1D_fixed">#REF!</definedName>
    <definedName name="shelf_1D_var">#REF!</definedName>
    <definedName name="shelf_1E_fixed">#REF!</definedName>
    <definedName name="shelf_1E_var">#REF!</definedName>
    <definedName name="shelf_IIA_fixed">#REF!</definedName>
    <definedName name="shelf_IIIA_fixed">#REF!</definedName>
    <definedName name="shelf_IIIA_var">#REF!</definedName>
    <definedName name="shelf_IIIB_fixed">#REF!</definedName>
    <definedName name="shelf_IIIB_var">#REF!</definedName>
    <definedName name="shelf_IIIC_fixed">#REF!</definedName>
    <definedName name="shelf_IIIC_var">#REF!</definedName>
    <definedName name="shelf_IIID_fixed">#REF!</definedName>
    <definedName name="shelf_IIID_var">#REF!</definedName>
    <definedName name="shelf_IIIE_fixed">#REF!</definedName>
    <definedName name="shelf_IIIE_var">#REF!</definedName>
    <definedName name="shelf_IVA_fixed">#REF!</definedName>
    <definedName name="shelf_IVA_var">#REF!</definedName>
    <definedName name="shelf_IVB_fixed">#REF!</definedName>
    <definedName name="shelf_IVB_var">#REF!</definedName>
    <definedName name="shelf_IVC_fixed">#REF!</definedName>
    <definedName name="shelf_IVC_var">#REF!</definedName>
    <definedName name="shelf_IVD_fixed">#REF!</definedName>
    <definedName name="shelf_IVD_var">#REF!</definedName>
    <definedName name="shelf_IVE_fixed">#REF!</definedName>
    <definedName name="shelf_IVE_var">#REF!</definedName>
    <definedName name="SHLRepayError">#REF!</definedName>
    <definedName name="short" localSheetId="3" hidden="1">{#N/A,#N/A,FALSE,"COVER1.XLS ";#N/A,#N/A,FALSE,"RACT1.XLS";#N/A,#N/A,FALSE,"RACT2.XLS";#N/A,#N/A,FALSE,"ECCMP";#N/A,#N/A,FALSE,"WELDER.XLS"}</definedName>
    <definedName name="short" hidden="1">{#N/A,#N/A,FALSE,"COVER1.XLS ";#N/A,#N/A,FALSE,"RACT1.XLS";#N/A,#N/A,FALSE,"RACT2.XLS";#N/A,#N/A,FALSE,"ECCMP";#N/A,#N/A,FALSE,"WELDER.XLS"}</definedName>
    <definedName name="SHORTCODE1">#REF!</definedName>
    <definedName name="shpe">#REF!</definedName>
    <definedName name="shrinf">#REF!</definedName>
    <definedName name="sht">#REF!</definedName>
    <definedName name="sht3p">#REF!</definedName>
    <definedName name="shutteringtimber" localSheetId="3">#REF!</definedName>
    <definedName name="shutteringtimber">#REF!</definedName>
    <definedName name="sia" localSheetId="3">#REF!</definedName>
    <definedName name="sia">#REF!</definedName>
    <definedName name="sidewalk" localSheetId="3">#REF!</definedName>
    <definedName name="sidewalk">#REF!</definedName>
    <definedName name="sigma0.2">#REF!</definedName>
    <definedName name="sigmab">#REF!</definedName>
    <definedName name="sigmah">#REF!</definedName>
    <definedName name="sigmat">#REF!</definedName>
    <definedName name="Signage">#REF!</definedName>
    <definedName name="sim" localSheetId="3">#REF!</definedName>
    <definedName name="sim">#REF!</definedName>
    <definedName name="Sim1_FirstRow" localSheetId="3">#REF!</definedName>
    <definedName name="Sim1_FirstRow">#REF!</definedName>
    <definedName name="Sim1_LastRow" localSheetId="3">#REF!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mab">#REF!</definedName>
    <definedName name="simpr">#REF!</definedName>
    <definedName name="SITE__WORKS">#REF!</definedName>
    <definedName name="Site_Bldg_Temp_Cost_FC" localSheetId="3">#REF!</definedName>
    <definedName name="Site_Bldg_Temp_Cost_FC">#REF!</definedName>
    <definedName name="Site_Investigation_report" localSheetId="3">#REF!</definedName>
    <definedName name="Site_Investigation_report">#REF!</definedName>
    <definedName name="Site_only" localSheetId="3">#REF!</definedName>
    <definedName name="Site_only">#REF!</definedName>
    <definedName name="Site_Temp_Bldg_Cost_FC">#REF!</definedName>
    <definedName name="Site_Temp_Bldg_Cost_LC">#REF!</definedName>
    <definedName name="Site_Temp_Bldg_M2">#REF!</definedName>
    <definedName name="SiteExpatriatePercentage">#REF!</definedName>
    <definedName name="SiteHour">#REF!</definedName>
    <definedName name="SiteHourMonth">#REF!</definedName>
    <definedName name="SiteHVEPercentage">#REF!</definedName>
    <definedName name="SiteLocalPercentage">#REF!</definedName>
    <definedName name="SiteRateMonth">#REF!</definedName>
    <definedName name="siya">#REF!</definedName>
    <definedName name="size" localSheetId="3">#REF!</definedName>
    <definedName name="size">#REF!</definedName>
    <definedName name="SIZE2" localSheetId="3">#REF!</definedName>
    <definedName name="SIZE2">#REF!</definedName>
    <definedName name="SIZE3" localSheetId="3">#REF!</definedName>
    <definedName name="SIZE3">#REF!</definedName>
    <definedName name="SIZE4" localSheetId="3">#REF!</definedName>
    <definedName name="SIZE4">#REF!</definedName>
    <definedName name="SIZEC">#REF!</definedName>
    <definedName name="SK">#REF!</definedName>
    <definedName name="Skew">#REF!</definedName>
    <definedName name="skilldresser">#REF!</definedName>
    <definedName name="skilledmazdoor">#REF!</definedName>
    <definedName name="skillmazdoor">#REF!</definedName>
    <definedName name="SL" localSheetId="3">#REF!</definedName>
    <definedName name="SL">#REF!</definedName>
    <definedName name="SL_CRD" localSheetId="3">#REF!</definedName>
    <definedName name="SL_CRD">#REF!</definedName>
    <definedName name="SL_CRS" localSheetId="3">#REF!</definedName>
    <definedName name="SL_CRS">#REF!</definedName>
    <definedName name="SL_CS">#REF!</definedName>
    <definedName name="SL_DD">#REF!</definedName>
    <definedName name="slab">#REF!</definedName>
    <definedName name="slab_p" localSheetId="3" hidden="1">{"form-D1",#N/A,FALSE,"FORM-D1";"form-D1_amt",#N/A,FALSE,"FORM-D1"}</definedName>
    <definedName name="slab_p" hidden="1">{"form-D1",#N/A,FALSE,"FORM-D1";"form-D1_amt",#N/A,FALSE,"FORM-D1"}</definedName>
    <definedName name="slab20">#REF!</definedName>
    <definedName name="slab21">#REF!</definedName>
    <definedName name="slab8">#REF!</definedName>
    <definedName name="SlabD">#REF!</definedName>
    <definedName name="Slabs">#REF!</definedName>
    <definedName name="SLABTHK1">#REF!</definedName>
    <definedName name="SLABTHK2">#REF!</definedName>
    <definedName name="SLABTHK3">#REF!</definedName>
    <definedName name="slmadditionalhead1" localSheetId="3">#REF!</definedName>
    <definedName name="slmadditionalhead1">#REF!</definedName>
    <definedName name="slmadditionalhead2" localSheetId="3">#REF!</definedName>
    <definedName name="slmadditionalhead2">#REF!</definedName>
    <definedName name="slmcivil" localSheetId="3">#REF!</definedName>
    <definedName name="slmcivil">#REF!</definedName>
    <definedName name="slmduct">#REF!</definedName>
    <definedName name="slmelectro">#REF!</definedName>
    <definedName name="slmutilities">#REF!</definedName>
    <definedName name="slope">#REF!</definedName>
    <definedName name="slope_">#REF!</definedName>
    <definedName name="slotreq_LEMU6">#REF!</definedName>
    <definedName name="slotreq_LESA8">#REF!</definedName>
    <definedName name="slotreq_LOMIF">#REF!</definedName>
    <definedName name="slotreq_PCONV">#REF!</definedName>
    <definedName name="slotreq_PHLC30">#REF!</definedName>
    <definedName name="slotreq_PHLC60">#REF!</definedName>
    <definedName name="sm">#REF!</definedName>
    <definedName name="SMLTOOLS" localSheetId="3">#REF!</definedName>
    <definedName name="SMLTOOLS">#REF!</definedName>
    <definedName name="sms" localSheetId="3">#REF!</definedName>
    <definedName name="sms">#REF!</definedName>
    <definedName name="smu" localSheetId="3">#REF!</definedName>
    <definedName name="smu">#REF!</definedName>
    <definedName name="Snr_exe_No.">#REF!</definedName>
    <definedName name="Snr_exe_No._C">#REF!</definedName>
    <definedName name="Snr_exe_No.2">#REF!</definedName>
    <definedName name="Snr_exe_No.3">#REF!</definedName>
    <definedName name="Snr_exe_No.4">#REF!</definedName>
    <definedName name="Snr_exe_No.5">#REF!</definedName>
    <definedName name="Snr_exe_rate">#REF!</definedName>
    <definedName name="Snr_exe_rate_C">#REF!</definedName>
    <definedName name="Snr_exe_rate2">#REF!</definedName>
    <definedName name="Snr_exe_rate3">#REF!</definedName>
    <definedName name="Snr_exe_rate4">#REF!</definedName>
    <definedName name="Snr_exe_rate5">#REF!</definedName>
    <definedName name="soc3p">#REF!</definedName>
    <definedName name="SOCGENCalculated">#REF!</definedName>
    <definedName name="SOCGENPasted">#REF!</definedName>
    <definedName name="Socket63A5PExd">#REF!</definedName>
    <definedName name="soffitl">#REF!</definedName>
    <definedName name="soilht">#REF!</definedName>
    <definedName name="SOL">#REF!</definedName>
    <definedName name="SolarFactors">#REF!</definedName>
    <definedName name="soling">#REF!</definedName>
    <definedName name="SORT">#REF!</definedName>
    <definedName name="SORT_AREA">#REF!</definedName>
    <definedName name="sourceF" localSheetId="3">#REF!</definedName>
    <definedName name="sourceF">#REF!</definedName>
    <definedName name="SourceV" localSheetId="3">#REF!</definedName>
    <definedName name="SourceV">#REF!</definedName>
    <definedName name="sp" localSheetId="3">#REF!</definedName>
    <definedName name="sp">#REF!</definedName>
    <definedName name="SpacerBase1x89">#REF!</definedName>
    <definedName name="SpacerBase2x89">#REF!</definedName>
    <definedName name="SpacerInt1x89">#REF!</definedName>
    <definedName name="SpacerInt2x89">#REF!</definedName>
    <definedName name="spacing">#REF!</definedName>
    <definedName name="spacingL">#REF!</definedName>
    <definedName name="SPAN">#REF!</definedName>
    <definedName name="span1" localSheetId="3">#REF!</definedName>
    <definedName name="span1">#REF!</definedName>
    <definedName name="span2" localSheetId="3">#REF!</definedName>
    <definedName name="span2">#REF!</definedName>
    <definedName name="SpBarge" localSheetId="3">#REF!</definedName>
    <definedName name="SpBarge">#REF!</definedName>
    <definedName name="spcon">#REF!</definedName>
    <definedName name="spk">#REF!</definedName>
    <definedName name="spk1p">#REF!</definedName>
    <definedName name="spk3p">#REF!</definedName>
    <definedName name="Spmg">#REF!</definedName>
    <definedName name="Sprack" localSheetId="3">#REF!</definedName>
    <definedName name="Sprack">#REF!</definedName>
    <definedName name="sprayer" localSheetId="3">#REF!</definedName>
    <definedName name="sprayer">#REF!</definedName>
    <definedName name="Spv" localSheetId="3">#REF!</definedName>
    <definedName name="Spv">#REF!</definedName>
    <definedName name="SQRT__1___0.6___1.0" localSheetId="3">#REF!</definedName>
    <definedName name="SQRT__1___0.6___1.0">#REF!</definedName>
    <definedName name="sqx" localSheetId="3">#REF!</definedName>
    <definedName name="sqx">#REF!</definedName>
    <definedName name="sqy" localSheetId="3">#REF!</definedName>
    <definedName name="sqy">#REF!</definedName>
    <definedName name="SR">#REF!</definedName>
    <definedName name="SRB" localSheetId="3" hidden="1">{"'Sheet1'!$A$4386:$N$4591"}</definedName>
    <definedName name="SRB" hidden="1">{"'Sheet1'!$A$4386:$N$4591"}</definedName>
    <definedName name="srf">#REF!</definedName>
    <definedName name="srh">#REF!</definedName>
    <definedName name="SRI">#REF!</definedName>
    <definedName name="ss">#REF!</definedName>
    <definedName name="SS400_401" localSheetId="3">#REF!</definedName>
    <definedName name="SS400_401">#REF!</definedName>
    <definedName name="ss401_404" localSheetId="3">#REF!</definedName>
    <definedName name="ss401_404">#REF!</definedName>
    <definedName name="ss405_408" localSheetId="3">#REF!</definedName>
    <definedName name="ss405_408">#REF!</definedName>
    <definedName name="SS421_422">#REF!</definedName>
    <definedName name="ss421_424">#REF!</definedName>
    <definedName name="ssa">#REF!</definedName>
    <definedName name="ssafsdg">#REF!</definedName>
    <definedName name="sslab" localSheetId="3">#REF!</definedName>
    <definedName name="sslab">#REF!</definedName>
    <definedName name="Ssm">#REF!</definedName>
    <definedName name="sspan" localSheetId="3">#REF!</definedName>
    <definedName name="sspan">#REF!</definedName>
    <definedName name="sss">#REF!</definedName>
    <definedName name="SSSS">#REF!</definedName>
    <definedName name="sssss" localSheetId="3">#REF!</definedName>
    <definedName name="sssss">#REF!</definedName>
    <definedName name="SSSSSS" localSheetId="3">#REF!</definedName>
    <definedName name="SSSSSS">#REF!</definedName>
    <definedName name="ssssssssssss" localSheetId="3">#REF!</definedName>
    <definedName name="ssssssssssss">#REF!</definedName>
    <definedName name="Sst">#REF!</definedName>
    <definedName name="ssv"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v"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t">#REF!</definedName>
    <definedName name="st1_" localSheetId="3">#REF!</definedName>
    <definedName name="st1_">#REF!</definedName>
    <definedName name="st3p" localSheetId="3">#REF!</definedName>
    <definedName name="st3p">#REF!</definedName>
    <definedName name="st4_" localSheetId="3">#REF!</definedName>
    <definedName name="st4_">#REF!</definedName>
    <definedName name="st5_" localSheetId="3">#REF!</definedName>
    <definedName name="st5_">#REF!</definedName>
    <definedName name="STAFF" localSheetId="3">#REF!</definedName>
    <definedName name="STAFF">#REF!</definedName>
    <definedName name="Staff_and_IDL_Ave">#REF!</definedName>
    <definedName name="Staff_Total_Cost_FC">#REF!</definedName>
    <definedName name="Staff_Total_Cost_LC">#REF!</definedName>
    <definedName name="Staff_Total_MM">#REF!</definedName>
    <definedName name="Stage">#REF!</definedName>
    <definedName name="Staircase" localSheetId="3">#REF!</definedName>
    <definedName name="Staircase">#REF!</definedName>
    <definedName name="Staircase2" localSheetId="3">#REF!</definedName>
    <definedName name="Staircase2">#REF!</definedName>
    <definedName name="STAIRS" localSheetId="3">#REF!</definedName>
    <definedName name="STAIRS">#REF!</definedName>
    <definedName name="start" localSheetId="3">#REF!</definedName>
    <definedName name="start">#REF!</definedName>
    <definedName name="StartTime" localSheetId="3">#REF!</definedName>
    <definedName name="StartTime">#REF!</definedName>
    <definedName name="staticpaver" localSheetId="3">#REF!</definedName>
    <definedName name="staticpaver">#REF!</definedName>
    <definedName name="STATUS">#REF!</definedName>
    <definedName name="stc">#REF!</definedName>
    <definedName name="STD" localSheetId="3">#REF!</definedName>
    <definedName name="STD">#REF!</definedName>
    <definedName name="steam_trap" localSheetId="3">#REF!</definedName>
    <definedName name="steam_trap">#REF!</definedName>
    <definedName name="steel" localSheetId="3">#REF!</definedName>
    <definedName name="steel">#REF!</definedName>
    <definedName name="steelbars">#REF!</definedName>
    <definedName name="steelrod">#REF!</definedName>
    <definedName name="steelstrands">#REF!</definedName>
    <definedName name="steelwire">#REF!</definedName>
    <definedName name="steelwires">#REF!</definedName>
    <definedName name="steelwires1">#REF!</definedName>
    <definedName name="stl" localSheetId="3">#REF!</definedName>
    <definedName name="stl">#REF!</definedName>
    <definedName name="stonebreaker" localSheetId="3">#REF!</definedName>
    <definedName name="stonebreaker">#REF!</definedName>
    <definedName name="stonedust">#REF!</definedName>
    <definedName name="STONEMAS" localSheetId="3">#REF!</definedName>
    <definedName name="STONEMAS">#REF!</definedName>
    <definedName name="Story_Basement" localSheetId="3">#REF!</definedName>
    <definedName name="Story_Basement">#REF!</definedName>
    <definedName name="Story_Podium" localSheetId="3">#REF!</definedName>
    <definedName name="Story_Podium">#REF!</definedName>
    <definedName name="Story_Tower">#REF!</definedName>
    <definedName name="stp">#REF!</definedName>
    <definedName name="STR" localSheetId="3">#REF!</definedName>
    <definedName name="STR">#REF!</definedName>
    <definedName name="strands" localSheetId="3">#REF!</definedName>
    <definedName name="strands">#REF!</definedName>
    <definedName name="stress" localSheetId="3">#REF!</definedName>
    <definedName name="stress">#REF!</definedName>
    <definedName name="stri1">#REF!</definedName>
    <definedName name="stri2">#REF!</definedName>
    <definedName name="StrID">#REF!</definedName>
    <definedName name="string">#REF!</definedName>
    <definedName name="STRIP">#REF!</definedName>
    <definedName name="STRIPSIZE">#REF!</definedName>
    <definedName name="strthk">#REF!</definedName>
    <definedName name="STRUCT">#REF!</definedName>
    <definedName name="structuralsteel">#REF!</definedName>
    <definedName name="Structure">#REF!</definedName>
    <definedName name="Strut">#REF!</definedName>
    <definedName name="sts">#REF!</definedName>
    <definedName name="sub" localSheetId="3">#REF!</definedName>
    <definedName name="sub">#REF!</definedName>
    <definedName name="Subbasedism" localSheetId="3">#REF!</definedName>
    <definedName name="Subbasedism">#REF!</definedName>
    <definedName name="subcg" localSheetId="3">#REF!</definedName>
    <definedName name="subcg">#REF!</definedName>
    <definedName name="SubconHour" localSheetId="3">#REF!</definedName>
    <definedName name="SubconHour">#REF!</definedName>
    <definedName name="SubconRateMonth" localSheetId="3">#REF!</definedName>
    <definedName name="SubconRateMonth">#REF!</definedName>
    <definedName name="SubCont" localSheetId="3">#REF!</definedName>
    <definedName name="SubCont">#REF!</definedName>
    <definedName name="Subject" localSheetId="3">#REF!</definedName>
    <definedName name="Subject">#REF!</definedName>
    <definedName name="subs" localSheetId="3">#REF!</definedName>
    <definedName name="subs">#REF!</definedName>
    <definedName name="subs4" localSheetId="3">#REF!</definedName>
    <definedName name="subs4">#REF!</definedName>
    <definedName name="subs4a">#REF!</definedName>
    <definedName name="SUBSTN_LST">#REF!</definedName>
    <definedName name="SUBSTRUCTIRE">#REF!</definedName>
    <definedName name="substructure">#REF!</definedName>
    <definedName name="succ" localSheetId="3" hidden="1">{#N/A,#N/A,FALSE,"COVER1.XLS ";#N/A,#N/A,FALSE,"RACT1.XLS";#N/A,#N/A,FALSE,"RACT2.XLS";#N/A,#N/A,FALSE,"ECCMP";#N/A,#N/A,FALSE,"WELDER.XLS"}</definedName>
    <definedName name="succ" hidden="1">{#N/A,#N/A,FALSE,"COVER1.XLS ";#N/A,#N/A,FALSE,"RACT1.XLS";#N/A,#N/A,FALSE,"RACT2.XLS";#N/A,#N/A,FALSE,"ECCMP";#N/A,#N/A,FALSE,"WELDER.XLS"}</definedName>
    <definedName name="SUM" localSheetId="3">#REF!,#REF!</definedName>
    <definedName name="SUM">#REF!,#REF!</definedName>
    <definedName name="SUM___0" localSheetId="3">#REF!</definedName>
    <definedName name="SUM___0">#REF!</definedName>
    <definedName name="SUM___0___0">"$#REF!.$#REF!$#REF!:$#REF!$#REF!"</definedName>
    <definedName name="SUM___0___3">"$#REF!.$#REF!$#REF!:$#REF!$#REF!"</definedName>
    <definedName name="SUM___0___4">"$#REF!.$#REF!$#REF!:$#REF!$#REF!"</definedName>
    <definedName name="SUM___0_1">#REF!</definedName>
    <definedName name="SUM___0_10">#REF!</definedName>
    <definedName name="SUM___0_11">#REF!</definedName>
    <definedName name="SUM___0_16">#REF!</definedName>
    <definedName name="SUM___0_17">#REF!</definedName>
    <definedName name="SUM___0_8">#REF!</definedName>
    <definedName name="SUM___2">#REF!</definedName>
    <definedName name="SUM___2___0">"$#REF!.$#REF!$#REF!:$#REF!$#REF!"</definedName>
    <definedName name="SUM___2___3">"$#REF!.$#REF!$#REF!:$#REF!$#REF!"</definedName>
    <definedName name="SUM___2_1">#REF!</definedName>
    <definedName name="SUM___2_10">#REF!</definedName>
    <definedName name="SUM___2_11">#REF!</definedName>
    <definedName name="SUM___2_16">#REF!</definedName>
    <definedName name="SUM___2_17">#REF!</definedName>
    <definedName name="SUM___2_8">#REF!</definedName>
    <definedName name="SUM___3">#REF!</definedName>
    <definedName name="SUM___3___0">"$#REF!.$#REF!$#REF!:$#REF!$#REF!"</definedName>
    <definedName name="SUM___3___3">"$#REF!.$#REF!$#REF!:$#REF!$#REF!"</definedName>
    <definedName name="SUM___3___4">"$#REF!.$#REF!$#REF!:$#REF!$#REF!"</definedName>
    <definedName name="SUM___3_1">#REF!</definedName>
    <definedName name="SUM___3_10">#REF!</definedName>
    <definedName name="SUM___3_11">#REF!</definedName>
    <definedName name="SUM___3_16">#REF!</definedName>
    <definedName name="SUM___3_17">#REF!</definedName>
    <definedName name="SUM___3_8">#REF!</definedName>
    <definedName name="SUM___4">#REF!</definedName>
    <definedName name="SUM___4___0">"$#REF!.$#REF!$#REF!:$#REF!$#REF!"</definedName>
    <definedName name="SUM___4___3">"$#REF!.$#REF!$#REF!:$#REF!$#REF!"</definedName>
    <definedName name="SUM___4_1">#REF!</definedName>
    <definedName name="SUM___4_10">#REF!</definedName>
    <definedName name="SUM___4_11">#REF!</definedName>
    <definedName name="SUM___4_16">#REF!</definedName>
    <definedName name="SUM___4_17">#REF!</definedName>
    <definedName name="SUM___4_8">#REF!</definedName>
    <definedName name="SUM___7">"$#REF!.$#REF!$#REF!:$#REF!$#REF!"</definedName>
    <definedName name="SUM_1">#REF!</definedName>
    <definedName name="SUM_10">#REF!</definedName>
    <definedName name="SUM_11">#REF!</definedName>
    <definedName name="SUM_12">#REF!</definedName>
    <definedName name="SUM_16">#REF!</definedName>
    <definedName name="SUM_17">#REF!</definedName>
    <definedName name="SUM_2">"$#REF!.$#REF!$#REF!:$#REF!$#REF!"</definedName>
    <definedName name="SUM_3">#REF!</definedName>
    <definedName name="SUM_4">#REF!</definedName>
    <definedName name="SUM_5">#REF!</definedName>
    <definedName name="SUM_6">#REF!</definedName>
    <definedName name="SUM_7">#REF!</definedName>
    <definedName name="SUM_8">#REF!</definedName>
    <definedName name="SUM_9">#REF!</definedName>
    <definedName name="sum6b">#REF!</definedName>
    <definedName name="sum6C">#REF!</definedName>
    <definedName name="sumana">#REF!</definedName>
    <definedName name="SUMARY">#REF!</definedName>
    <definedName name="SUMMARY">#REF!</definedName>
    <definedName name="SUMMARY_OTHER_EXPS">#REF!</definedName>
    <definedName name="Summerys">#REF!</definedName>
    <definedName name="sump">#REF!</definedName>
    <definedName name="Sunshade">#REF!</definedName>
    <definedName name="sup" localSheetId="3">#REF!</definedName>
    <definedName name="sup">#REF!</definedName>
    <definedName name="Sup_Ratio" localSheetId="3">#REF!</definedName>
    <definedName name="Sup_Ratio">#REF!</definedName>
    <definedName name="superstructure" localSheetId="3">#REF!</definedName>
    <definedName name="superstructure">#REF!</definedName>
    <definedName name="supht">#REF!</definedName>
    <definedName name="Supp" localSheetId="3">#REF!</definedName>
    <definedName name="Supp">#REF!</definedName>
    <definedName name="SUPPIPE" localSheetId="3">#REF!</definedName>
    <definedName name="SUPPIPE">#REF!</definedName>
    <definedName name="supply" localSheetId="3">#REF!</definedName>
    <definedName name="supply">#REF!</definedName>
    <definedName name="Support">#REF!</definedName>
    <definedName name="sups">#REF!</definedName>
    <definedName name="sups4">#REF!</definedName>
    <definedName name="sups4a">#REF!</definedName>
    <definedName name="suptrcn1">#REF!</definedName>
    <definedName name="suptrcn2">#REF!</definedName>
    <definedName name="surarea2">#REF!</definedName>
    <definedName name="SurfaceP_Eqt_FC">#REF!</definedName>
    <definedName name="SurfaceP_Eqt_LC">#REF!</definedName>
    <definedName name="SurfaceP_McxMth">#REF!</definedName>
    <definedName name="SUUU" hidden="1">#REF!</definedName>
    <definedName name="sw" localSheetId="3">#REF!</definedName>
    <definedName name="sw">#REF!</definedName>
    <definedName name="sw4a" localSheetId="3">#REF!</definedName>
    <definedName name="sw4a">#REF!</definedName>
    <definedName name="SWBR_5021A" localSheetId="3">#REF!</definedName>
    <definedName name="SWBR_5021A">#REF!</definedName>
    <definedName name="SWBR_5021B" localSheetId="3">#REF!</definedName>
    <definedName name="SWBR_5021B">#REF!</definedName>
    <definedName name="SWBR_5021E">#REF!</definedName>
    <definedName name="SWBR_5031A">#REF!</definedName>
    <definedName name="SWBR_5031B">#REF!</definedName>
    <definedName name="SWBR_5031E">#REF!</definedName>
    <definedName name="SWD2CON">#REF!</definedName>
    <definedName name="swgrossnet">#REF!</definedName>
    <definedName name="switch">#REF!</definedName>
    <definedName name="swphase">#REF!</definedName>
    <definedName name="swphase1a" localSheetId="3">#REF!</definedName>
    <definedName name="swphase1a">#REF!</definedName>
    <definedName name="swphase1b" localSheetId="3">#REF!</definedName>
    <definedName name="swphase1b">#REF!</definedName>
    <definedName name="swphase2" localSheetId="3">#REF!</definedName>
    <definedName name="swphase2">#REF!</definedName>
    <definedName name="sws">#REF!</definedName>
    <definedName name="swt">#REF!</definedName>
    <definedName name="sx">#REF!</definedName>
    <definedName name="sy">#REF!</definedName>
    <definedName name="T" localSheetId="3">#REF!</definedName>
    <definedName name="T">#REF!</definedName>
    <definedName name="T_1" localSheetId="3">#REF!</definedName>
    <definedName name="T_1">#REF!</definedName>
    <definedName name="T_10" localSheetId="3">#REF!</definedName>
    <definedName name="T_10">#REF!</definedName>
    <definedName name="T_11" localSheetId="3">#REF!</definedName>
    <definedName name="T_11">#REF!</definedName>
    <definedName name="T_16">#REF!</definedName>
    <definedName name="T_2">#REF!</definedName>
    <definedName name="T_6">#REF!</definedName>
    <definedName name="T_8">#REF!</definedName>
    <definedName name="t_beam">#REF!</definedName>
    <definedName name="t0">#REF!</definedName>
    <definedName name="T1_">#N/A</definedName>
    <definedName name="t101p">#REF!</definedName>
    <definedName name="t103p">#REF!</definedName>
    <definedName name="t105mnc">#REF!</definedName>
    <definedName name="t10m">#REF!</definedName>
    <definedName name="t10nc">#REF!</definedName>
    <definedName name="t10nc1p" localSheetId="3">#REF!</definedName>
    <definedName name="t10nc1p">#REF!</definedName>
    <definedName name="t10ncm" localSheetId="3">#REF!</definedName>
    <definedName name="t10ncm">#REF!</definedName>
    <definedName name="t10vl" localSheetId="3">#REF!</definedName>
    <definedName name="t10vl">#REF!</definedName>
    <definedName name="t10vl1p" localSheetId="3">#REF!</definedName>
    <definedName name="t10vl1p">#REF!</definedName>
    <definedName name="t121p" localSheetId="3">#REF!</definedName>
    <definedName name="t121p">#REF!</definedName>
    <definedName name="t123p" localSheetId="3">#REF!</definedName>
    <definedName name="t123p">#REF!</definedName>
    <definedName name="t12m" localSheetId="3">#REF!</definedName>
    <definedName name="t12m">#REF!</definedName>
    <definedName name="t12mnc" localSheetId="3">#REF!</definedName>
    <definedName name="t12mnc">#REF!</definedName>
    <definedName name="t12nc" localSheetId="3">#REF!</definedName>
    <definedName name="t12nc">#REF!</definedName>
    <definedName name="t12nc3p">#REF!</definedName>
    <definedName name="t12ncm">#REF!</definedName>
    <definedName name="t12vl">#REF!</definedName>
    <definedName name="t12vl3p">#REF!</definedName>
    <definedName name="t141p" localSheetId="3">#REF!</definedName>
    <definedName name="t141p">#REF!</definedName>
    <definedName name="t143p" localSheetId="3">#REF!</definedName>
    <definedName name="t143p">#REF!</definedName>
    <definedName name="t14m" localSheetId="3">#REF!</definedName>
    <definedName name="t14m">#REF!</definedName>
    <definedName name="t14mnc" localSheetId="3">#REF!</definedName>
    <definedName name="t14mnc">#REF!</definedName>
    <definedName name="t14nc" localSheetId="3">#REF!</definedName>
    <definedName name="t14nc">#REF!</definedName>
    <definedName name="t14nc3p" localSheetId="3">#REF!</definedName>
    <definedName name="t14nc3p">#REF!</definedName>
    <definedName name="t14ncm" localSheetId="3">#REF!</definedName>
    <definedName name="t14ncm">#REF!</definedName>
    <definedName name="T14vc" localSheetId="3">#REF!</definedName>
    <definedName name="T14vc">#REF!</definedName>
    <definedName name="t14vl" localSheetId="3">#REF!</definedName>
    <definedName name="t14vl">#REF!</definedName>
    <definedName name="t14vl3p" localSheetId="3">#REF!</definedName>
    <definedName name="t14vl3p">#REF!</definedName>
    <definedName name="T2_">#N/A</definedName>
    <definedName name="T203P" localSheetId="3">#REF!</definedName>
    <definedName name="T203P">#REF!</definedName>
    <definedName name="t20m" localSheetId="3">#REF!</definedName>
    <definedName name="t20m">#REF!</definedName>
    <definedName name="t20ncm">#REF!</definedName>
    <definedName name="T3_">#N/A</definedName>
    <definedName name="T4_">#N/A</definedName>
    <definedName name="t7m">#REF!</definedName>
    <definedName name="t7nc">#REF!</definedName>
    <definedName name="t7vl">#REF!</definedName>
    <definedName name="t84mnc">#REF!</definedName>
    <definedName name="t8m">#REF!</definedName>
    <definedName name="t8nc">#REF!</definedName>
    <definedName name="t8vl">#REF!</definedName>
    <definedName name="Ta" localSheetId="3">#REF!</definedName>
    <definedName name="Ta">#REF!</definedName>
    <definedName name="Table" localSheetId="3">#REF!</definedName>
    <definedName name="Table">#REF!</definedName>
    <definedName name="Table_2" localSheetId="3">#REF!</definedName>
    <definedName name="Table_2">#REF!</definedName>
    <definedName name="Table_conv">#REF!</definedName>
    <definedName name="table_disci">#REF!</definedName>
    <definedName name="Table_repABC">#REF!</definedName>
    <definedName name="TABLE1">#REF!</definedName>
    <definedName name="Table2">#REF!</definedName>
    <definedName name="table250">#REF!</definedName>
    <definedName name="table275">#REF!</definedName>
    <definedName name="table3">#REF!</definedName>
    <definedName name="table300" localSheetId="3">#REF!</definedName>
    <definedName name="table300">#REF!</definedName>
    <definedName name="table325" localSheetId="3">#REF!</definedName>
    <definedName name="table325">#REF!</definedName>
    <definedName name="table350" localSheetId="3">#REF!</definedName>
    <definedName name="table350">#REF!</definedName>
    <definedName name="table375">#REF!</definedName>
    <definedName name="TABLE4">#REF!</definedName>
    <definedName name="table400" localSheetId="3">#REF!</definedName>
    <definedName name="table400">#REF!</definedName>
    <definedName name="table425" localSheetId="3">#REF!</definedName>
    <definedName name="table425">#REF!</definedName>
    <definedName name="table450" localSheetId="3">#REF!</definedName>
    <definedName name="table450">#REF!</definedName>
    <definedName name="table475">#REF!</definedName>
    <definedName name="table500">#REF!</definedName>
    <definedName name="table525">#REF!</definedName>
    <definedName name="table550">#REF!</definedName>
    <definedName name="table575">#REF!</definedName>
    <definedName name="table600">#REF!</definedName>
    <definedName name="table625">#REF!</definedName>
    <definedName name="table650">#REF!</definedName>
    <definedName name="table675">#REF!</definedName>
    <definedName name="table700">#REF!</definedName>
    <definedName name="table725">#REF!</definedName>
    <definedName name="table750">#REF!</definedName>
    <definedName name="table775">#REF!</definedName>
    <definedName name="table800">#REF!</definedName>
    <definedName name="TABLEUNIT">#REF!</definedName>
    <definedName name="tabtdp">#REF!</definedName>
    <definedName name="tabu">#REF!</definedName>
    <definedName name="tabur">#REF!</definedName>
    <definedName name="Tag_no.">#REF!</definedName>
    <definedName name="TagRange">#REF!</definedName>
    <definedName name="TagTable">#REF!</definedName>
    <definedName name="TandM_FC">#REF!</definedName>
    <definedName name="TandM_LC">#REF!</definedName>
    <definedName name="TandM_McxMth">#REF!</definedName>
    <definedName name="TANK">#REF!</definedName>
    <definedName name="tapc">#REF!</definedName>
    <definedName name="Target">#REF!</definedName>
    <definedName name="Target1">#REF!</definedName>
    <definedName name="tariffgrowthyr1">#REF!</definedName>
    <definedName name="tariffgrowthyr2">#REF!</definedName>
    <definedName name="tariffgrowthyr3">#REF!</definedName>
    <definedName name="tariffgrowthyr4">#REF!</definedName>
    <definedName name="tariffgrowthyr5onwards">#REF!</definedName>
    <definedName name="tarnian" localSheetId="3">#REF!</definedName>
    <definedName name="tarnian">#REF!</definedName>
    <definedName name="TauxEngineering" localSheetId="3">#REF!</definedName>
    <definedName name="TauxEngineering">#REF!</definedName>
    <definedName name="TAX" localSheetId="3">#REF!</definedName>
    <definedName name="TAX">#REF!</definedName>
    <definedName name="TaxTV">10%</definedName>
    <definedName name="TaxXL">5%</definedName>
    <definedName name="TB" localSheetId="3">#REF!</definedName>
    <definedName name="TB">#REF!</definedName>
    <definedName name="tbarri" localSheetId="3">#REF!</definedName>
    <definedName name="tbarri">#REF!</definedName>
    <definedName name="Tbc" localSheetId="3">#REF!</definedName>
    <definedName name="Tbc">#REF!</definedName>
    <definedName name="tbdd1p" localSheetId="3">#REF!</definedName>
    <definedName name="tbdd1p">#REF!</definedName>
    <definedName name="tbdd3p" localSheetId="3">#REF!</definedName>
    <definedName name="tbdd3p">#REF!</definedName>
    <definedName name="tbddsdl" localSheetId="3">#REF!</definedName>
    <definedName name="tbddsdl">#REF!</definedName>
    <definedName name="tbeam" localSheetId="3">#REF!</definedName>
    <definedName name="tbeam">#REF!</definedName>
    <definedName name="TBI" localSheetId="3">#REF!</definedName>
    <definedName name="TBI">#REF!</definedName>
    <definedName name="tbs" localSheetId="3">#REF!</definedName>
    <definedName name="tbs">#REF!</definedName>
    <definedName name="tbtr" localSheetId="3">#REF!</definedName>
    <definedName name="tbtr">#REF!</definedName>
    <definedName name="tbtram" localSheetId="3">#REF!</definedName>
    <definedName name="tbtram">#REF!</definedName>
    <definedName name="tc" localSheetId="3">#REF!</definedName>
    <definedName name="tc">#REF!</definedName>
    <definedName name="TC_NHANH1" localSheetId="3">#REF!</definedName>
    <definedName name="TC_NHANH1">#REF!</definedName>
    <definedName name="tcan1">#REF!</definedName>
    <definedName name="tcan2">#REF!</definedName>
    <definedName name="tcant" localSheetId="3">#REF!</definedName>
    <definedName name="tcant">#REF!</definedName>
    <definedName name="Tcap" localSheetId="3">#REF!</definedName>
    <definedName name="Tcap">#REF!</definedName>
    <definedName name="TcfRateMonth" localSheetId="3">#REF!</definedName>
    <definedName name="TcfRateMonth">#REF!</definedName>
    <definedName name="tco">#REF!</definedName>
    <definedName name="tcpdp">#REF!</definedName>
    <definedName name="tcxxnc">#REF!</definedName>
    <definedName name="td">#REF!</definedName>
    <definedName name="td10vl">#REF!</definedName>
    <definedName name="td12nc">#REF!</definedName>
    <definedName name="td1cnc">#REF!</definedName>
    <definedName name="td1cvl">#REF!</definedName>
    <definedName name="td1p" localSheetId="3">#REF!</definedName>
    <definedName name="td1p">#REF!</definedName>
    <definedName name="TD1pnc" localSheetId="3">#REF!</definedName>
    <definedName name="TD1pnc">#REF!</definedName>
    <definedName name="TD1pvl" localSheetId="3">#REF!</definedName>
    <definedName name="TD1pvl">#REF!</definedName>
    <definedName name="td3p" localSheetId="3">#REF!</definedName>
    <definedName name="td3p">#REF!</definedName>
    <definedName name="tdc84nc" localSheetId="3">#REF!</definedName>
    <definedName name="tdc84nc">#REF!</definedName>
    <definedName name="tdcnc" localSheetId="3">#REF!</definedName>
    <definedName name="tdcnc">#REF!</definedName>
    <definedName name="tdeck">#REF!</definedName>
    <definedName name="tdgnc">#REF!</definedName>
    <definedName name="tdgvl">#REF!</definedName>
    <definedName name="tdhtnc">#REF!</definedName>
    <definedName name="tdhtvl">#REF!</definedName>
    <definedName name="tdnc">#REF!</definedName>
    <definedName name="tdnc1p" localSheetId="3">#REF!</definedName>
    <definedName name="tdnc1p">#REF!</definedName>
    <definedName name="tdnc3p">#REF!</definedName>
    <definedName name="tdt1pnc">#REF!</definedName>
    <definedName name="tdt1pvl">#REF!</definedName>
    <definedName name="tdt2cnc">#REF!</definedName>
    <definedName name="tdt2cvl">#REF!</definedName>
    <definedName name="tdtr2cnc" localSheetId="3">#REF!</definedName>
    <definedName name="tdtr2cnc">#REF!</definedName>
    <definedName name="tdtr2cvl" localSheetId="3">#REF!</definedName>
    <definedName name="tdtr2cvl">#REF!</definedName>
    <definedName name="tdtrnc" localSheetId="3">#REF!</definedName>
    <definedName name="tdtrnc">#REF!</definedName>
    <definedName name="tdtrvl" localSheetId="3">#REF!</definedName>
    <definedName name="tdtrvl">#REF!</definedName>
    <definedName name="tdvl" localSheetId="3">#REF!</definedName>
    <definedName name="tdvl">#REF!</definedName>
    <definedName name="tdvl1p" localSheetId="3">#REF!</definedName>
    <definedName name="tdvl1p">#REF!</definedName>
    <definedName name="tdvl3p">#REF!</definedName>
    <definedName name="TEC_Inquiry_No" localSheetId="3">#REF!</definedName>
    <definedName name="TEC_Inquiry_No">#REF!</definedName>
    <definedName name="Tecch_Fee_C">#REF!</definedName>
    <definedName name="Tech_Fee">#REF!</definedName>
    <definedName name="Tech_Fee2">#REF!</definedName>
    <definedName name="Tech_Fee3">#REF!</definedName>
    <definedName name="Tech_Fee4">#REF!</definedName>
    <definedName name="Tech_Fee5">#REF!</definedName>
    <definedName name="TECHNIC" localSheetId="3">#REF!</definedName>
    <definedName name="TECHNIC">#REF!</definedName>
    <definedName name="TEE" localSheetId="3">#REF!</definedName>
    <definedName name="TEE">#REF!</definedName>
    <definedName name="TEG">#REF!</definedName>
    <definedName name="TEGx">#REF!</definedName>
    <definedName name="telephonepoles">#REF!</definedName>
    <definedName name="TelephoneSys">#REF!</definedName>
    <definedName name="temp" localSheetId="3"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_Facility_Total_Cost_FC">#REF!</definedName>
    <definedName name="Temp_Facility_Total_Cost_LC">#REF!</definedName>
    <definedName name="temp_strainer">#REF!</definedName>
    <definedName name="temp1" localSheetId="3"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orary">#REF!</definedName>
    <definedName name="Temprange" localSheetId="3">#REF!</definedName>
    <definedName name="Temprange">#REF!</definedName>
    <definedName name="tempstr" localSheetId="3">#REF!</definedName>
    <definedName name="tempstr">#REF!</definedName>
    <definedName name="TEN" localSheetId="3">#REF!</definedName>
    <definedName name="TEN">#REF!</definedName>
    <definedName name="TENDER" localSheetId="3">#REF!</definedName>
    <definedName name="TENDER">#REF!</definedName>
    <definedName name="TENSION" localSheetId="3">#REF!</definedName>
    <definedName name="TENSION">#REF!</definedName>
    <definedName name="tenst">#REF!</definedName>
    <definedName name="TERMETC">#REF!</definedName>
    <definedName name="TEs" localSheetId="3">#REF!</definedName>
    <definedName name="TEs">#REF!</definedName>
    <definedName name="TEST" localSheetId="3">#REF!</definedName>
    <definedName name="TEST">#REF!</definedName>
    <definedName name="TEST0" localSheetId="3">#REF!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tt">#REF!</definedName>
    <definedName name="TESTVKEY">#REF!</definedName>
    <definedName name="TEt">#REF!</definedName>
    <definedName name="TextBs">#REF!</definedName>
    <definedName name="TextBs_1">#REF!</definedName>
    <definedName name="TextBs_17">#REF!</definedName>
    <definedName name="TextBs_2">#REF!</definedName>
    <definedName name="TextBs_6">#REF!</definedName>
    <definedName name="TextBsDP">#REF!</definedName>
    <definedName name="TextBsDP_1">#REF!</definedName>
    <definedName name="TextBsDP_17">#REF!</definedName>
    <definedName name="TextBsDP_2">#REF!</definedName>
    <definedName name="TextBsDP_6">#REF!</definedName>
    <definedName name="TextBsl">#REF!</definedName>
    <definedName name="TextBsl_1">#REF!</definedName>
    <definedName name="TextBsl_17">#REF!</definedName>
    <definedName name="TextBsl_2">#REF!</definedName>
    <definedName name="TextBsl_6">#REF!</definedName>
    <definedName name="TextBsu">#REF!</definedName>
    <definedName name="TextBsu_1">#REF!</definedName>
    <definedName name="TextBsu_17">#REF!</definedName>
    <definedName name="TextBsu_2">#REF!</definedName>
    <definedName name="TextBsu_6">#REF!</definedName>
    <definedName name="TextCiDP">#REF!</definedName>
    <definedName name="TextCiDP_1">#REF!</definedName>
    <definedName name="TextCiDP_17">#REF!</definedName>
    <definedName name="TextCiDP_2">#REF!</definedName>
    <definedName name="TextCiDP_6">#REF!</definedName>
    <definedName name="TextCil">#REF!</definedName>
    <definedName name="TextCil_1">#REF!</definedName>
    <definedName name="TextCil_17">#REF!</definedName>
    <definedName name="TextCil_2">#REF!</definedName>
    <definedName name="TextCil_6">#REF!</definedName>
    <definedName name="TextCiu">#REF!</definedName>
    <definedName name="TextCiu_1">#REF!</definedName>
    <definedName name="TextCiu_17">#REF!</definedName>
    <definedName name="TextCiu_2">#REF!</definedName>
    <definedName name="TextCiu_6">#REF!</definedName>
    <definedName name="TextCTAPI">#REF!</definedName>
    <definedName name="TextCTAPI_1">#REF!</definedName>
    <definedName name="TextCTAPI_17">#REF!</definedName>
    <definedName name="TextCTAPI_2">#REF!</definedName>
    <definedName name="TextCTAPI_6">#REF!</definedName>
    <definedName name="TextGb">#REF!</definedName>
    <definedName name="TextGb_1">#REF!</definedName>
    <definedName name="TextGb_17">#REF!</definedName>
    <definedName name="TextGb_2">#REF!</definedName>
    <definedName name="TextGb_6">#REF!</definedName>
    <definedName name="TextIlv">#REF!</definedName>
    <definedName name="TextIlv_1">#REF!</definedName>
    <definedName name="TextIlv_17">#REF!</definedName>
    <definedName name="TextIlv_2">#REF!</definedName>
    <definedName name="TextIlv_6">#REF!</definedName>
    <definedName name="TextLsDP">#REF!</definedName>
    <definedName name="TextLsDP_1">#REF!</definedName>
    <definedName name="TextLsDP_17">#REF!</definedName>
    <definedName name="TextLsDP_2">#REF!</definedName>
    <definedName name="TextLsDP_6">#REF!</definedName>
    <definedName name="Textlsl">#REF!</definedName>
    <definedName name="Textlsl_1">#REF!</definedName>
    <definedName name="Textlsl_17">#REF!</definedName>
    <definedName name="Textlsl_2">#REF!</definedName>
    <definedName name="Textlsl_6">#REF!</definedName>
    <definedName name="TextLsu">#REF!</definedName>
    <definedName name="TextLsu_1">#REF!</definedName>
    <definedName name="TextLsu_17">#REF!</definedName>
    <definedName name="TextLsu_2">#REF!</definedName>
    <definedName name="TextLsu_6">#REF!</definedName>
    <definedName name="TextLv">#REF!</definedName>
    <definedName name="TextLv_1">#REF!</definedName>
    <definedName name="TextLv_17">#REF!</definedName>
    <definedName name="TextLv_2">#REF!</definedName>
    <definedName name="TextLv_6">#REF!</definedName>
    <definedName name="TextOPC">#REF!</definedName>
    <definedName name="TextOPC_1">#REF!</definedName>
    <definedName name="TextOPC_17">#REF!</definedName>
    <definedName name="TextOPC_2">#REF!</definedName>
    <definedName name="TextOPC_6">#REF!</definedName>
    <definedName name="TextPa">#REF!</definedName>
    <definedName name="TextPa_1">#REF!</definedName>
    <definedName name="TextPa_17">#REF!</definedName>
    <definedName name="TextPa_2">#REF!</definedName>
    <definedName name="TextPa_6">#REF!</definedName>
    <definedName name="TextPv">#REF!</definedName>
    <definedName name="TextPv_1">#REF!</definedName>
    <definedName name="TextPv_17">#REF!</definedName>
    <definedName name="TextPv_2">#REF!</definedName>
    <definedName name="TextPv_6">#REF!</definedName>
    <definedName name="TextSfs">#REF!</definedName>
    <definedName name="TextSfs_1">#REF!</definedName>
    <definedName name="TextSfs_17">#REF!</definedName>
    <definedName name="TextSfs_2">#REF!</definedName>
    <definedName name="TextSfs_6">#REF!</definedName>
    <definedName name="TextSQL">#REF!</definedName>
    <definedName name="TextSQL_1">#REF!</definedName>
    <definedName name="TextSQL_17">#REF!</definedName>
    <definedName name="TextSQL_2">#REF!</definedName>
    <definedName name="TextSQL_6">#REF!</definedName>
    <definedName name="TextTv">#REF!</definedName>
    <definedName name="TextTv_1">#REF!</definedName>
    <definedName name="TextTv_17">#REF!</definedName>
    <definedName name="TextTv_2">#REF!</definedName>
    <definedName name="TextTv_6">#REF!</definedName>
    <definedName name="TextWeb">#REF!</definedName>
    <definedName name="TextWeb_1">#REF!</definedName>
    <definedName name="TextWeb_17">#REF!</definedName>
    <definedName name="TextWeb_2">#REF!</definedName>
    <definedName name="TextWeb_6">#REF!</definedName>
    <definedName name="tf">#REF!</definedName>
    <definedName name="tfcq1">#REF!</definedName>
    <definedName name="tfcq2">#REF!</definedName>
    <definedName name="tfcq3">#REF!</definedName>
    <definedName name="tfcq4">#REF!</definedName>
    <definedName name="th" localSheetId="3">#REF!</definedName>
    <definedName name="th">#REF!</definedName>
    <definedName name="th3x15" localSheetId="3">#REF!</definedName>
    <definedName name="th3x15">#REF!</definedName>
    <definedName name="ThanhXuan110">#REF!</definedName>
    <definedName name="THB" localSheetId="3">#REF!</definedName>
    <definedName name="THB">#REF!</definedName>
    <definedName name="thep">ROUNDUP(#REF!*#REF!*#REF!*#REF!*7.85,0)</definedName>
    <definedName name="theta" localSheetId="3">#REF!</definedName>
    <definedName name="theta">#REF!</definedName>
    <definedName name="Theta1" localSheetId="3">#REF!</definedName>
    <definedName name="Theta1">#REF!</definedName>
    <definedName name="Theta2" localSheetId="3">#REF!</definedName>
    <definedName name="Theta2">#REF!</definedName>
    <definedName name="THGO1pnc">#REF!</definedName>
    <definedName name="Thh">#REF!</definedName>
    <definedName name="thht" localSheetId="3">#REF!</definedName>
    <definedName name="thht">#REF!</definedName>
    <definedName name="thikwing" localSheetId="3">#REF!</definedName>
    <definedName name="thikwing">#REF!</definedName>
    <definedName name="THK" localSheetId="3">#REF!</definedName>
    <definedName name="THK">#REF!</definedName>
    <definedName name="THKP160" localSheetId="3">#REF!</definedName>
    <definedName name="THKP160">#REF!</definedName>
    <definedName name="thkp3" localSheetId="3">#REF!</definedName>
    <definedName name="thkp3">#REF!</definedName>
    <definedName name="thtr15" localSheetId="3">#REF!</definedName>
    <definedName name="thtr15">#REF!</definedName>
    <definedName name="thtt" localSheetId="3">#REF!</definedName>
    <definedName name="thtt">#REF!</definedName>
    <definedName name="THUEDKC" localSheetId="3">#REF!</definedName>
    <definedName name="THUEDKC">#REF!</definedName>
    <definedName name="THUEDKN" localSheetId="3">#REF!</definedName>
    <definedName name="THUEDKN">#REF!</definedName>
    <definedName name="THUELKPSCO">#REF!</definedName>
    <definedName name="THUELKPSNO">#REF!</definedName>
    <definedName name="THUEMA">#REF!</definedName>
    <definedName name="THUEPSC">#REF!</definedName>
    <definedName name="THUEPSN">#REF!</definedName>
    <definedName name="Thw">#REF!</definedName>
    <definedName name="tibmth">#REF!</definedName>
    <definedName name="Tie_Beam" localSheetId="3">#REF!</definedName>
    <definedName name="Tie_Beam">#REF!</definedName>
    <definedName name="TIENKQKD" localSheetId="3">#REF!</definedName>
    <definedName name="TIENKQKD">#REF!</definedName>
    <definedName name="Tiepdia">#REF!</definedName>
    <definedName name="Tiles">#REF!</definedName>
    <definedName name="timber">#REF!</definedName>
    <definedName name="TimeRange" localSheetId="3">#REF!</definedName>
    <definedName name="TimeRange">#REF!</definedName>
    <definedName name="tipp5t">#REF!</definedName>
    <definedName name="tipper">#REF!</definedName>
    <definedName name="tipper5t" localSheetId="3">#REF!</definedName>
    <definedName name="tipper5t">#REF!</definedName>
    <definedName name="TIT" localSheetId="3">#REF!</definedName>
    <definedName name="TIT">#REF!</definedName>
    <definedName name="TITLE" localSheetId="3">#REF!</definedName>
    <definedName name="TITLE">#REF!</definedName>
    <definedName name="Title_work">#REF!</definedName>
    <definedName name="Title1">#REF!</definedName>
    <definedName name="Title2">#REF!</definedName>
    <definedName name="Titlr_work">#REF!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atl">#REF!</definedName>
    <definedName name="tlatlsm">#REF!</definedName>
    <definedName name="tlw">#REF!</definedName>
    <definedName name="tm">#REF!</definedName>
    <definedName name="tmp" localSheetId="3" hidden="1">{"'Break down'!$A$4"}</definedName>
    <definedName name="tmp" hidden="1">{"'Break down'!$A$4"}</definedName>
    <definedName name="tn1pinnc">#REF!</definedName>
    <definedName name="tn2mhnnc">#REF!</definedName>
    <definedName name="TNCM">#REF!</definedName>
    <definedName name="tnhnnc">#REF!</definedName>
    <definedName name="tnignc">#REF!</definedName>
    <definedName name="tnin190nc">#REF!</definedName>
    <definedName name="tnlnc">#REF!</definedName>
    <definedName name="tnnnc">#REF!</definedName>
    <definedName name="tnr" localSheetId="3">#REF!</definedName>
    <definedName name="tnr">#REF!</definedName>
    <definedName name="to" localSheetId="3">#REF!</definedName>
    <definedName name="to">#REF!</definedName>
    <definedName name="TOD" localSheetId="3">#REF!</definedName>
    <definedName name="TOD">#REF!</definedName>
    <definedName name="tol">#REF!</definedName>
    <definedName name="Toll_plaza">#REF!</definedName>
    <definedName name="TOP" localSheetId="3">#REF!</definedName>
    <definedName name="TOP">#REF!</definedName>
    <definedName name="Top_of_road_shall_be_atleast_100mm_above_the_adjacent_grade_level._The_cost_shall_include_the" localSheetId="3">#REF!</definedName>
    <definedName name="Top_of_road_shall_be_atleast_100mm_above_the_adjacent_grade_level._The_cost_shall_include_the">#REF!</definedName>
    <definedName name="toparea1" localSheetId="3">#REF!</definedName>
    <definedName name="toparea1">#REF!</definedName>
    <definedName name="topl">#REF!</definedName>
    <definedName name="topn">#REF!</definedName>
    <definedName name="topsheet">#REF!</definedName>
    <definedName name="TopSlbThk">#REF!</definedName>
    <definedName name="TOR_STEEL">#REF!</definedName>
    <definedName name="Tosc" localSheetId="3">#REF!</definedName>
    <definedName name="Tosc">#REF!</definedName>
    <definedName name="TOT" localSheetId="3">#REF!</definedName>
    <definedName name="TOT">#REF!</definedName>
    <definedName name="Tot.Cost_SiteExp" localSheetId="3">#REF!</definedName>
    <definedName name="Tot.Cost_SiteExp">#REF!</definedName>
    <definedName name="Tot.Cost_TempWk">#REF!</definedName>
    <definedName name="total">#REF!</definedName>
    <definedName name="Total_16">#REF!</definedName>
    <definedName name="Total_Const_Eqt_FC">#REF!</definedName>
    <definedName name="Total_Const_Eqt_LC">#REF!</definedName>
    <definedName name="Total_IDLandS_Cost_FC">#REF!</definedName>
    <definedName name="Total_IDLandS_Cost_LC">#REF!</definedName>
    <definedName name="Total_IDLandS_MM">#REF!</definedName>
    <definedName name="Total_Interest">#REF!</definedName>
    <definedName name="total_length" localSheetId="3">#REF!</definedName>
    <definedName name="total_length">#REF!</definedName>
    <definedName name="Total_McxMth" localSheetId="3">#REF!</definedName>
    <definedName name="Total_McxMth">#REF!</definedName>
    <definedName name="Total_MH" localSheetId="3">#REF!</definedName>
    <definedName name="Total_MH">#REF!</definedName>
    <definedName name="Total_MHCost_FC">#REF!</definedName>
    <definedName name="Total_MHCost_LC">#REF!</definedName>
    <definedName name="Total_MP_Peak">#REF!</definedName>
    <definedName name="Total_Pay">#REF!</definedName>
    <definedName name="Total_Payment" localSheetId="3">Scheduled_Payment+Extra_Payment</definedName>
    <definedName name="Total_Payment" localSheetId="11">Scheduled_Payment+Extra_Payment</definedName>
    <definedName name="Total_Payment">Scheduled_Payment+Extra_Payment</definedName>
    <definedName name="totalmiscecharge" localSheetId="3">#REF!</definedName>
    <definedName name="totalmiscecharge">#REF!</definedName>
    <definedName name="totalqtyfinal" localSheetId="3">#REF!</definedName>
    <definedName name="totalqtyfinal">#REF!</definedName>
    <definedName name="TOTALSUBCONT.MHR" localSheetId="3">#REF!</definedName>
    <definedName name="TOTALSUBCONT.MHR">#REF!</definedName>
    <definedName name="totalsum" localSheetId="3">#REF!</definedName>
    <definedName name="totalsum">#REF!</definedName>
    <definedName name="totslot_ext" localSheetId="3">#REF!</definedName>
    <definedName name="totslot_ext">#REF!</definedName>
    <definedName name="totwd">#REF!</definedName>
    <definedName name="tppc" localSheetId="3">#REF!</definedName>
    <definedName name="tppc">#REF!</definedName>
    <definedName name="tppca" localSheetId="3">#REF!</definedName>
    <definedName name="tppca">#REF!</definedName>
    <definedName name="tppcr" localSheetId="3">#REF!</definedName>
    <definedName name="tppcr">#REF!</definedName>
    <definedName name="tppcra">#REF!</definedName>
    <definedName name="tr" localSheetId="3" hidden="1">{#N/A,#N/A,FALSE,"COVER.XLS";#N/A,#N/A,FALSE,"RACT1.XLS";#N/A,#N/A,FALSE,"RACT2.XLS";#N/A,#N/A,FALSE,"ECCMP";#N/A,#N/A,FALSE,"WELDER.XLS"}</definedName>
    <definedName name="tr" hidden="1">{#N/A,#N/A,FALSE,"COVER.XLS";#N/A,#N/A,FALSE,"RACT1.XLS";#N/A,#N/A,FALSE,"RACT2.XLS";#N/A,#N/A,FALSE,"ECCMP";#N/A,#N/A,FALSE,"WELDER.XLS"}</definedName>
    <definedName name="TR15HT">#REF!</definedName>
    <definedName name="TR16HT">#REF!</definedName>
    <definedName name="tr1800c">#REF!</definedName>
    <definedName name="tr1800m">#REF!</definedName>
    <definedName name="TR19HT">#REF!</definedName>
    <definedName name="tr1x15">#REF!</definedName>
    <definedName name="TR20HT">#REF!</definedName>
    <definedName name="tr300c">#REF!</definedName>
    <definedName name="tr300m">#REF!</definedName>
    <definedName name="tr3x100">#REF!</definedName>
    <definedName name="tr600c">#REF!</definedName>
    <definedName name="tr600m">#REF!</definedName>
    <definedName name="tr70r" localSheetId="3">#REF!</definedName>
    <definedName name="tr70r">#REF!</definedName>
    <definedName name="tr900c">#REF!</definedName>
    <definedName name="tr900m">#REF!</definedName>
    <definedName name="TRA" localSheetId="3">#REF!</definedName>
    <definedName name="TRA">#REF!</definedName>
    <definedName name="tractor" localSheetId="3">#REF!</definedName>
    <definedName name="tractor">#REF!</definedName>
    <definedName name="trafficgrowthyr1" localSheetId="3">#REF!</definedName>
    <definedName name="trafficgrowthyr1">#REF!</definedName>
    <definedName name="trafficgrowthyr2">#REF!</definedName>
    <definedName name="trafficgrowthyr3">#REF!</definedName>
    <definedName name="trafficgrowthyr4">#REF!</definedName>
    <definedName name="trafficgrowthyr5onwards">#REF!</definedName>
    <definedName name="tram100">#REF!</definedName>
    <definedName name="tram1x25">#REF!</definedName>
    <definedName name="trans" localSheetId="3">#REF!</definedName>
    <definedName name="trans">#REF!</definedName>
    <definedName name="transitmixer" localSheetId="3">#REF!</definedName>
    <definedName name="transitmixer">#REF!</definedName>
    <definedName name="Transport_Eqt_FC" localSheetId="3">#REF!</definedName>
    <definedName name="Transport_Eqt_FC">#REF!</definedName>
    <definedName name="Transport_Eqt_LC">#REF!</definedName>
    <definedName name="Transport_McxMth">#REF!</definedName>
    <definedName name="tratio">#REF!</definedName>
    <definedName name="TRAY_PRICING">#REF!</definedName>
    <definedName name="trenchingcost">#REF!</definedName>
    <definedName name="Trend_avg" localSheetId="3">#REF!</definedName>
    <definedName name="Trend_avg">#REF!</definedName>
    <definedName name="Trend_Avg_Q" localSheetId="3">#REF!</definedName>
    <definedName name="Trend_Avg_Q">#REF!</definedName>
    <definedName name="Trend_Avg_T" localSheetId="3">#REF!</definedName>
    <definedName name="Trend_Avg_T">#REF!</definedName>
    <definedName name="Trend_total">#REF!</definedName>
    <definedName name="trend_total_q">#REF!</definedName>
    <definedName name="tres">#REF!</definedName>
    <definedName name="Trianglelosspercent">#REF!</definedName>
    <definedName name="TRIP">#REF!</definedName>
    <definedName name="trmixer">#REF!</definedName>
    <definedName name="trolley">#REF!</definedName>
    <definedName name="TRORIGIN" localSheetId="3">#REF!</definedName>
    <definedName name="TRORIGIN">#REF!</definedName>
    <definedName name="trrm" localSheetId="3">#REF!</definedName>
    <definedName name="trrm">#REF!</definedName>
    <definedName name="tru10mtc" localSheetId="3">#REF!</definedName>
    <definedName name="tru10mtc">#REF!</definedName>
    <definedName name="tru8mtc" localSheetId="3">#REF!</definedName>
    <definedName name="tru8mtc">#REF!</definedName>
    <definedName name="truck" localSheetId="3">#REF!</definedName>
    <definedName name="truck">#REF!</definedName>
    <definedName name="Truck_lay_bay">#REF!</definedName>
    <definedName name="truck5t" localSheetId="3">#REF!</definedName>
    <definedName name="truck5t">#REF!</definedName>
    <definedName name="try" localSheetId="3">#REF!</definedName>
    <definedName name="try">#REF!</definedName>
    <definedName name="tS" localSheetId="3">#REF!</definedName>
    <definedName name="tS">#REF!</definedName>
    <definedName name="tscc" localSheetId="3">#REF!</definedName>
    <definedName name="tscc">#REF!</definedName>
    <definedName name="TSD" localSheetId="3">#REF!</definedName>
    <definedName name="TSD">#REF!</definedName>
    <definedName name="tsidewlk" localSheetId="3">#REF!</definedName>
    <definedName name="tsidewlk">#REF!</definedName>
    <definedName name="tsoffit">#REF!</definedName>
    <definedName name="TSS" localSheetId="3">#REF!</definedName>
    <definedName name="TSS">#REF!</definedName>
    <definedName name="tst">#REF!</definedName>
    <definedName name="tsw" localSheetId="3">#REF!</definedName>
    <definedName name="tsw">#REF!</definedName>
    <definedName name="tt" localSheetId="3">#REF!</definedName>
    <definedName name="tt">#REF!</definedName>
    <definedName name="tt_1" localSheetId="3">#REF!</definedName>
    <definedName name="tt_1">#REF!</definedName>
    <definedName name="tt_16">#REF!</definedName>
    <definedName name="TT_1P">#REF!</definedName>
    <definedName name="TT_3p">#REF!</definedName>
    <definedName name="tt1pnc">#REF!</definedName>
    <definedName name="tt1pvl">#REF!</definedName>
    <definedName name="tt3pnc">#REF!</definedName>
    <definedName name="tt3pvl">#REF!</definedName>
    <definedName name="TTDD">#REF!+#REF!+#REF!</definedName>
    <definedName name="TTDD3P">#REF!</definedName>
    <definedName name="TTDDCT3p">#REF!</definedName>
    <definedName name="TTK3p">#REF!</definedName>
    <definedName name="ttl_dscnt" localSheetId="3">#REF!</definedName>
    <definedName name="ttl_dscnt">#REF!</definedName>
    <definedName name="ttp" localSheetId="3">#REF!</definedName>
    <definedName name="ttp">#REF!</definedName>
    <definedName name="ttronmk" localSheetId="3">#REF!</definedName>
    <definedName name="ttronmk">#REF!</definedName>
    <definedName name="tts">#REF!</definedName>
    <definedName name="ttt">#REF!</definedName>
    <definedName name="TTTT" localSheetId="3">#REF!</definedName>
    <definedName name="TTTT">#REF!</definedName>
    <definedName name="tu" localSheetId="3">#REF!</definedName>
    <definedName name="tu">#REF!</definedName>
    <definedName name="tube_test_press1_12" localSheetId="3">#REF!</definedName>
    <definedName name="tube_test_press1_12">#REF!</definedName>
    <definedName name="Tubing_x_25m" localSheetId="3">#REF!</definedName>
    <definedName name="Tubing_x_25m">#REF!</definedName>
    <definedName name="tv75nc">#REF!</definedName>
    <definedName name="tv75vl">#REF!</definedName>
    <definedName name="tvr">#REF!</definedName>
    <definedName name="twc">#REF!</definedName>
    <definedName name="tweb">#REF!</definedName>
    <definedName name="two_span_length" localSheetId="3">#REF!</definedName>
    <definedName name="two_span_length">#REF!</definedName>
    <definedName name="TX" localSheetId="3">#REF!</definedName>
    <definedName name="TX">#REF!</definedName>
    <definedName name="tx1pignc" localSheetId="3">#REF!</definedName>
    <definedName name="tx1pignc">#REF!</definedName>
    <definedName name="tx1pindnc" localSheetId="3">#REF!</definedName>
    <definedName name="tx1pindnc">#REF!</definedName>
    <definedName name="tx1pingnc" localSheetId="3">#REF!</definedName>
    <definedName name="tx1pingnc">#REF!</definedName>
    <definedName name="tx1pintnc" localSheetId="3">#REF!</definedName>
    <definedName name="tx1pint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xmlblEquipment_1" localSheetId="3">#REF!</definedName>
    <definedName name="txmlblEquipment_1">#REF!</definedName>
    <definedName name="txmlblPlant_1" localSheetId="3">#REF!</definedName>
    <definedName name="txmlblPlant_1">#REF!</definedName>
    <definedName name="txmlblTitle_1" localSheetId="3">#REF!</definedName>
    <definedName name="txmlblTitle_1">#REF!</definedName>
    <definedName name="ty">#REF!</definedName>
    <definedName name="tyhh">#REF!</definedName>
    <definedName name="type">#REF!</definedName>
    <definedName name="Type_1" localSheetId="3">#REF!</definedName>
    <definedName name="Type_1">#REF!</definedName>
    <definedName name="Type_1_AC" localSheetId="3">#REF!</definedName>
    <definedName name="Type_1_AC">#REF!</definedName>
    <definedName name="Type_1_DC" localSheetId="3">#REF!</definedName>
    <definedName name="Type_1_DC">#REF!</definedName>
    <definedName name="Type_2">#REF!</definedName>
    <definedName name="Type_2_AC">#REF!</definedName>
    <definedName name="Type_2_DC">#REF!</definedName>
    <definedName name="Type_3_AC">#REF!</definedName>
    <definedName name="Type3">#REF!</definedName>
    <definedName name="type333">#REF!</definedName>
    <definedName name="tyu">#REF!</definedName>
    <definedName name="tyy" localSheetId="3">#REF!</definedName>
    <definedName name="tyy">#REF!</definedName>
    <definedName name="U" localSheetId="3">#REF!</definedName>
    <definedName name="U">#REF!</definedName>
    <definedName name="U_1" localSheetId="3">#REF!</definedName>
    <definedName name="U_1">#REF!</definedName>
    <definedName name="U_10">#REF!</definedName>
    <definedName name="U_11">#REF!</definedName>
    <definedName name="U_16">#REF!</definedName>
    <definedName name="U_2">#REF!</definedName>
    <definedName name="U_6">#REF!</definedName>
    <definedName name="U_8">#REF!</definedName>
    <definedName name="UC_Mnhr">#REF!</definedName>
    <definedName name="UD" localSheetId="3">#REF!</definedName>
    <definedName name="UD">#REF!</definedName>
    <definedName name="UF" localSheetId="3">#REF!</definedName>
    <definedName name="UF">#REF!</definedName>
    <definedName name="ufx" localSheetId="3">#REF!</definedName>
    <definedName name="ufx">#REF!</definedName>
    <definedName name="uio" localSheetId="3">#REF!</definedName>
    <definedName name="uio">#REF!</definedName>
    <definedName name="UIU"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#REF!</definedName>
    <definedName name="um">#REF!</definedName>
    <definedName name="underground_cable" localSheetId="3">#REF!</definedName>
    <definedName name="underground_cable">#REF!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#REF!</definedName>
    <definedName name="Unit">#REF!</definedName>
    <definedName name="Unit_16">#REF!</definedName>
    <definedName name="UNIT_6.01a">#REF!</definedName>
    <definedName name="UNIT_6.01b">#REF!</definedName>
    <definedName name="UNIT_6.01c">#REF!</definedName>
    <definedName name="UNIT_6.02">#REF!</definedName>
    <definedName name="UNIT_6.03">#REF!</definedName>
    <definedName name="UNIT_6.04">#REF!</definedName>
    <definedName name="UNIT_6.05">#REF!</definedName>
    <definedName name="UNIT_6.06">#REF!</definedName>
    <definedName name="UNIT_6.07">#REF!</definedName>
    <definedName name="UNIT_6.08">#REF!</definedName>
    <definedName name="UNIT_6.09">#REF!</definedName>
    <definedName name="UNIT_6.10">#REF!</definedName>
    <definedName name="UNIT_6.11">#REF!</definedName>
    <definedName name="UNIT_6.12">#REF!</definedName>
    <definedName name="UNIT_6.13">#REF!</definedName>
    <definedName name="UNIT_6.14a">#REF!</definedName>
    <definedName name="UNIT_6.14b">#REF!</definedName>
    <definedName name="UNIT_6.14c">#REF!</definedName>
    <definedName name="UNIT_6.14d">#REF!</definedName>
    <definedName name="UNIT_6.14e">#REF!</definedName>
    <definedName name="UNIT_6.15">#REF!</definedName>
    <definedName name="UNIT_6.16">#REF!</definedName>
    <definedName name="UNIT_6.17">#REF!</definedName>
    <definedName name="UNIT_6.18">#REF!</definedName>
    <definedName name="UNIT_6.19">#REF!</definedName>
    <definedName name="UNIT_6.20">#REF!</definedName>
    <definedName name="UNIT_6.21">#REF!</definedName>
    <definedName name="UNIT_6.22">#REF!</definedName>
    <definedName name="UNIT_6.23">#REF!</definedName>
    <definedName name="UNIT_6.24">#REF!</definedName>
    <definedName name="UNIT_6.25">#REF!</definedName>
    <definedName name="UNIT_6.26">#REF!</definedName>
    <definedName name="UNIT_6.27">#REF!</definedName>
    <definedName name="UNIT_6.28">#REF!</definedName>
    <definedName name="UNIT_6.29">#REF!</definedName>
    <definedName name="unit1">#REF!</definedName>
    <definedName name="unitA">#REF!</definedName>
    <definedName name="unitB">#REF!</definedName>
    <definedName name="UNITNO1">#REF!</definedName>
    <definedName name="UNITS">#REF!</definedName>
    <definedName name="Unlined_drain">#REF!</definedName>
    <definedName name="UNNAMED">#REF!</definedName>
    <definedName name="UOM">#REF!</definedName>
    <definedName name="UP" localSheetId="3">#REF!,#REF!,#REF!,#REF!,#REF!,#REF!,#REF!,#REF!,#REF!,#REF!,#REF!</definedName>
    <definedName name="UP">#REF!,#REF!,#REF!,#REF!,#REF!,#REF!,#REF!,#REF!,#REF!,#REF!,#REF!</definedName>
    <definedName name="UP_1" localSheetId="3">#REF!</definedName>
    <definedName name="UP_1">#REF!</definedName>
    <definedName name="UP_2" localSheetId="3">#REF!</definedName>
    <definedName name="UP_2">#REF!</definedName>
    <definedName name="UP_3" localSheetId="3">#REF!</definedName>
    <definedName name="UP_3">#REF!</definedName>
    <definedName name="UP_total">#REF!</definedName>
    <definedName name="uppipeabt">#REF!</definedName>
    <definedName name="uppipebox">#REF!</definedName>
    <definedName name="Urban_stretch">#REF!</definedName>
    <definedName name="Urbanpopulationpercentage">#REF!</definedName>
    <definedName name="USD">#REF!</definedName>
    <definedName name="USD_INR">#REF!</definedName>
    <definedName name="USD_TO_INR" localSheetId="3">#REF!</definedName>
    <definedName name="USD_TO_INR">#REF!</definedName>
    <definedName name="use" localSheetId="3">#REF!</definedName>
    <definedName name="use">#REF!</definedName>
    <definedName name="uslab" localSheetId="3">#REF!</definedName>
    <definedName name="uslab">#REF!</definedName>
    <definedName name="Utility">#REF!</definedName>
    <definedName name="Utility_Diversion">#REF!</definedName>
    <definedName name="uts">#REF!</definedName>
    <definedName name="UUU" localSheetId="3" hidden="1">{#N/A,#N/A,FALSE,"CCTV"}</definedName>
    <definedName name="UUU" hidden="1">{#N/A,#N/A,FALSE,"CCTV"}</definedName>
    <definedName name="UUUU">#REF!</definedName>
    <definedName name="uv">#REF!</definedName>
    <definedName name="V">#REF!</definedName>
    <definedName name="V_1">#REF!</definedName>
    <definedName name="V_10">#REF!</definedName>
    <definedName name="V_11">#REF!</definedName>
    <definedName name="V_16">#REF!</definedName>
    <definedName name="V_2">#REF!</definedName>
    <definedName name="V_6">#REF!</definedName>
    <definedName name="V_8">#REF!</definedName>
    <definedName name="v1v">#REF!</definedName>
    <definedName name="v2v">#REF!</definedName>
    <definedName name="v3v">#REF!</definedName>
    <definedName name="v4v">#REF!</definedName>
    <definedName name="va">#REF!</definedName>
    <definedName name="VALUE">#N/A</definedName>
    <definedName name="Value_Col">#REF!</definedName>
    <definedName name="Values_Entered">#N/A</definedName>
    <definedName name="Valve">#REF!</definedName>
    <definedName name="ValvePack">#REF!</definedName>
    <definedName name="valves">#REF!</definedName>
    <definedName name="Valves1">#REF!</definedName>
    <definedName name="Valves10">#REF!</definedName>
    <definedName name="Valves12">#REF!</definedName>
    <definedName name="Valves16">#REF!</definedName>
    <definedName name="Valves2">#REF!</definedName>
    <definedName name="Var._IGP_M_Dez_00">#REF!</definedName>
    <definedName name="VAT">#REF!</definedName>
    <definedName name="VB">#REF!</definedName>
    <definedName name="vb_10">#REF!</definedName>
    <definedName name="vb_11">#REF!</definedName>
    <definedName name="vb_16">#REF!</definedName>
    <definedName name="vb_8">#REF!</definedName>
    <definedName name="vc">#REF!</definedName>
    <definedName name="VCDD3p">#REF!</definedName>
    <definedName name="VCHT" localSheetId="3">#REF!</definedName>
    <definedName name="VCHT">#REF!</definedName>
    <definedName name="Vcl" localSheetId="3">#REF!</definedName>
    <definedName name="Vcl">#REF!</definedName>
    <definedName name="vcp2ma" localSheetId="3">#REF!</definedName>
    <definedName name="vcp2ma">#REF!</definedName>
    <definedName name="vcp2shtk">#REF!</definedName>
    <definedName name="VCTT">#REF!</definedName>
    <definedName name="VCVBT1">#REF!</definedName>
    <definedName name="VCVBT2">#REF!</definedName>
    <definedName name="VD" localSheetId="3">#REF!</definedName>
    <definedName name="VD">#REF!</definedName>
    <definedName name="vd3p" localSheetId="3">#REF!</definedName>
    <definedName name="vd3p">#REF!</definedName>
    <definedName name="VDSVDSd" localSheetId="3">#REF!</definedName>
    <definedName name="VDSVDSd">#REF!</definedName>
    <definedName name="VendorComHour" localSheetId="3">#REF!</definedName>
    <definedName name="VendorComHour">#REF!</definedName>
    <definedName name="VendorConstHour" localSheetId="3">#REF!</definedName>
    <definedName name="VendorConstHour">#REF!</definedName>
    <definedName name="VendorRateMonth" localSheetId="3">#REF!</definedName>
    <definedName name="VendorRateMonth">#REF!</definedName>
    <definedName name="Venti">#REF!</definedName>
    <definedName name="verpile">#REF!</definedName>
    <definedName name="vev">#REF!</definedName>
    <definedName name="Vf">#REF!</definedName>
    <definedName name="vibrator">#REF!</definedName>
    <definedName name="vibro">#REF!</definedName>
    <definedName name="vijay">#REF!</definedName>
    <definedName name="vl1p">#REF!</definedName>
    <definedName name="vl3p">#REF!</definedName>
    <definedName name="vldd">#REF!</definedName>
    <definedName name="vldn400" localSheetId="3">#REF!</definedName>
    <definedName name="vldn400">#REF!</definedName>
    <definedName name="vldn600" localSheetId="3">#REF!</definedName>
    <definedName name="vldn600">#REF!</definedName>
    <definedName name="VLHC">#REF!</definedName>
    <definedName name="vltr">#REF!</definedName>
    <definedName name="vltram" localSheetId="3">#REF!</definedName>
    <definedName name="vltram">#REF!</definedName>
    <definedName name="vlvlist_vlvlist_List" localSheetId="3">#REF!</definedName>
    <definedName name="vlvlist_vlvlist_List">#REF!</definedName>
    <definedName name="vnc" localSheetId="3">#REF!</definedName>
    <definedName name="vnc">#REF!</definedName>
    <definedName name="VND">#REF!</definedName>
    <definedName name="volww">#REF!</definedName>
    <definedName name="Vr" localSheetId="3">#REF!</definedName>
    <definedName name="Vr">#REF!</definedName>
    <definedName name="vr3p" localSheetId="3">#REF!</definedName>
    <definedName name="vr3p">#REF!</definedName>
    <definedName name="Vs" localSheetId="3">#REF!</definedName>
    <definedName name="Vs">#REF!</definedName>
    <definedName name="vsasgfsghxas" localSheetId="3" hidden="1">{#N/A,#N/A,FALSE,"consu_cover";#N/A,#N/A,FALSE,"consu_strategy";#N/A,#N/A,FALSE,"consu_flow";#N/A,#N/A,FALSE,"Summary_reqmt";#N/A,#N/A,FALSE,"field_ppg";#N/A,#N/A,FALSE,"ppg_shop";#N/A,#N/A,FALSE,"strl";#N/A,#N/A,FALSE,"tankages";#N/A,#N/A,FALSE,"gases"}</definedName>
    <definedName name="vsasgfsghxas" hidden="1">{#N/A,#N/A,FALSE,"consu_cover";#N/A,#N/A,FALSE,"consu_strategy";#N/A,#N/A,FALSE,"consu_flow";#N/A,#N/A,FALSE,"Summary_reqmt";#N/A,#N/A,FALSE,"field_ppg";#N/A,#N/A,FALSE,"ppg_shop";#N/A,#N/A,FALSE,"strl";#N/A,#N/A,FALSE,"tankages";#N/A,#N/A,FALSE,"gases"}</definedName>
    <definedName name="Vsigma" localSheetId="3">#REF!</definedName>
    <definedName name="Vsigma">#REF!</definedName>
    <definedName name="Vsigma1" localSheetId="3">#REF!</definedName>
    <definedName name="Vsigma1">#REF!</definedName>
    <definedName name="Vsl" localSheetId="3">#REF!</definedName>
    <definedName name="Vsl">#REF!</definedName>
    <definedName name="vt1pbs" localSheetId="3">#REF!</definedName>
    <definedName name="vt1pbs">#REF!</definedName>
    <definedName name="VTAB_D" localSheetId="3">#REF!</definedName>
    <definedName name="VTAB_D">#REF!</definedName>
    <definedName name="vtbs" localSheetId="3">#REF!</definedName>
    <definedName name="vtbs">#REF!</definedName>
    <definedName name="vu" localSheetId="3">#REF!</definedName>
    <definedName name="vu">#REF!</definedName>
    <definedName name="VUP">#REF!</definedName>
    <definedName name="VUTP" localSheetId="3">#REF!</definedName>
    <definedName name="VUTP">#REF!</definedName>
    <definedName name="vvhj" localSheetId="3">#REF!</definedName>
    <definedName name="vvhj">#REF!</definedName>
    <definedName name="vvsd" localSheetId="3">#REF!</definedName>
    <definedName name="vvsd">#REF!</definedName>
    <definedName name="VVVVVVVVV" localSheetId="3">#REF!</definedName>
    <definedName name="VVVVVVVVV">#REF!</definedName>
    <definedName name="Vz" localSheetId="3">#REF!</definedName>
    <definedName name="Vz">#REF!</definedName>
    <definedName name="W" localSheetId="3">#REF!</definedName>
    <definedName name="W">#REF!</definedName>
    <definedName name="W_1">#REF!</definedName>
    <definedName name="W_1.0">#REF!</definedName>
    <definedName name="W_1.5">#REF!</definedName>
    <definedName name="W_10">#REF!</definedName>
    <definedName name="W_11">#REF!</definedName>
    <definedName name="W_16">#REF!</definedName>
    <definedName name="W_2">#REF!</definedName>
    <definedName name="W_2.5">#REF!</definedName>
    <definedName name="W_4.0">#REF!</definedName>
    <definedName name="W_6">#REF!</definedName>
    <definedName name="W_6.0">#REF!</definedName>
    <definedName name="W_8">#REF!</definedName>
    <definedName name="w1_w2">#REF!</definedName>
    <definedName name="Waiting">"Picture 1"</definedName>
    <definedName name="WALL__FINISHES">#REF!</definedName>
    <definedName name="Wall_Orientation" localSheetId="3">#REF!</definedName>
    <definedName name="Wall_Orientation">#REF!</definedName>
    <definedName name="Wall_Weights" localSheetId="3">#REF!</definedName>
    <definedName name="Wall_Weights">#REF!</definedName>
    <definedName name="WallFactors" localSheetId="3">#REF!</definedName>
    <definedName name="WallFactors">#REF!</definedName>
    <definedName name="wallht">#REF!</definedName>
    <definedName name="wallthk">#REF!</definedName>
    <definedName name="Wallweights">#REF!</definedName>
    <definedName name="Water">#REF!</definedName>
    <definedName name="Water_consumption">#REF!</definedName>
    <definedName name="Water_consumption_C">#REF!</definedName>
    <definedName name="Water_consumption2">#REF!</definedName>
    <definedName name="Water_consumption3">#REF!</definedName>
    <definedName name="Water_consumption4">#REF!</definedName>
    <definedName name="Water_consumption5">#REF!</definedName>
    <definedName name="water_funds" localSheetId="3" hidden="1">{"'Sheet1'!$A$4386:$N$4591"}</definedName>
    <definedName name="water_funds" hidden="1">{"'Sheet1'!$A$4386:$N$4591"}</definedName>
    <definedName name="Water_price_eff">#REF!</definedName>
    <definedName name="Water_price_eff_2">#REF!</definedName>
    <definedName name="Water_price_eff_3">#REF!</definedName>
    <definedName name="Water_price_eff_4">#REF!</definedName>
    <definedName name="Water_price_eff_5">#REF!</definedName>
    <definedName name="Water_price_eff_C">#REF!</definedName>
    <definedName name="WaterFeature">#REF!</definedName>
    <definedName name="watertank" localSheetId="3">#REF!</definedName>
    <definedName name="watertank">#REF!</definedName>
    <definedName name="watertanker">#REF!</definedName>
    <definedName name="wbmg1" localSheetId="3">#REF!</definedName>
    <definedName name="wbmg1">#REF!</definedName>
    <definedName name="wbmg2" localSheetId="3">#REF!</definedName>
    <definedName name="wbmg2">#REF!</definedName>
    <definedName name="wbmg3" localSheetId="3">#REF!</definedName>
    <definedName name="wbmg3">#REF!</definedName>
    <definedName name="wbowser" localSheetId="3">#REF!</definedName>
    <definedName name="wbowser">#REF!</definedName>
    <definedName name="WCL">#REF!</definedName>
    <definedName name="wcon">#REF!</definedName>
    <definedName name="WCT" localSheetId="3">#REF!</definedName>
    <definedName name="WCT">#REF!</definedName>
    <definedName name="wcth">#REF!</definedName>
    <definedName name="wcthd">#REF!</definedName>
    <definedName name="WCTHK">#REF!</definedName>
    <definedName name="wdawdq">#REF!</definedName>
    <definedName name="wdf">#REF!</definedName>
    <definedName name="wdvadditionalhead1" localSheetId="3">#REF!</definedName>
    <definedName name="wdvadditionalhead1">#REF!</definedName>
    <definedName name="wdvadditionalhead2" localSheetId="3">#REF!</definedName>
    <definedName name="wdvadditionalhead2">#REF!</definedName>
    <definedName name="wdvcivil" localSheetId="3">#REF!</definedName>
    <definedName name="wdvcivil">#REF!</definedName>
    <definedName name="wdvduct">#REF!</definedName>
    <definedName name="wdvelectro">#REF!</definedName>
    <definedName name="wdvutilities">#REF!</definedName>
    <definedName name="we">#REF!</definedName>
    <definedName name="wearingcoatdism">#REF!</definedName>
    <definedName name="wed" localSheetId="3" hidden="1">{"'Typical Costs Estimates'!$C$158:$H$161"}</definedName>
    <definedName name="wed" hidden="1">{"'Typical Costs Estimates'!$C$158:$H$161"}</definedName>
    <definedName name="WEIGHT">#REF!</definedName>
    <definedName name="welder">#REF!</definedName>
    <definedName name="welderhelper">#REF!</definedName>
    <definedName name="WELDERS">#REF!</definedName>
    <definedName name="WeldSolvent0.5L" localSheetId="3">#REF!</definedName>
    <definedName name="WeldSolvent0.5L">#REF!</definedName>
    <definedName name="Wellsinker" localSheetId="3">#REF!</definedName>
    <definedName name="Wellsinker">#REF!</definedName>
    <definedName name="wer" localSheetId="3">#REF!</definedName>
    <definedName name="wer">#REF!</definedName>
    <definedName name="wertertgertwertwertertert" localSheetId="3">#REF!</definedName>
    <definedName name="wertertgertwertwertertert">#REF!</definedName>
    <definedName name="WetServices" localSheetId="3">#REF!</definedName>
    <definedName name="WetServices">#REF!</definedName>
    <definedName name="wew" localSheetId="3">#REF!</definedName>
    <definedName name="wew">#REF!</definedName>
    <definedName name="wh" localSheetId="3">#REF!</definedName>
    <definedName name="wh">#REF!</definedName>
    <definedName name="whh" localSheetId="3">#REF!</definedName>
    <definedName name="whh">#REF!</definedName>
    <definedName name="WI" localSheetId="3">#REF!</definedName>
    <definedName name="WI">#REF!</definedName>
    <definedName name="WI_" localSheetId="3">#REF!</definedName>
    <definedName name="WI_">#REF!</definedName>
    <definedName name="WID">#REF!</definedName>
    <definedName name="widabt">#REF!</definedName>
    <definedName name="Width">#REF!</definedName>
    <definedName name="widwing">#REF!</definedName>
    <definedName name="WINDOWS__AND__EXTERNAL__DOORS">#REF!</definedName>
    <definedName name="Winform" localSheetId="3">#REF!</definedName>
    <definedName name="Winform">#REF!</definedName>
    <definedName name="wkerb" localSheetId="3">#REF!</definedName>
    <definedName name="wkerb">#REF!</definedName>
    <definedName name="WLP" localSheetId="3">#REF!</definedName>
    <definedName name="WLP">#REF!</definedName>
    <definedName name="WM" localSheetId="3" hidden="1">{#N/A,#N/A,FALSE,"CCTV"}</definedName>
    <definedName name="WM" hidden="1">{#N/A,#N/A,FALSE,"CCTV"}</definedName>
    <definedName name="wm.조골재1" localSheetId="3" hidden="1">{#N/A,#N/A,FALSE,"조골재"}</definedName>
    <definedName name="wm.조골재1" hidden="1">{#N/A,#N/A,FALSE,"조골재"}</definedName>
    <definedName name="WmmLead">#REF!</definedName>
    <definedName name="wmmplant">#REF!</definedName>
    <definedName name="WOL">#REF!</definedName>
    <definedName name="won">#REF!</definedName>
    <definedName name="Word">#REF!</definedName>
    <definedName name="working_area_1">#REF!</definedName>
    <definedName name="Working_Area_2">#REF!</definedName>
    <definedName name="WORKNO">#REF!</definedName>
    <definedName name="wp">#REF!</definedName>
    <definedName name="WPI">#REF!</definedName>
    <definedName name="WPI_2">#REF!</definedName>
    <definedName name="WPI_3">#REF!</definedName>
    <definedName name="WPI_4">#REF!</definedName>
    <definedName name="WPI_5">#REF!</definedName>
    <definedName name="WPI_C">#REF!</definedName>
    <definedName name="wqe">#REF!</definedName>
    <definedName name="WR" localSheetId="3" hidden="1">{#N/A,#N/A,FALSE,"CCTV"}</definedName>
    <definedName name="WR" hidden="1">{#N/A,#N/A,FALSE,"CCTV"}</definedName>
    <definedName name="WRITE" localSheetId="3" hidden="1">{#N/A,#N/A,FALSE,"CCTV"}</definedName>
    <definedName name="WRITE" hidden="1">{#N/A,#N/A,FALSE,"CCTV"}</definedName>
    <definedName name="WRM" localSheetId="3" hidden="1">{#N/A,#N/A,FALSE,"CCTV"}</definedName>
    <definedName name="WRM" hidden="1">{#N/A,#N/A,FALSE,"CCTV"}</definedName>
    <definedName name="WRN" localSheetId="3" hidden="1">{#N/A,#N/A,FALSE,"CCTV"}</definedName>
    <definedName name="WRN" hidden="1">{#N/A,#N/A,FALSE,"CCTV"}</definedName>
    <definedName name="wrn.1." localSheetId="3" hidden="1">{#N/A,#N/A,FALSE,"17MAY";#N/A,#N/A,FALSE,"24MAY"}</definedName>
    <definedName name="wrn.1." hidden="1">{#N/A,#N/A,FALSE,"17MAY";#N/A,#N/A,FALSE,"24MAY"}</definedName>
    <definedName name="wrn.2.2" localSheetId="3" hidden="1">{#N/A,#N/A,FALSE,"17MAY";#N/A,#N/A,FALSE,"24MAY"}</definedName>
    <definedName name="wrn.2.2" hidden="1">{#N/A,#N/A,FALSE,"17MAY";#N/A,#N/A,FALSE,"24MAY"}</definedName>
    <definedName name="wrn.2번." localSheetId="3" hidden="1">{#N/A,#N/A,FALSE,"2~8번"}</definedName>
    <definedName name="wrn.2번." hidden="1">{#N/A,#N/A,FALSE,"2~8번"}</definedName>
    <definedName name="wrn.abc." localSheetId="3" hidden="1">{"Execavation",#N/A,FALSE,"furniture (employer)"}</definedName>
    <definedName name="wrn.abc." hidden="1">{"Execavation",#N/A,FALSE,"furniture (employer)"}</definedName>
    <definedName name="WRN.ABL." localSheetId="3" hidden="1">{"Execavation",#N/A,FALSE,"furniture (employer)"}</definedName>
    <definedName name="WRN.ABL." hidden="1">{"Execavation",#N/A,FALSE,"furniture (employer)"}</definedName>
    <definedName name="wrn.BM." localSheetId="3" hidden="1">{#N/A,#N/A,FALSE,"CCTV"}</definedName>
    <definedName name="wrn.BM." hidden="1">{#N/A,#N/A,FALSE,"CCTV"}</definedName>
    <definedName name="wrn.budget." localSheetId="3" hidden="1">{"form-D1",#N/A,FALSE,"FORM-D1";"form-D1_amt",#N/A,FALSE,"FORM-D1"}</definedName>
    <definedName name="wrn.budget." hidden="1">{"form-D1",#N/A,FALSE,"FORM-D1";"form-D1_amt",#N/A,FALSE,"FORM-D1"}</definedName>
    <definedName name="wrn.CBA."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_.tiÆt." localSheetId="3" hidden="1">{#N/A,#N/A,FALSE,"Chi tiÆt"}</definedName>
    <definedName name="wrn.chi._.tiÆt." hidden="1">{#N/A,#N/A,FALSE,"Chi tiÆt"}</definedName>
    <definedName name="wrn.consumable." localSheetId="3"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quipment._.List." localSheetId="3" hidden="1">{#N/A,#N/A,TRUE,"COVERSHEET";#N/A,#N/A,TRUE,"LEGEND";#N/A,#N/A,TRUE,"LIST"}</definedName>
    <definedName name="wrn.Equipment._.List." hidden="1">{#N/A,#N/A,TRUE,"COVERSHEET";#N/A,#N/A,TRUE,"LEGEND";#N/A,#N/A,TRUE,"LIST"}</definedName>
    <definedName name="wrn.Full._.Report." localSheetId="3"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pipin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intAll." localSheetId="3" hidden="1">{#N/A,#N/A,FALSE,"Sheet1";#N/A,#N/A,FALSE,"Sheet2";#N/A,#N/A,FALSE,"Sheet3";#N/A,#N/A,FALSE,"Sheet4";#N/A,#N/A,FALSE,"Sheet5";#N/A,#N/A,FALSE,"Sheet6";#N/A,#N/A,FALSE,"Sheet7";#N/A,#N/A,FALSE,"Sheet8";#N/A,#N/A,FALSE,"Sheet9"}</definedName>
    <definedName name="wrn.PrintAll." hidden="1">{#N/A,#N/A,FALSE,"Sheet1";#N/A,#N/A,FALSE,"Sheet2";#N/A,#N/A,FALSE,"Sheet3";#N/A,#N/A,FALSE,"Sheet4";#N/A,#N/A,FALSE,"Sheet5";#N/A,#N/A,FALSE,"Sheet6";#N/A,#N/A,FALSE,"Sheet7";#N/A,#N/A,FALSE,"Sheet8";#N/A,#N/A,FALSE,"Sheet9"}</definedName>
    <definedName name="wrn.PrintCurr." localSheetId="3" hidden="1">{#N/A,#N/A,FALSE,"Sheet1";#N/A,#N/A,FALSE,"Sheet2";#N/A,#N/A,FALSE,"Sheet3"}</definedName>
    <definedName name="wrn.PrintCurr." hidden="1">{#N/A,#N/A,FALSE,"Sheet1";#N/A,#N/A,FALSE,"Sheet2";#N/A,#N/A,FALSE,"Sheet3"}</definedName>
    <definedName name="wrn.PrintPrev1." localSheetId="3" hidden="1">{#N/A,#N/A,FALSE,"Sheet4";#N/A,#N/A,FALSE,"Sheet5";#N/A,#N/A,FALSE,"Sheet6"}</definedName>
    <definedName name="wrn.PrintPrev1." hidden="1">{#N/A,#N/A,FALSE,"Sheet4";#N/A,#N/A,FALSE,"Sheet5";#N/A,#N/A,FALSE,"Sheet6"}</definedName>
    <definedName name="wrn.PrintPrev2." localSheetId="3" hidden="1">{#N/A,#N/A,FALSE,"Sheet7";#N/A,#N/A,FALSE,"Sheet8";#N/A,#N/A,FALSE,"Sheet9"}</definedName>
    <definedName name="wrn.PrintPrev2." hidden="1">{#N/A,#N/A,FALSE,"Sheet7";#N/A,#N/A,FALSE,"Sheet8";#N/A,#N/A,FALSE,"Sheet9"}</definedName>
    <definedName name="wrn.RCC."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502."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1"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3."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ort." localSheetId="3" hidden="1">{#N/A,#N/A,FALSE,"COVER.XLS";#N/A,#N/A,FALSE,"RACT1.XLS";#N/A,#N/A,FALSE,"RACT2.XLS";#N/A,#N/A,FALSE,"ECCMP";#N/A,#N/A,FALSE,"WELDER.XLS"}</definedName>
    <definedName name="wrn.report." hidden="1">{#N/A,#N/A,FALSE,"COVER.XLS";#N/A,#N/A,FALSE,"RACT1.XLS";#N/A,#N/A,FALSE,"RACT2.XLS";#N/A,#N/A,FALSE,"ECCMP";#N/A,#N/A,FALSE,"WELDER.XLS"}</definedName>
    <definedName name="wrn.RPLINS." localSheetId="3"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1" localSheetId="3" hidden="1">{#N/A,#N/A,FALSE,"COVER1.XLS ";#N/A,#N/A,FALSE,"RACT1.XLS";#N/A,#N/A,FALSE,"RACT2.XLS";#N/A,#N/A,FALSE,"ECCMP";#N/A,#N/A,FALSE,"WELDER.XLS"}</definedName>
    <definedName name="wrn.summ1" hidden="1">{#N/A,#N/A,FALSE,"COVER1.XLS ";#N/A,#N/A,FALSE,"RACT1.XLS";#N/A,#N/A,FALSE,"RACT2.XLS";#N/A,#N/A,FALSE,"ECCMP";#N/A,#N/A,FALSE,"WELDER.XLS"}</definedName>
    <definedName name="wrn.summary." localSheetId="3" hidden="1">{#N/A,#N/A,FALSE,"COVER1.XLS ";#N/A,#N/A,FALSE,"RACT1.XLS";#N/A,#N/A,FALSE,"RACT2.XLS";#N/A,#N/A,FALSE,"ECCMP";#N/A,#N/A,FALSE,"WELDER.XLS"}</definedName>
    <definedName name="wrn.summary." hidden="1">{#N/A,#N/A,FALSE,"COVER1.XLS ";#N/A,#N/A,FALSE,"RACT1.XLS";#N/A,#N/A,FALSE,"RACT2.XLS";#N/A,#N/A,FALSE,"ECCMP";#N/A,#N/A,FALSE,"WELDER.XLS"}</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3" hidden="1">{#N/A,#N/A,FALSE,"골재소요량";#N/A,#N/A,FALSE,"골재소요량"}</definedName>
    <definedName name="wrn.골재소요량." hidden="1">{#N/A,#N/A,FALSE,"골재소요량";#N/A,#N/A,FALSE,"골재소요량"}</definedName>
    <definedName name="wrn.교대." localSheetId="3"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육청." localSheetId="3" hidden="1">{#N/A,#N/A,FALSE,"전력간선"}</definedName>
    <definedName name="wrn.교육청." hidden="1">{#N/A,#N/A,FALSE,"전력간선"}</definedName>
    <definedName name="wrn.구조2." localSheetId="3" hidden="1">{#N/A,#N/A,FALSE,"구조2"}</definedName>
    <definedName name="wrn.구조2." hidden="1">{#N/A,#N/A,FALSE,"구조2"}</definedName>
    <definedName name="wrn.단가표지." localSheetId="3" hidden="1">{#N/A,#N/A,FALSE,"단가표지"}</definedName>
    <definedName name="wrn.단가표지." hidden="1">{#N/A,#N/A,FALSE,"단가표지"}</definedName>
    <definedName name="wrn.배수1." localSheetId="3" hidden="1">{#N/A,#N/A,FALSE,"배수1"}</definedName>
    <definedName name="wrn.배수1." hidden="1">{#N/A,#N/A,FALSE,"배수1"}</definedName>
    <definedName name="wrn.배수2." localSheetId="3" hidden="1">{#N/A,#N/A,FALSE,"배수2"}</definedName>
    <definedName name="wrn.배수2." hidden="1">{#N/A,#N/A,FALSE,"배수2"}</definedName>
    <definedName name="wrn.부대1." localSheetId="3" hidden="1">{#N/A,#N/A,FALSE,"부대1"}</definedName>
    <definedName name="wrn.부대1." hidden="1">{#N/A,#N/A,FALSE,"부대1"}</definedName>
    <definedName name="wrn.부대2." localSheetId="3" hidden="1">{#N/A,#N/A,FALSE,"부대2"}</definedName>
    <definedName name="wrn.부대2." hidden="1">{#N/A,#N/A,FALSE,"부대2"}</definedName>
    <definedName name="wrn.속도." localSheetId="3" hidden="1">{#N/A,#N/A,FALSE,"속도"}</definedName>
    <definedName name="wrn.속도." hidden="1">{#N/A,#N/A,FALSE,"속도"}</definedName>
    <definedName name="wrn.손익보고." localSheetId="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운반시간." localSheetId="3" hidden="1">{#N/A,#N/A,FALSE,"운반시간"}</definedName>
    <definedName name="wrn.운반시간." hidden="1">{#N/A,#N/A,FALSE,"운반시간"}</definedName>
    <definedName name="wrn.이정표." localSheetId="3" hidden="1">{#N/A,#N/A,FALSE,"이정표"}</definedName>
    <definedName name="wrn.이정표." hidden="1">{#N/A,#N/A,FALSE,"이정표"}</definedName>
    <definedName name="wrn.조골재." localSheetId="3" hidden="1">{#N/A,#N/A,FALSE,"조골재"}</definedName>
    <definedName name="wrn.조골재." hidden="1">{#N/A,#N/A,FALSE,"조골재"}</definedName>
    <definedName name="wrn.토공1." localSheetId="3" hidden="1">{#N/A,#N/A,FALSE,"구조1"}</definedName>
    <definedName name="wrn.토공1." hidden="1">{#N/A,#N/A,FALSE,"구조1"}</definedName>
    <definedName name="wrn.토공2." localSheetId="3" hidden="1">{#N/A,#N/A,FALSE,"토공2"}</definedName>
    <definedName name="wrn.토공2." hidden="1">{#N/A,#N/A,FALSE,"토공2"}</definedName>
    <definedName name="wrn.포장1." localSheetId="3" hidden="1">{#N/A,#N/A,FALSE,"포장1";#N/A,#N/A,FALSE,"포장1"}</definedName>
    <definedName name="wrn.포장1." hidden="1">{#N/A,#N/A,FALSE,"포장1";#N/A,#N/A,FALSE,"포장1"}</definedName>
    <definedName name="wrn.포장2." localSheetId="3" hidden="1">{#N/A,#N/A,FALSE,"포장2"}</definedName>
    <definedName name="wrn.포장2." hidden="1">{#N/A,#N/A,FALSE,"포장2"}</definedName>
    <definedName name="wrn.표지목차." localSheetId="3" hidden="1">{#N/A,#N/A,FALSE,"표지목차"}</definedName>
    <definedName name="wrn.표지목차." hidden="1">{#N/A,#N/A,FALSE,"표지목차"}</definedName>
    <definedName name="wrn.혼합골재." localSheetId="3" hidden="1">{#N/A,#N/A,FALSE,"혼합골재"}</definedName>
    <definedName name="wrn.혼합골재." hidden="1">{#N/A,#N/A,FALSE,"혼합골재"}</definedName>
    <definedName name="WRN0" localSheetId="3" hidden="1">{#N/A,#N/A,FALSE,"COVER1.XLS ";#N/A,#N/A,FALSE,"RACT1.XLS";#N/A,#N/A,FALSE,"RACT2.XLS";#N/A,#N/A,FALSE,"ECCMP";#N/A,#N/A,FALSE,"WELDER.XLS"}</definedName>
    <definedName name="WRN0" hidden="1">{#N/A,#N/A,FALSE,"COVER1.XLS ";#N/A,#N/A,FALSE,"RACT1.XLS";#N/A,#N/A,FALSE,"RACT2.XLS";#N/A,#N/A,FALSE,"ECCMP";#N/A,#N/A,FALSE,"WELDER.XLS"}</definedName>
    <definedName name="WRS" localSheetId="3" hidden="1">{"'장비'!$A$3:$M$12"}</definedName>
    <definedName name="WRS" hidden="1">{"'장비'!$A$3:$M$12"}</definedName>
    <definedName name="wsegment">#REF!</definedName>
    <definedName name="wsgz" localSheetId="3" hidden="1">{#N/A,#N/A,FALSE,"COVER1.XLS ";#N/A,#N/A,FALSE,"RACT1.XLS";#N/A,#N/A,FALSE,"RACT2.XLS";#N/A,#N/A,FALSE,"ECCMP";#N/A,#N/A,FALSE,"WELDER.XLS"}</definedName>
    <definedName name="wsgz" hidden="1">{#N/A,#N/A,FALSE,"COVER1.XLS ";#N/A,#N/A,FALSE,"RACT1.XLS";#N/A,#N/A,FALSE,"RACT2.XLS";#N/A,#N/A,FALSE,"ECCMP";#N/A,#N/A,FALSE,"WELDER.XLS"}</definedName>
    <definedName name="wsoffit">#REF!</definedName>
    <definedName name="Wstiff">#REF!</definedName>
    <definedName name="WT" localSheetId="3">#REF!</definedName>
    <definedName name="WT">#REF!</definedName>
    <definedName name="wtfnd" localSheetId="3">#REF!</definedName>
    <definedName name="wtfnd">#REF!</definedName>
    <definedName name="Wtotal" localSheetId="3">#REF!</definedName>
    <definedName name="Wtotal">#REF!</definedName>
    <definedName name="wtpr">#REF!</definedName>
    <definedName name="wtprca">#REF!</definedName>
    <definedName name="wtsbfd">#REF!</definedName>
    <definedName name="wtsub">#REF!</definedName>
    <definedName name="wwc">#REF!</definedName>
    <definedName name="WWWW" localSheetId="3" hidden="1">{#N/A,#N/A,FALSE,"COVER.XLS";#N/A,#N/A,FALSE,"RACT1.XLS";#N/A,#N/A,FALSE,"RACT2.XLS";#N/A,#N/A,FALSE,"ECCMP";#N/A,#N/A,FALSE,"WELDER.XLS"}</definedName>
    <definedName name="WWWW" hidden="1">{#N/A,#N/A,FALSE,"COVER.XLS";#N/A,#N/A,FALSE,"RACT1.XLS";#N/A,#N/A,FALSE,"RACT2.XLS";#N/A,#N/A,FALSE,"ECCMP";#N/A,#N/A,FALSE,"WELDER.XLS"}</definedName>
    <definedName name="x">#REF!</definedName>
    <definedName name="X_1">#REF!</definedName>
    <definedName name="X_10">#REF!</definedName>
    <definedName name="X_11">#REF!</definedName>
    <definedName name="X_16">#REF!</definedName>
    <definedName name="X_2">#REF!</definedName>
    <definedName name="X_6">#REF!</definedName>
    <definedName name="X_8">#REF!</definedName>
    <definedName name="X0G">#REF!</definedName>
    <definedName name="x1.4_times">#REF!</definedName>
    <definedName name="x17dnc">#REF!</definedName>
    <definedName name="x17dvl">#REF!</definedName>
    <definedName name="x17knc">#REF!</definedName>
    <definedName name="x17kvl">#REF!</definedName>
    <definedName name="X1pFCOnc">#REF!</definedName>
    <definedName name="X1pFCOvc">#REF!</definedName>
    <definedName name="X1pFCOvl">#REF!</definedName>
    <definedName name="x1pignc">#REF!</definedName>
    <definedName name="X1pIGvc">#REF!</definedName>
    <definedName name="x1pigvl">#REF!</definedName>
    <definedName name="x1pind" localSheetId="3">#REF!</definedName>
    <definedName name="x1pind">#REF!</definedName>
    <definedName name="x1pindnc" localSheetId="3">#REF!</definedName>
    <definedName name="x1pindnc">#REF!</definedName>
    <definedName name="x1pindvl" localSheetId="3">#REF!</definedName>
    <definedName name="x1pindvl">#REF!</definedName>
    <definedName name="x1ping" localSheetId="3">#REF!</definedName>
    <definedName name="x1ping">#REF!</definedName>
    <definedName name="x1pingnc" localSheetId="3">#REF!</definedName>
    <definedName name="x1pingnc">#REF!</definedName>
    <definedName name="x1pingvl" localSheetId="3">#REF!</definedName>
    <definedName name="x1pingvl">#REF!</definedName>
    <definedName name="x1pint" localSheetId="3">#REF!</definedName>
    <definedName name="x1pint">#REF!</definedName>
    <definedName name="x1pintnc" localSheetId="3">#REF!</definedName>
    <definedName name="x1pintnc">#REF!</definedName>
    <definedName name="X1pINTvc" localSheetId="3">#REF!</definedName>
    <definedName name="X1pINTvc">#REF!</definedName>
    <definedName name="x1pintvl" localSheetId="3">#REF!</definedName>
    <definedName name="x1pintvl">#REF!</definedName>
    <definedName name="x1pitnc" localSheetId="3">#REF!</definedName>
    <definedName name="x1pitnc">#REF!</definedName>
    <definedName name="X1pITvc">#REF!</definedName>
    <definedName name="x1pitvl">#REF!</definedName>
    <definedName name="x20knc">#REF!</definedName>
    <definedName name="x20kvl">#REF!</definedName>
    <definedName name="x22knc">#REF!</definedName>
    <definedName name="x22kvl">#REF!</definedName>
    <definedName name="X2G" localSheetId="3">#REF!</definedName>
    <definedName name="X2G">#REF!</definedName>
    <definedName name="x2mig1nc" localSheetId="3">#REF!</definedName>
    <definedName name="x2mig1nc">#REF!</definedName>
    <definedName name="x2mig1vl" localSheetId="3">#REF!</definedName>
    <definedName name="x2mig1vl">#REF!</definedName>
    <definedName name="x2min1nc" localSheetId="3">#REF!</definedName>
    <definedName name="x2min1nc">#REF!</definedName>
    <definedName name="x2min1vl" localSheetId="3">#REF!</definedName>
    <definedName name="x2min1vl">#REF!</definedName>
    <definedName name="x2mit1vl">#REF!</definedName>
    <definedName name="x2mitnc">#REF!</definedName>
    <definedName name="xap1c400" localSheetId="3">#REF!</definedName>
    <definedName name="xap1c400">#REF!</definedName>
    <definedName name="xap1c630" localSheetId="3">#REF!</definedName>
    <definedName name="xap1c630">#REF!</definedName>
    <definedName name="xb" localSheetId="3">#REF!</definedName>
    <definedName name="xb">#REF!</definedName>
    <definedName name="xc">#REF!</definedName>
    <definedName name="XCCT">0.5</definedName>
    <definedName name="xce">#REF!</definedName>
    <definedName name="xcii">#REF!</definedName>
    <definedName name="Xconcg">#REF!</definedName>
    <definedName name="XCSCc">#REF!</definedName>
    <definedName name="xdsnc">#REF!</definedName>
    <definedName name="xdsvl">#REF!</definedName>
    <definedName name="xf" localSheetId="3">#REF!</definedName>
    <definedName name="xf">#REF!</definedName>
    <definedName name="xfco" localSheetId="3">#REF!</definedName>
    <definedName name="xfco">#REF!</definedName>
    <definedName name="xfco3p" localSheetId="3">#REF!</definedName>
    <definedName name="xfco3p">#REF!</definedName>
    <definedName name="xfconc" localSheetId="3">#REF!</definedName>
    <definedName name="xfconc">#REF!</definedName>
    <definedName name="xfconc3p">#REF!</definedName>
    <definedName name="xfcotnc" localSheetId="3">#REF!</definedName>
    <definedName name="xfcotnc">#REF!</definedName>
    <definedName name="xfcotvl" localSheetId="3">#REF!</definedName>
    <definedName name="xfcotvl">#REF!</definedName>
    <definedName name="xfcovl" localSheetId="3">#REF!</definedName>
    <definedName name="xfcovl">#REF!</definedName>
    <definedName name="xfcovl3p">#REF!</definedName>
    <definedName name="xfnc">#REF!</definedName>
    <definedName name="xfvl">#REF!</definedName>
    <definedName name="xhn" localSheetId="3">#REF!</definedName>
    <definedName name="xhn">#REF!</definedName>
    <definedName name="xhnnc" localSheetId="3">#REF!</definedName>
    <definedName name="xhnnc">#REF!</definedName>
    <definedName name="xhnvl" localSheetId="3">#REF!</definedName>
    <definedName name="xhnvl">#REF!</definedName>
    <definedName name="xi" localSheetId="3">#REF!</definedName>
    <definedName name="xi">#REF!</definedName>
    <definedName name="xig" localSheetId="3">#REF!</definedName>
    <definedName name="xig">#REF!</definedName>
    <definedName name="xig1" localSheetId="3">#REF!</definedName>
    <definedName name="xig1">#REF!</definedName>
    <definedName name="xig1nc" localSheetId="3">#REF!</definedName>
    <definedName name="xig1nc">#REF!</definedName>
    <definedName name="xig1p" localSheetId="3">#REF!</definedName>
    <definedName name="xig1p">#REF!</definedName>
    <definedName name="xig1pnc" localSheetId="3">#REF!</definedName>
    <definedName name="xig1pnc">#REF!</definedName>
    <definedName name="xig1pvl" localSheetId="3">#REF!</definedName>
    <definedName name="xig1pvl">#REF!</definedName>
    <definedName name="xig1vl" localSheetId="3">#REF!</definedName>
    <definedName name="xig1vl">#REF!</definedName>
    <definedName name="xig2nc" localSheetId="3">#REF!</definedName>
    <definedName name="xig2nc">#REF!</definedName>
    <definedName name="xig2vl" localSheetId="3">#REF!</definedName>
    <definedName name="xig2vl">#REF!</definedName>
    <definedName name="xig3p" localSheetId="3">#REF!</definedName>
    <definedName name="xig3p">#REF!</definedName>
    <definedName name="xiggnc">#REF!</definedName>
    <definedName name="xiggvl">#REF!</definedName>
    <definedName name="xignc">#REF!</definedName>
    <definedName name="xignc3p" localSheetId="3">#REF!</definedName>
    <definedName name="xignc3p">#REF!</definedName>
    <definedName name="xigvl" localSheetId="3">#REF!</definedName>
    <definedName name="xigvl">#REF!</definedName>
    <definedName name="xigvl3p" localSheetId="3">#REF!</definedName>
    <definedName name="xigvl3p">#REF!</definedName>
    <definedName name="xin" localSheetId="3">#REF!</definedName>
    <definedName name="xin">#REF!</definedName>
    <definedName name="xin190" localSheetId="3">#REF!</definedName>
    <definedName name="xin190">#REF!</definedName>
    <definedName name="xin1903p">#REF!</definedName>
    <definedName name="xin190nc">#REF!</definedName>
    <definedName name="xin190nc3p">#REF!</definedName>
    <definedName name="xin190vl">#REF!</definedName>
    <definedName name="xin190vl3p">#REF!</definedName>
    <definedName name="xin2903p" localSheetId="3">#REF!</definedName>
    <definedName name="xin2903p">#REF!</definedName>
    <definedName name="xin290nc3p" localSheetId="3">#REF!</definedName>
    <definedName name="xin290nc3p">#REF!</definedName>
    <definedName name="xin290vl3p" localSheetId="3">#REF!</definedName>
    <definedName name="xin290vl3p">#REF!</definedName>
    <definedName name="xin3p">#REF!</definedName>
    <definedName name="xin901nc">#REF!</definedName>
    <definedName name="xin901vl">#REF!</definedName>
    <definedName name="xind" localSheetId="3">#REF!</definedName>
    <definedName name="xind">#REF!</definedName>
    <definedName name="xind1p" localSheetId="3">#REF!</definedName>
    <definedName name="xind1p">#REF!</definedName>
    <definedName name="xind1pnc" localSheetId="3">#REF!</definedName>
    <definedName name="xind1pnc">#REF!</definedName>
    <definedName name="xind1pvl" localSheetId="3">#REF!</definedName>
    <definedName name="xind1pvl">#REF!</definedName>
    <definedName name="xind3p" localSheetId="3">#REF!</definedName>
    <definedName name="xind3p">#REF!</definedName>
    <definedName name="xindnc" localSheetId="3">#REF!</definedName>
    <definedName name="xindnc">#REF!</definedName>
    <definedName name="xindnc1p" localSheetId="3">#REF!</definedName>
    <definedName name="xindnc1p">#REF!</definedName>
    <definedName name="xindnc3p">#REF!</definedName>
    <definedName name="xindvl">#REF!</definedName>
    <definedName name="xindvl1p" localSheetId="3">#REF!</definedName>
    <definedName name="xindvl1p">#REF!</definedName>
    <definedName name="xindvl3p">#REF!</definedName>
    <definedName name="xing1p" localSheetId="3">#REF!</definedName>
    <definedName name="xing1p">#REF!</definedName>
    <definedName name="xing1pnc" localSheetId="3">#REF!</definedName>
    <definedName name="xing1pnc">#REF!</definedName>
    <definedName name="xing1pvl" localSheetId="3">#REF!</definedName>
    <definedName name="xing1pvl">#REF!</definedName>
    <definedName name="xingnc1p" localSheetId="3">#REF!</definedName>
    <definedName name="xingnc1p">#REF!</definedName>
    <definedName name="xingvl1p" localSheetId="3">#REF!</definedName>
    <definedName name="xingvl1p">#REF!</definedName>
    <definedName name="xinnc" localSheetId="3">#REF!</definedName>
    <definedName name="xinnc">#REF!</definedName>
    <definedName name="xinnc3p" localSheetId="3">#REF!</definedName>
    <definedName name="xinnc3p">#REF!</definedName>
    <definedName name="xint1p" localSheetId="3">#REF!</definedName>
    <definedName name="xint1p">#REF!</definedName>
    <definedName name="xinvl" localSheetId="3">#REF!</definedName>
    <definedName name="xinvl">#REF!</definedName>
    <definedName name="xinvl3p" localSheetId="3">#REF!</definedName>
    <definedName name="xinvl3p">#REF!</definedName>
    <definedName name="xit" localSheetId="3">#REF!</definedName>
    <definedName name="xit">#REF!</definedName>
    <definedName name="xit1" localSheetId="3">#REF!</definedName>
    <definedName name="xit1">#REF!</definedName>
    <definedName name="xit1nc" localSheetId="3">#REF!</definedName>
    <definedName name="xit1nc">#REF!</definedName>
    <definedName name="xit1p" localSheetId="3">#REF!</definedName>
    <definedName name="xit1p">#REF!</definedName>
    <definedName name="xit1pnc" localSheetId="3">#REF!</definedName>
    <definedName name="xit1pnc">#REF!</definedName>
    <definedName name="xit1pvl" localSheetId="3">#REF!</definedName>
    <definedName name="xit1pvl">#REF!</definedName>
    <definedName name="xit1vl" localSheetId="3">#REF!</definedName>
    <definedName name="xit1vl">#REF!</definedName>
    <definedName name="xit2nc" localSheetId="3">#REF!</definedName>
    <definedName name="xit2nc">#REF!</definedName>
    <definedName name="xit2nc3p" localSheetId="3">#REF!</definedName>
    <definedName name="xit2nc3p">#REF!</definedName>
    <definedName name="xit2vl" localSheetId="3">#REF!</definedName>
    <definedName name="xit2vl">#REF!</definedName>
    <definedName name="xit2vl3p" localSheetId="3">#REF!</definedName>
    <definedName name="xit2vl3p">#REF!</definedName>
    <definedName name="xit3p" localSheetId="3">#REF!</definedName>
    <definedName name="xit3p">#REF!</definedName>
    <definedName name="xitnc" localSheetId="3">#REF!</definedName>
    <definedName name="xitnc">#REF!</definedName>
    <definedName name="xitnc3p" localSheetId="3">#REF!</definedName>
    <definedName name="xitnc3p">#REF!</definedName>
    <definedName name="xittnc">#REF!</definedName>
    <definedName name="xittvl">#REF!</definedName>
    <definedName name="xitvl">#REF!</definedName>
    <definedName name="xitvl3p" localSheetId="3">#REF!</definedName>
    <definedName name="xitvl3p">#REF!</definedName>
    <definedName name="xj" localSheetId="3">#REF!</definedName>
    <definedName name="xj">#REF!</definedName>
    <definedName name="xk" localSheetId="3">#REF!</definedName>
    <definedName name="xk">#REF!</definedName>
    <definedName name="xls." localSheetId="3" hidden="1">{"'Break down'!$A$4"}</definedName>
    <definedName name="xls." hidden="1">{"'Break down'!$A$4"}</definedName>
    <definedName name="xm">#REF!</definedName>
    <definedName name="xr1nc">#REF!</definedName>
    <definedName name="xr1vl">#REF!</definedName>
    <definedName name="XRATES" localSheetId="3">#REF!</definedName>
    <definedName name="XRATES">#REF!</definedName>
    <definedName name="xse" localSheetId="3">#REF!</definedName>
    <definedName name="xse">#REF!</definedName>
    <definedName name="xsp2c2.5" localSheetId="3">#REF!</definedName>
    <definedName name="xsp2c2.5">#REF!</definedName>
    <definedName name="xsp2c4" localSheetId="3">#REF!</definedName>
    <definedName name="xsp2c4">#REF!</definedName>
    <definedName name="xsp3c185hv" localSheetId="3">#REF!</definedName>
    <definedName name="xsp3c185hv">#REF!</definedName>
    <definedName name="xsp3c2.5">#REF!</definedName>
    <definedName name="xsp3c240hv">#REF!</definedName>
    <definedName name="xsp4c10">#REF!</definedName>
    <definedName name="xsp4c120">#REF!</definedName>
    <definedName name="xsp4c150">#REF!</definedName>
    <definedName name="xsp4c16">#REF!</definedName>
    <definedName name="xsp4c185">#REF!</definedName>
    <definedName name="xsp4c2.5">#REF!</definedName>
    <definedName name="xsp4c240">#REF!</definedName>
    <definedName name="xsp4c25">#REF!</definedName>
    <definedName name="xsp4c300">#REF!</definedName>
    <definedName name="xsp4c35">#REF!</definedName>
    <definedName name="xsp4c4">#REF!</definedName>
    <definedName name="xsp4c50">#REF!</definedName>
    <definedName name="xsp4c6">#REF!</definedName>
    <definedName name="xsp4c70">#REF!</definedName>
    <definedName name="xsp4c95">#REF!</definedName>
    <definedName name="xtot">#REF!</definedName>
    <definedName name="xtr3pnc">#REF!</definedName>
    <definedName name="xtr3pvl">#REF!</definedName>
    <definedName name="xtrascg">#REF!</definedName>
    <definedName name="xval" localSheetId="3">#REF!</definedName>
    <definedName name="xval">#REF!</definedName>
    <definedName name="xxx" localSheetId="3">BOQ_G!xxx</definedName>
    <definedName name="xxx">BOQ_G!xxx</definedName>
    <definedName name="xxxx" localSheetId="3">#REF!</definedName>
    <definedName name="xxxx">#REF!</definedName>
    <definedName name="XXXXX" localSheetId="3">#REF!</definedName>
    <definedName name="XXXXX">#REF!</definedName>
    <definedName name="xxxxxx" localSheetId="3">#REF!</definedName>
    <definedName name="xxxxxx">#REF!</definedName>
    <definedName name="xyz" hidden="1">#REF!</definedName>
    <definedName name="Y">#REF!</definedName>
    <definedName name="Y_1">#REF!</definedName>
    <definedName name="Y_10">#REF!</definedName>
    <definedName name="Y_11">#REF!</definedName>
    <definedName name="Y_16">#REF!</definedName>
    <definedName name="Y_2">#REF!</definedName>
    <definedName name="Y_6">#REF!</definedName>
    <definedName name="Y_8">#REF!</definedName>
    <definedName name="y_strainer">#REF!</definedName>
    <definedName name="Y2_">#REF!</definedName>
    <definedName name="ya">#REF!</definedName>
    <definedName name="yb">#REF!</definedName>
    <definedName name="ybot">#REF!</definedName>
    <definedName name="yc">#REF!</definedName>
    <definedName name="yd">#REF!</definedName>
    <definedName name="year_curr">#REF!</definedName>
    <definedName name="Year_next">#REF!</definedName>
    <definedName name="year_prev_1">#REF!</definedName>
    <definedName name="year_prev_2">#REF!</definedName>
    <definedName name="yes" localSheetId="3"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f">#REF!</definedName>
    <definedName name="yg">#REF!</definedName>
    <definedName name="YGUJBH">#REF!</definedName>
    <definedName name="yh">#REF!</definedName>
    <definedName name="yhh">#REF!</definedName>
    <definedName name="Yjoint3c10">#REF!</definedName>
    <definedName name="Yjoint4c50">#REF!</definedName>
    <definedName name="YJY">#REF!</definedName>
    <definedName name="yn">#REF!</definedName>
    <definedName name="YNYNYNYNY">#REF!</definedName>
    <definedName name="Yr1_Months_of_opn">#REF!</definedName>
    <definedName name="yrdtytyt" localSheetId="3" hidden="1">{#N/A,#N/A,FALSE,"CCTV"}</definedName>
    <definedName name="yrdtytyt" hidden="1">{#N/A,#N/A,FALSE,"CCTV"}</definedName>
    <definedName name="ys" localSheetId="3">#REF!</definedName>
    <definedName name="ys">#REF!</definedName>
    <definedName name="ytot" localSheetId="3">#REF!</definedName>
    <definedName name="ytot">#REF!</definedName>
    <definedName name="YU"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i">#REF!</definedName>
    <definedName name="yva" localSheetId="3">#REF!</definedName>
    <definedName name="yva">#REF!</definedName>
    <definedName name="Z">#REF!</definedName>
    <definedName name="Z_1" localSheetId="3">#REF!</definedName>
    <definedName name="Z_1">#REF!</definedName>
    <definedName name="Z_10" localSheetId="3">#REF!</definedName>
    <definedName name="Z_10">#REF!</definedName>
    <definedName name="Z_11" localSheetId="3">#REF!</definedName>
    <definedName name="Z_11">#REF!</definedName>
    <definedName name="Z_16">#REF!</definedName>
    <definedName name="Z_2">#REF!</definedName>
    <definedName name="Z_6">#REF!</definedName>
    <definedName name="Z_8">#REF!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KAS">#REF!</definedName>
    <definedName name="Zbat">#REF!</definedName>
    <definedName name="Zeq00.48">#REF!</definedName>
    <definedName name="zeq10.48">#REF!</definedName>
    <definedName name="Zeq20.48">#REF!</definedName>
    <definedName name="Zero">#REF!</definedName>
    <definedName name="ZG">#REF!</definedName>
    <definedName name="ZM" localSheetId="3">#REF!</definedName>
    <definedName name="ZM">#REF!</definedName>
    <definedName name="zngr" localSheetId="3">#REF!</definedName>
    <definedName name="zngr">#REF!</definedName>
    <definedName name="Zone_eff_dis" localSheetId="3">#REF!</definedName>
    <definedName name="Zone_eff_dis">#REF!</definedName>
    <definedName name="Zone_impres_MI" localSheetId="3">#REF!</definedName>
    <definedName name="Zone_impres_MI">#REF!</definedName>
    <definedName name="zone_saisie" localSheetId="3">#REF!,#REF!,#REF!,#REF!</definedName>
    <definedName name="zone_saisie">#REF!,#REF!,#REF!,#REF!</definedName>
    <definedName name="zp" localSheetId="3">#REF!</definedName>
    <definedName name="zp">#REF!</definedName>
    <definedName name="Zps" localSheetId="3">#REF!</definedName>
    <definedName name="Zps">#REF!</definedName>
    <definedName name="zpsb" localSheetId="3">#REF!</definedName>
    <definedName name="zpsb">#REF!</definedName>
    <definedName name="Zpt">#REF!</definedName>
    <definedName name="zptb">#REF!</definedName>
    <definedName name="ZR">#REF!</definedName>
    <definedName name="Zs">#REF!</definedName>
    <definedName name="ZS0">#REF!</definedName>
    <definedName name="ZSo">#REF!</definedName>
    <definedName name="Zst">#REF!</definedName>
    <definedName name="zstb">#REF!</definedName>
    <definedName name="Zt">#REF!</definedName>
    <definedName name="Zx">#REF!</definedName>
    <definedName name="ZXC" localSheetId="3" hidden="1">{#N/A,#N/A,FALSE,"CCTV"}</definedName>
    <definedName name="ZXC" hidden="1">{#N/A,#N/A,FALSE,"CCTV"}</definedName>
    <definedName name="ZXCV" localSheetId="3" hidden="1">{#N/A,#N/A,FALSE,"CCTV"}</definedName>
    <definedName name="ZXCV" hidden="1">{#N/A,#N/A,FALSE,"CCTV"}</definedName>
    <definedName name="zxgsdfg" localSheetId="3" hidden="1">{"'Bill No. 7'!$A$1:$G$32"}</definedName>
    <definedName name="zxgsdfg" hidden="1">{"'Bill No. 7'!$A$1:$G$32"}</definedName>
    <definedName name="ZY" localSheetId="3">#REF!</definedName>
    <definedName name="ZY">#REF!</definedName>
    <definedName name="ZYX" localSheetId="3">#REF!</definedName>
    <definedName name="ZYX">#REF!</definedName>
    <definedName name="ZZ" localSheetId="3">#REF!</definedName>
    <definedName name="ZZ">#REF!</definedName>
    <definedName name="ZZZ">#REF!</definedName>
    <definedName name="ρ">#REF!</definedName>
    <definedName name="ρmin">#REF!</definedName>
    <definedName name="가" localSheetId="3" hidden="1">{#N/A,#N/A,FALSE,"CCTV"}</definedName>
    <definedName name="가" hidden="1">{#N/A,#N/A,FALSE,"CCTV"}</definedName>
    <definedName name="건물">#REF!</definedName>
    <definedName name="건축">#REF!</definedName>
    <definedName name="견적" localSheetId="3" hidden="1">{#N/A,#N/A,FALSE,"CCTV"}</definedName>
    <definedName name="견적" hidden="1">{#N/A,#N/A,FALSE,"CCTV"}</definedName>
    <definedName name="견적2" localSheetId="3" hidden="1">{#N/A,#N/A,FALSE,"CCTV"}</definedName>
    <definedName name="견적2" hidden="1">{#N/A,#N/A,FALSE,"CCTV"}</definedName>
    <definedName name="견적SHEET" localSheetId="3" hidden="1">{#N/A,#N/A,FALSE,"CCTV"}</definedName>
    <definedName name="견적SHEET" hidden="1">{#N/A,#N/A,FALSE,"CCTV"}</definedName>
    <definedName name="견적비교">#REF!</definedName>
    <definedName name="공일">#REF!</definedName>
    <definedName name="구조물공" localSheetId="3" hidden="1">{#N/A,#N/A,FALSE,"이정표"}</definedName>
    <definedName name="구조물공" hidden="1">{#N/A,#N/A,FALSE,"이정표"}</definedName>
    <definedName name="기계">#REF!</definedName>
    <definedName name="기계1">#REF!</definedName>
    <definedName name="기타">#REF!</definedName>
    <definedName name="ㄳ" localSheetId="3" hidden="1">{#N/A,#N/A,FALSE,"단가표지"}</definedName>
    <definedName name="ㄳ" hidden="1">{#N/A,#N/A,FALSE,"단가표지"}</definedName>
    <definedName name="ㄴㄴ" localSheetId="3" hidden="1">{#N/A,#N/A,FALSE,"표지목차"}</definedName>
    <definedName name="ㄴㄴ" hidden="1">{#N/A,#N/A,FALSE,"표지목차"}</definedName>
    <definedName name="ㄴㄹㅇㄴ" localSheetId="3" hidden="1">{#N/A,#N/A,FALSE,"CCTV"}</definedName>
    <definedName name="ㄴㄹㅇㄴ" hidden="1">{#N/A,#N/A,FALSE,"CCTV"}</definedName>
    <definedName name="ㄴㄻㄴㅇ" localSheetId="3" hidden="1">{#N/A,#N/A,FALSE,"조골재"}</definedName>
    <definedName name="ㄴㄻㄴㅇ" hidden="1">{#N/A,#N/A,FALSE,"조골재"}</definedName>
    <definedName name="ㄴㅁㄹㄴㅁㅇㄴㅇㅁㄹㄴ" localSheetId="3" hidden="1">{#N/A,#N/A,FALSE,"단가표지"}</definedName>
    <definedName name="ㄴㅁㄹㄴㅁㅇㄴㅇㅁㄹㄴ" hidden="1">{#N/A,#N/A,FALSE,"단가표지"}</definedName>
    <definedName name="나">#REF!</definedName>
    <definedName name="내">#REF!</definedName>
    <definedName name="내이름">#REF!</definedName>
    <definedName name="넣러" localSheetId="3" hidden="1">{#N/A,#N/A,FALSE,"표지목차"}</definedName>
    <definedName name="넣러" hidden="1">{#N/A,#N/A,FALSE,"표지목차"}</definedName>
    <definedName name="놓ㄹ노" localSheetId="3" hidden="1">{#N/A,#N/A,FALSE,"골재소요량";#N/A,#N/A,FALSE,"골재소요량"}</definedName>
    <definedName name="놓ㄹ노" hidden="1">{#N/A,#N/A,FALSE,"골재소요량";#N/A,#N/A,FALSE,"골재소요량"}</definedName>
    <definedName name="ㄶㅇㅀㄴㅇ" localSheetId="3" hidden="1">{#N/A,#N/A,FALSE,"표지목차"}</definedName>
    <definedName name="ㄶㅇㅀㄴㅇ" hidden="1">{#N/A,#N/A,FALSE,"표지목차"}</definedName>
    <definedName name="ㄷ1">#REF!</definedName>
    <definedName name="ㄷㄱ" localSheetId="3" hidden="1">{#N/A,#N/A,FALSE,"단가표지"}</definedName>
    <definedName name="ㄷㄱ" hidden="1">{#N/A,#N/A,FALSE,"단가표지"}</definedName>
    <definedName name="단가비교">#N/A</definedName>
    <definedName name="당초계획" hidden="1">#REF!</definedName>
    <definedName name="도면외주" hidden="1">#REF!</definedName>
    <definedName name="도면용역비" hidden="1">#REF!</definedName>
    <definedName name="ㄹㄴㅇㄻㄴ" localSheetId="3" hidden="1">{#N/A,#N/A,FALSE,"단가표지"}</definedName>
    <definedName name="ㄹㄴㅇㄻㄴ" hidden="1">{#N/A,#N/A,FALSE,"단가표지"}</definedName>
    <definedName name="ㄹㄴ웋" localSheetId="3" hidden="1">{#N/A,#N/A,FALSE,"운반시간"}</definedName>
    <definedName name="ㄹㄴ웋" hidden="1">{#N/A,#N/A,FALSE,"운반시간"}</definedName>
    <definedName name="ㄹㅇㄹ" localSheetId="3" hidden="1">{#N/A,#N/A,FALSE,"혼합골재"}</definedName>
    <definedName name="ㄹㅇㄹ" hidden="1">{#N/A,#N/A,FALSE,"혼합골재"}</definedName>
    <definedName name="ㄹㅇㅎㄴㅇ" localSheetId="3" hidden="1">{#N/A,#N/A,FALSE,"조골재"}</definedName>
    <definedName name="ㄹㅇㅎㄴㅇ" hidden="1">{#N/A,#N/A,FALSE,"조골재"}</definedName>
    <definedName name="래그" localSheetId="3" hidden="1">{#N/A,#N/A,FALSE,"CCTV"}</definedName>
    <definedName name="래그" hidden="1">{#N/A,#N/A,FALSE,"CCTV"}</definedName>
    <definedName name="ㄻㄴㄹㅇㄴㅁ" localSheetId="3" hidden="1">{#N/A,#N/A,FALSE,"운반시간"}</definedName>
    <definedName name="ㄻㄴㄹㅇㄴㅁ" hidden="1">{#N/A,#N/A,FALSE,"운반시간"}</definedName>
    <definedName name="ㄻㄴㅇㄻㄴ" localSheetId="3" hidden="1">{#N/A,#N/A,FALSE,"단가표지"}</definedName>
    <definedName name="ㄻㄴㅇㄻㄴ" hidden="1">{#N/A,#N/A,FALSE,"단가표지"}</definedName>
    <definedName name="ㄻㄴㅇㄻㄴㄹ" localSheetId="3" hidden="1">{#N/A,#N/A,FALSE,"2~8번"}</definedName>
    <definedName name="ㄻㄴㅇㄻㄴㄹ" hidden="1">{#N/A,#N/A,FALSE,"2~8번"}</definedName>
    <definedName name="ㄻㄴㅇㄻㄴㄻㄴㅁㄴ" localSheetId="3" hidden="1">{#N/A,#N/A,FALSE,"단가표지"}</definedName>
    <definedName name="ㄻㄴㅇㄻㄴㄻㄴㅁㄴ" hidden="1">{#N/A,#N/A,FALSE,"단가표지"}</definedName>
    <definedName name="ㄻㄴㅇㄻㄴㅁ" localSheetId="3" hidden="1">{#N/A,#N/A,FALSE,"운반시간"}</definedName>
    <definedName name="ㄻㄴㅇㄻㄴㅁ" hidden="1">{#N/A,#N/A,FALSE,"운반시간"}</definedName>
    <definedName name="ㄻㄴㅇㄻㄴㅇ" localSheetId="3" hidden="1">{#N/A,#N/A,FALSE,"단가표지"}</definedName>
    <definedName name="ㄻㄴㅇㄻㄴㅇ" hidden="1">{#N/A,#N/A,FALSE,"단가표지"}</definedName>
    <definedName name="ㄻㄴㅇㄻㄴㅇㄻ" localSheetId="3" hidden="1">{#N/A,#N/A,FALSE,"표지목차"}</definedName>
    <definedName name="ㄻㄴㅇㄻㄴㅇㄻ" hidden="1">{#N/A,#N/A,FALSE,"표지목차"}</definedName>
    <definedName name="ㄻㄴㅇㅁㄴㅇ" localSheetId="3" hidden="1">{#N/A,#N/A,FALSE,"단가표지"}</definedName>
    <definedName name="ㄻㄴㅇㅁㄴㅇ" hidden="1">{#N/A,#N/A,FALSE,"단가표지"}</definedName>
    <definedName name="ㄻㅁ" localSheetId="3" hidden="1">{#N/A,#N/A,FALSE,"조골재"}</definedName>
    <definedName name="ㄻㅁ" hidden="1">{#N/A,#N/A,FALSE,"조골재"}</definedName>
    <definedName name="ㅀㅇㅁ" localSheetId="3" hidden="1">{#N/A,#N/A,FALSE,"골재소요량";#N/A,#N/A,FALSE,"골재소요량"}</definedName>
    <definedName name="ㅀㅇㅁ" hidden="1">{#N/A,#N/A,FALSE,"골재소요량";#N/A,#N/A,FALSE,"골재소요량"}</definedName>
    <definedName name="ㅁ" hidden="1">#REF!</definedName>
    <definedName name="ㅁ1">#REF!</definedName>
    <definedName name="ㅁ139">#REF!</definedName>
    <definedName name="ㅁ1390">#REF!</definedName>
    <definedName name="ㅁ561">#REF!</definedName>
    <definedName name="ㅁ835">#REF!</definedName>
    <definedName name="ㅁㄴㄹㄴ" localSheetId="3" hidden="1">{#N/A,#N/A,FALSE,"운반시간"}</definedName>
    <definedName name="ㅁㄴㄹㄴ" hidden="1">{#N/A,#N/A,FALSE,"운반시간"}</definedName>
    <definedName name="ㅁㄴㄹㅇㅁ" localSheetId="3" hidden="1">{#N/A,#N/A,FALSE,"단가표지"}</definedName>
    <definedName name="ㅁㄴㄹㅇㅁ" hidden="1">{#N/A,#N/A,FALSE,"단가표지"}</definedName>
    <definedName name="ㅁㄴㅇ" hidden="1">#REF!</definedName>
    <definedName name="ㅁㄹㄴㅇ" localSheetId="3" hidden="1">{#N/A,#N/A,FALSE,"단가표지"}</definedName>
    <definedName name="ㅁㄹㄴㅇ" hidden="1">{#N/A,#N/A,FALSE,"단가표지"}</definedName>
    <definedName name="ㅁㄹㄴㅇㄻㄴㄹ" localSheetId="3" hidden="1">{#N/A,#N/A,FALSE,"골재소요량";#N/A,#N/A,FALSE,"골재소요량"}</definedName>
    <definedName name="ㅁㄹㄴㅇㄻㄴㄹ" hidden="1">{#N/A,#N/A,FALSE,"골재소요량";#N/A,#N/A,FALSE,"골재소요량"}</definedName>
    <definedName name="ㅁㄹㄴㅇㅁ" localSheetId="3" hidden="1">{#N/A,#N/A,FALSE,"표지목차"}</definedName>
    <definedName name="ㅁㄹㄴㅇㅁ" hidden="1">{#N/A,#N/A,FALSE,"표지목차"}</definedName>
    <definedName name="ㅁㄹㅇㄴ" localSheetId="3" hidden="1">{#N/A,#N/A,FALSE,"단가표지"}</definedName>
    <definedName name="ㅁㄹㅇㄴ" hidden="1">{#N/A,#N/A,FALSE,"단가표지"}</definedName>
    <definedName name="ㅁㄹㅇㅁㄴ" localSheetId="3" hidden="1">{#N/A,#N/A,FALSE,"골재소요량";#N/A,#N/A,FALSE,"골재소요량"}</definedName>
    <definedName name="ㅁㄹㅇㅁㄴ" hidden="1">{#N/A,#N/A,FALSE,"골재소요량";#N/A,#N/A,FALSE,"골재소요량"}</definedName>
    <definedName name="ㅁㄻㄴㄹ" localSheetId="3" hidden="1">{#N/A,#N/A,FALSE,"골재소요량";#N/A,#N/A,FALSE,"골재소요량"}</definedName>
    <definedName name="ㅁㄻㄴㄹ" hidden="1">{#N/A,#N/A,FALSE,"골재소요량";#N/A,#N/A,FALSE,"골재소요량"}</definedName>
    <definedName name="ㅁㅁ" localSheetId="3" hidden="1">{#N/A,#N/A,FALSE,"CCTV"}</definedName>
    <definedName name="ㅁㅁ" hidden="1">{#N/A,#N/A,FALSE,"CCTV"}</definedName>
    <definedName name="ㅁㅇㄹㄴㅇㅁㄹ" localSheetId="3" hidden="1">{#N/A,#N/A,FALSE,"운반시간"}</definedName>
    <definedName name="ㅁㅇㄹㄴㅇㅁㄹ" hidden="1">{#N/A,#N/A,FALSE,"운반시간"}</definedName>
    <definedName name="ㅁㅇㄻ" localSheetId="3" hidden="1">{#N/A,#N/A,FALSE,"조골재"}</definedName>
    <definedName name="ㅁㅇㄻ" hidden="1">{#N/A,#N/A,FALSE,"조골재"}</definedName>
    <definedName name="ㅁㅇㄻㄴㄹ" localSheetId="3" hidden="1">{#N/A,#N/A,FALSE,"혼합골재"}</definedName>
    <definedName name="ㅁㅇㄻㄴㄹ" hidden="1">{#N/A,#N/A,FALSE,"혼합골재"}</definedName>
    <definedName name="ㅁㅇㄻㅇㅎ" localSheetId="3" hidden="1">{#N/A,#N/A,FALSE,"조골재"}</definedName>
    <definedName name="ㅁㅇㄻㅇㅎ" hidden="1">{#N/A,#N/A,FALSE,"조골재"}</definedName>
    <definedName name="ㅁㅇㅀㅁㅇ" localSheetId="3" hidden="1">{#N/A,#N/A,FALSE,"단가표지"}</definedName>
    <definedName name="ㅁㅇㅀㅁㅇ" hidden="1">{#N/A,#N/A,FALSE,"단가표지"}</definedName>
    <definedName name="ㅁㅎㄻㅇㄻ" localSheetId="3" hidden="1">{#N/A,#N/A,FALSE,"운반시간"}</definedName>
    <definedName name="ㅁㅎㄻㅇㄻ" hidden="1">{#N/A,#N/A,FALSE,"운반시간"}</definedName>
    <definedName name="ㅁㅎㅇㅀㅁㅇ" localSheetId="3" hidden="1">{#N/A,#N/A,FALSE,"2~8번"}</definedName>
    <definedName name="ㅁㅎㅇㅀㅁㅇ" hidden="1">{#N/A,#N/A,FALSE,"2~8번"}</definedName>
    <definedName name="ㅁㅎㅇㅀㅁㅎ" localSheetId="3" hidden="1">{#N/A,#N/A,FALSE,"단가표지"}</definedName>
    <definedName name="ㅁㅎㅇㅀㅁㅎ" hidden="1">{#N/A,#N/A,FALSE,"단가표지"}</definedName>
    <definedName name="ㅂ"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ㅂㅂㅂ" localSheetId="3" hidden="1">{#N/A,#N/A,FALSE,"조골재"}</definedName>
    <definedName name="ㅂㅂㅂㅂ" hidden="1">{#N/A,#N/A,FALSE,"조골재"}</definedName>
    <definedName name="배수공" localSheetId="3" hidden="1">{#N/A,#N/A,FALSE,"부대1"}</definedName>
    <definedName name="배수공" hidden="1">{#N/A,#N/A,FALSE,"부대1"}</definedName>
    <definedName name="보충" hidden="1">#REF!</definedName>
    <definedName name="부대" localSheetId="3" hidden="1">{#N/A,#N/A,FALSE,"골재소요량";#N/A,#N/A,FALSE,"골재소요량"}</definedName>
    <definedName name="부대" hidden="1">{#N/A,#N/A,FALSE,"골재소요량";#N/A,#N/A,FALSE,"골재소요량"}</definedName>
    <definedName name="부대1" localSheetId="3" hidden="1">{#N/A,#N/A,FALSE,"운반시간"}</definedName>
    <definedName name="부대1" hidden="1">{#N/A,#N/A,FALSE,"운반시간"}</definedName>
    <definedName name="부대공사" hidden="1">#REF!</definedName>
    <definedName name="뷰" localSheetId="3" hidden="1">{#N/A,#N/A,FALSE,"단가표지"}</definedName>
    <definedName name="뷰" hidden="1">{#N/A,#N/A,FALSE,"단가표지"}</definedName>
    <definedName name="비교표">#REF!</definedName>
    <definedName name="ㅅ굲유" localSheetId="3" hidden="1">{#N/A,#N/A,FALSE,"조골재"}</definedName>
    <definedName name="ㅅ굲유" hidden="1">{#N/A,#N/A,FALSE,"조골재"}</definedName>
    <definedName name="사업부양식2" hidden="1">#REF!</definedName>
    <definedName name="사업비최종" localSheetId="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샘풀카피" localSheetId="3" hidden="1">{#N/A,#N/A,FALSE,"CCTV"}</definedName>
    <definedName name="샘풀카피" hidden="1">{#N/A,#N/A,FALSE,"CCTV"}</definedName>
    <definedName name="샘플카피2" localSheetId="3" hidden="1">{#N/A,#N/A,FALSE,"CCTV"}</definedName>
    <definedName name="샘플카피2" hidden="1">{#N/A,#N/A,FALSE,"CCTV"}</definedName>
    <definedName name="샘플카피3" localSheetId="3" hidden="1">{#N/A,#N/A,FALSE,"CCTV"}</definedName>
    <definedName name="샘플카피3" hidden="1">{#N/A,#N/A,FALSE,"CCTV"}</definedName>
    <definedName name="소모비">#REF!</definedName>
    <definedName name="손익계산서" hidden="1">#REF!</definedName>
    <definedName name="ㅇ191">#REF!</definedName>
    <definedName name="ㅇㄴㄻ" localSheetId="3" hidden="1">{#N/A,#N/A,FALSE,"표지목차"}</definedName>
    <definedName name="ㅇㄴㄻ" hidden="1">{#N/A,#N/A,FALSE,"표지목차"}</definedName>
    <definedName name="ㅇㄴㄻㄴㅇ" localSheetId="3" hidden="1">{#N/A,#N/A,FALSE,"표지목차"}</definedName>
    <definedName name="ㅇㄴㄻㄴㅇ" hidden="1">{#N/A,#N/A,FALSE,"표지목차"}</definedName>
    <definedName name="ㅇㄻㅇㄻㄴㄹ" localSheetId="3" hidden="1">{#N/A,#N/A,FALSE,"단가표지"}</definedName>
    <definedName name="ㅇㄻㅇㄻㄴㄹ" hidden="1">{#N/A,#N/A,FALSE,"단가표지"}</definedName>
    <definedName name="ㅇㅀㅁㅇㅁㅇ" localSheetId="3" hidden="1">{#N/A,#N/A,FALSE,"단가표지"}</definedName>
    <definedName name="ㅇㅀㅁㅇㅁㅇ" hidden="1">{#N/A,#N/A,FALSE,"단가표지"}</definedName>
    <definedName name="ㅇㅇㅇ" localSheetId="3" hidden="1">{#N/A,#N/A,FALSE,"표지목차"}</definedName>
    <definedName name="ㅇㅇㅇ" hidden="1">{#N/A,#N/A,FALSE,"표지목차"}</definedName>
    <definedName name="ㅇ호" localSheetId="3" hidden="1">{#N/A,#N/A,FALSE,"혼합골재"}</definedName>
    <definedName name="ㅇ호" hidden="1">{#N/A,#N/A,FALSE,"혼합골재"}</definedName>
    <definedName name="안전" localSheetId="3" hidden="1">{#N/A,#N/A,FALSE,"CCTV"}</definedName>
    <definedName name="안전" hidden="1">{#N/A,#N/A,FALSE,"CCTV"}</definedName>
    <definedName name="우ㅗ홓ㅇ" localSheetId="3" hidden="1">{#N/A,#N/A,FALSE,"조골재"}</definedName>
    <definedName name="우ㅗ홓ㅇ" hidden="1">{#N/A,#N/A,FALSE,"조골재"}</definedName>
    <definedName name="입찰현장조직">#REF!</definedName>
    <definedName name="ㅈㄱ" localSheetId="3" hidden="1">{#N/A,#N/A,FALSE,"CCTV"}</definedName>
    <definedName name="ㅈㄱ" hidden="1">{#N/A,#N/A,FALSE,"CCTV"}</definedName>
    <definedName name="ㅈ그" localSheetId="3" hidden="1">{#N/A,#N/A,FALSE,"CCTV"}</definedName>
    <definedName name="ㅈ그" hidden="1">{#N/A,#N/A,FALSE,"CCTV"}</definedName>
    <definedName name="전계장금액" hidden="1">#REF!</definedName>
    <definedName name="전기계장">#REF!</definedName>
    <definedName name="전기공사">#REF!</definedName>
    <definedName name="중기">#REF!</definedName>
    <definedName name="즈" localSheetId="3" hidden="1">{#N/A,#N/A,FALSE,"CCTV"}</definedName>
    <definedName name="즈" hidden="1">{#N/A,#N/A,FALSE,"CCTV"}</definedName>
    <definedName name="직원소요계획">#REF!</definedName>
    <definedName name="ㅉㅉㅉㅉㅉ" localSheetId="3" hidden="1">{"'장비'!$A$3:$M$12"}</definedName>
    <definedName name="ㅉㅉㅉㅉㅉ" hidden="1">{"'장비'!$A$3:$M$12"}</definedName>
    <definedName name="쪽쪽쪽" localSheetId="3" hidden="1">{"'장비'!$A$3:$M$12"}</definedName>
    <definedName name="쪽쪽쪽" hidden="1">{"'장비'!$A$3:$M$12"}</definedName>
    <definedName name="ㅊㅍㅋㅌㅊㅋ" localSheetId="3" hidden="1">{#N/A,#N/A,FALSE,"운반시간"}</definedName>
    <definedName name="ㅊㅍㅋㅌㅊㅋ" hidden="1">{#N/A,#N/A,FALSE,"운반시간"}</definedName>
    <definedName name="ㅊㅍㅋㅌㅍㅌ" localSheetId="3" hidden="1">{#N/A,#N/A,FALSE,"혼합골재"}</definedName>
    <definedName name="ㅊㅍㅋㅌㅍㅌ" hidden="1">{#N/A,#N/A,FALSE,"혼합골재"}</definedName>
    <definedName name="ㅌㅍ츛ㅌ" localSheetId="3" hidden="1">{#N/A,#N/A,FALSE,"운반시간"}</definedName>
    <definedName name="ㅌㅍ츛ㅌ" hidden="1">{#N/A,#N/A,FALSE,"운반시간"}</definedName>
    <definedName name="테스크" localSheetId="3" hidden="1">{#N/A,#N/A,FALSE,"단가표지"}</definedName>
    <definedName name="테스크" hidden="1">{#N/A,#N/A,FALSE,"단가표지"}</definedName>
    <definedName name="토목" localSheetId="3" hidden="1">{#N/A,#N/A,FALSE,"단가표지"}</definedName>
    <definedName name="토목" hidden="1">{#N/A,#N/A,FALSE,"단가표지"}</definedName>
    <definedName name="토목설계" localSheetId="3" hidden="1">{#N/A,#N/A,FALSE,"골재소요량";#N/A,#N/A,FALSE,"골재소요량"}</definedName>
    <definedName name="토목설계" hidden="1">{#N/A,#N/A,FALSE,"골재소요량";#N/A,#N/A,FALSE,"골재소요량"}</definedName>
    <definedName name="ㅍ춫" localSheetId="3" hidden="1">{#N/A,#N/A,FALSE,"골재소요량";#N/A,#N/A,FALSE,"골재소요량"}</definedName>
    <definedName name="ㅍ춫" hidden="1">{#N/A,#N/A,FALSE,"골재소요량";#N/A,#N/A,FALSE,"골재소요량"}</definedName>
    <definedName name="ㅍ츝" localSheetId="3" hidden="1">{#N/A,#N/A,FALSE,"표지목차"}</definedName>
    <definedName name="ㅍ츝" hidden="1">{#N/A,#N/A,FALSE,"표지목차"}</definedName>
    <definedName name="ㅎㄴ" localSheetId="3" hidden="1">{#N/A,#N/A,FALSE,"단가표지"}</definedName>
    <definedName name="ㅎㄴ" hidden="1">{#N/A,#N/A,FALSE,"단가표지"}</definedName>
    <definedName name="ㅎㄹㄴㅇ" localSheetId="3" hidden="1">{#N/A,#N/A,FALSE,"단가표지"}</definedName>
    <definedName name="ㅎㄹㄴㅇ" hidden="1">{#N/A,#N/A,FALSE,"단가표지"}</definedName>
    <definedName name="ㅎㄹㅇㄴ" localSheetId="3" hidden="1">{#N/A,#N/A,FALSE,"골재소요량";#N/A,#N/A,FALSE,"골재소요량"}</definedName>
    <definedName name="ㅎㄹㅇㄴ" hidden="1">{#N/A,#N/A,FALSE,"골재소요량";#N/A,#N/A,FALSE,"골재소요량"}</definedName>
    <definedName name="ㅎㄹㅇㅁㅁㅎ" localSheetId="3" hidden="1">{#N/A,#N/A,FALSE,"조골재"}</definedName>
    <definedName name="ㅎㄹㅇㅁㅁㅎ" hidden="1">{#N/A,#N/A,FALSE,"조골재"}</definedName>
    <definedName name="ㅎㄹㅇㅁㅎㅁ" localSheetId="3" hidden="1">{#N/A,#N/A,FALSE,"표지목차"}</definedName>
    <definedName name="ㅎㄹㅇㅁㅎㅁ" hidden="1">{#N/A,#N/A,FALSE,"표지목차"}</definedName>
    <definedName name="ㅎㄹㅇㅎ" localSheetId="3" hidden="1">{#N/A,#N/A,FALSE,"단가표지"}</definedName>
    <definedName name="ㅎㄹㅇㅎ" hidden="1">{#N/A,#N/A,FALSE,"단가표지"}</definedName>
    <definedName name="ㅎㄹㅇㅎㅇㅁㅎ" localSheetId="3" hidden="1">{#N/A,#N/A,FALSE,"운반시간"}</definedName>
    <definedName name="ㅎㄹㅇㅎㅇㅁㅎ" hidden="1">{#N/A,#N/A,FALSE,"운반시간"}</definedName>
    <definedName name="ㅎ륜ㅇㄹ" localSheetId="3" hidden="1">{#N/A,#N/A,FALSE,"2~8번"}</definedName>
    <definedName name="ㅎ륜ㅇㄹ" hidden="1">{#N/A,#N/A,FALSE,"2~8번"}</definedName>
    <definedName name="ㅎ르ㅓㅗㅓ" localSheetId="3" hidden="1">{#N/A,#N/A,FALSE,"골재소요량";#N/A,#N/A,FALSE,"골재소요량"}</definedName>
    <definedName name="ㅎ르ㅓㅗㅓ" hidden="1">{#N/A,#N/A,FALSE,"골재소요량";#N/A,#N/A,FALSE,"골재소요량"}</definedName>
    <definedName name="ㅎㄻㄹㅇㅎㅇㅁ" localSheetId="3" hidden="1">{#N/A,#N/A,FALSE,"혼합골재"}</definedName>
    <definedName name="ㅎㄻㄹㅇㅎㅇㅁ" hidden="1">{#N/A,#N/A,FALSE,"혼합골재"}</definedName>
    <definedName name="ㅎㄻㅇㅎㅁㅇㅎㅁㅇㅎ" localSheetId="3" hidden="1">{#N/A,#N/A,FALSE,"골재소요량";#N/A,#N/A,FALSE,"골재소요량"}</definedName>
    <definedName name="ㅎㄻㅇㅎㅁㅇㅎㅁㅇㅎ" hidden="1">{#N/A,#N/A,FALSE,"골재소요량";#N/A,#N/A,FALSE,"골재소요량"}</definedName>
    <definedName name="ㅎㅁㅇㅀㅁㅇ" localSheetId="3" hidden="1">{#N/A,#N/A,FALSE,"단가표지"}</definedName>
    <definedName name="ㅎㅁㅇㅀㅁㅇ" hidden="1">{#N/A,#N/A,FALSE,"단가표지"}</definedName>
    <definedName name="ㅎㅁㅇㅀㅁㅇㅎㅁ" localSheetId="3" hidden="1">{#N/A,#N/A,FALSE,"단가표지"}</definedName>
    <definedName name="ㅎㅁㅇㅀㅁㅇㅎㅁ" hidden="1">{#N/A,#N/A,FALSE,"단가표지"}</definedName>
    <definedName name="ㅎㅇㄴ" localSheetId="3" hidden="1">{#N/A,#N/A,FALSE,"단가표지"}</definedName>
    <definedName name="ㅎㅇㄴ" hidden="1">{#N/A,#N/A,FALSE,"단가표지"}</definedName>
    <definedName name="ㅎㅇㄹ홍ㄴ로" localSheetId="3" hidden="1">{#N/A,#N/A,FALSE,"단가표지"}</definedName>
    <definedName name="ㅎㅇㄹ홍ㄴ로" hidden="1">{#N/A,#N/A,FALSE,"단가표지"}</definedName>
    <definedName name="ㅎㅇㄻㅎㅁㅇ" localSheetId="3" hidden="1">{#N/A,#N/A,FALSE,"혼합골재"}</definedName>
    <definedName name="ㅎㅇㄻㅎㅁㅇ" hidden="1">{#N/A,#N/A,FALSE,"혼합골재"}</definedName>
    <definedName name="ㅎㅇㄻㅎㅁㅎㅁㅇ" localSheetId="3" hidden="1">{#N/A,#N/A,FALSE,"운반시간"}</definedName>
    <definedName name="ㅎㅇㄻㅎㅁㅎㅁㅇ" hidden="1">{#N/A,#N/A,FALSE,"운반시간"}</definedName>
    <definedName name="ㅎㅇㅀ" localSheetId="3" hidden="1">{#N/A,#N/A,FALSE,"단가표지"}</definedName>
    <definedName name="ㅎㅇㅀ" hidden="1">{#N/A,#N/A,FALSE,"단가표지"}</definedName>
    <definedName name="ㅎㅇㅀㄴ" localSheetId="3" hidden="1">{#N/A,#N/A,FALSE,"골재소요량";#N/A,#N/A,FALSE,"골재소요량"}</definedName>
    <definedName name="ㅎㅇㅀㄴ" hidden="1">{#N/A,#N/A,FALSE,"골재소요량";#N/A,#N/A,FALSE,"골재소요량"}</definedName>
    <definedName name="ㅎㅇㅀㅁㅇㅎㅁㅇ" localSheetId="3" hidden="1">{#N/A,#N/A,FALSE,"단가표지"}</definedName>
    <definedName name="ㅎㅇㅀㅁㅇㅎㅁㅇ" hidden="1">{#N/A,#N/A,FALSE,"단가표지"}</definedName>
    <definedName name="ㅎㅇㅀㅇㅀ" localSheetId="3" hidden="1">{#N/A,#N/A,FALSE,"표지목차"}</definedName>
    <definedName name="ㅎㅇㅀㅇㅀ" hidden="1">{#N/A,#N/A,FALSE,"표지목차"}</definedName>
    <definedName name="ㅎㅇㅀㅇㅀㅇ" localSheetId="3" hidden="1">{#N/A,#N/A,FALSE,"표지목차"}</definedName>
    <definedName name="ㅎㅇㅀㅇㅀㅇ" hidden="1">{#N/A,#N/A,FALSE,"표지목차"}</definedName>
    <definedName name="ㅎㅇㅁㄴㄹ" localSheetId="3" hidden="1">{#N/A,#N/A,FALSE,"운반시간"}</definedName>
    <definedName name="ㅎㅇㅁㄴㄹ" hidden="1">{#N/A,#N/A,FALSE,"운반시간"}</definedName>
    <definedName name="ㅎㅇㅁㅀㅁㅇ" localSheetId="3" hidden="1">{#N/A,#N/A,FALSE,"단가표지"}</definedName>
    <definedName name="ㅎㅇㅁㅀㅁㅇ" hidden="1">{#N/A,#N/A,FALSE,"단가표지"}</definedName>
    <definedName name="호우" localSheetId="3" hidden="1">{#N/A,#N/A,FALSE,"표지목차"}</definedName>
    <definedName name="호우" hidden="1">{#N/A,#N/A,FALSE,"표지목차"}</definedName>
    <definedName name="호우ㅗ" localSheetId="3" hidden="1">{#N/A,#N/A,FALSE,"단가표지"}</definedName>
    <definedName name="호우ㅗ" hidden="1">{#N/A,#N/A,FALSE,"단가표지"}</definedName>
    <definedName name="호ㅓㅎ" localSheetId="3" hidden="1">{#N/A,#N/A,FALSE,"표지목차"}</definedName>
    <definedName name="호ㅓㅎ" hidden="1">{#N/A,#N/A,FALSE,"표지목차"}</definedName>
    <definedName name="혼ㄹ" localSheetId="3" hidden="1">{#N/A,#N/A,FALSE,"운반시간"}</definedName>
    <definedName name="혼ㄹ" hidden="1">{#N/A,#N/A,FALSE,"운반시간"}</definedName>
    <definedName name="홀ㄴㄺㅅ" localSheetId="3" hidden="1">{#N/A,#N/A,FALSE,"단가표지"}</definedName>
    <definedName name="홀ㄴㄺㅅ" hidden="1">{#N/A,#N/A,FALSE,"단가표지"}</definedName>
    <definedName name="홓렁호ㅓ호" localSheetId="3" hidden="1">{#N/A,#N/A,FALSE,"단가표지"}</definedName>
    <definedName name="홓렁호ㅓ호" hidden="1">{#N/A,#N/A,FALSE,"단가표지"}</definedName>
    <definedName name="홓로" localSheetId="3" hidden="1">{#N/A,#N/A,FALSE,"단가표지"}</definedName>
    <definedName name="홓로" hidden="1">{#N/A,#N/A,FALSE,"단가표지"}</definedName>
    <definedName name="화허호ㅓ" localSheetId="3" hidden="1">{#N/A,#N/A,FALSE,"조골재"}</definedName>
    <definedName name="화허호ㅓ" hidden="1">{#N/A,#N/A,FALSE,"조골재"}</definedName>
    <definedName name="ㅏ허화" localSheetId="3" hidden="1">{#N/A,#N/A,FALSE,"골재소요량";#N/A,#N/A,FALSE,"골재소요량"}</definedName>
    <definedName name="ㅏ허화" hidden="1">{#N/A,#N/A,FALSE,"골재소요량";#N/A,#N/A,FALSE,"골재소요량"}</definedName>
    <definedName name="ㅏㅓ화호" localSheetId="3" hidden="1">{#N/A,#N/A,FALSE,"단가표지"}</definedName>
    <definedName name="ㅏㅓ화호" hidden="1">{#N/A,#N/A,FALSE,"단가표지"}</definedName>
    <definedName name="ㅏㅓㅗ라" localSheetId="3" hidden="1">{#N/A,#N/A,FALSE,"골재소요량";#N/A,#N/A,FALSE,"골재소요량"}</definedName>
    <definedName name="ㅏㅓㅗ라" hidden="1">{#N/A,#N/A,FALSE,"골재소요량";#N/A,#N/A,FALSE,"골재소요량"}</definedName>
    <definedName name="ㅏㅓㅗㅎ" localSheetId="3" hidden="1">{#N/A,#N/A,FALSE,"운반시간"}</definedName>
    <definedName name="ㅏㅓㅗㅎ" hidden="1">{#N/A,#N/A,FALSE,"운반시간"}</definedName>
    <definedName name="ㅏㅓㅗㅓ" localSheetId="3" hidden="1">{#N/A,#N/A,FALSE,"운반시간"}</definedName>
    <definedName name="ㅏㅓㅗㅓ" hidden="1">{#N/A,#N/A,FALSE,"운반시간"}</definedName>
    <definedName name="ㅏㅓㅘ허호" localSheetId="3" hidden="1">{#N/A,#N/A,FALSE,"단가표지"}</definedName>
    <definedName name="ㅏㅓㅘ허호" hidden="1">{#N/A,#N/A,FALSE,"단가표지"}</definedName>
    <definedName name="ㅏㅗㅓㅏ화호" localSheetId="3" hidden="1">{#N/A,#N/A,FALSE,"표지목차"}</definedName>
    <definedName name="ㅏㅗㅓㅏ화호" hidden="1">{#N/A,#N/A,FALSE,"표지목차"}</definedName>
    <definedName name="ㅏㅣ" localSheetId="3" hidden="1">{#N/A,#N/A,FALSE,"단가표지"}</definedName>
    <definedName name="ㅏㅣ" hidden="1">{#N/A,#N/A,FALSE,"단가표지"}</definedName>
    <definedName name="ㅐ1236">#REF!</definedName>
    <definedName name="ㅑ3081">#REF!</definedName>
    <definedName name="ㅓ롤" localSheetId="3" hidden="1">{#N/A,#N/A,FALSE,"골재소요량";#N/A,#N/A,FALSE,"골재소요량"}</definedName>
    <definedName name="ㅓ롤" hidden="1">{#N/A,#N/A,FALSE,"골재소요량";#N/A,#N/A,FALSE,"골재소요량"}</definedName>
    <definedName name="ㅓㅇㄴ" localSheetId="3" hidden="1">{#N/A,#N/A,FALSE,"단가표지"}</definedName>
    <definedName name="ㅓㅇㄴ" hidden="1">{#N/A,#N/A,FALSE,"단가표지"}</definedName>
    <definedName name="ㅓㅇ호ㅓㅇ호ㅓㅇ허" localSheetId="3" hidden="1">{#N/A,#N/A,FALSE,"표지목차"}</definedName>
    <definedName name="ㅓㅇ호ㅓㅇ호ㅓㅇ허" hidden="1">{#N/A,#N/A,FALSE,"표지목차"}</definedName>
    <definedName name="ㅓㅎ렁홍" localSheetId="3" hidden="1">{#N/A,#N/A,FALSE,"혼합골재"}</definedName>
    <definedName name="ㅓㅎ렁홍" hidden="1">{#N/A,#N/A,FALSE,"혼합골재"}</definedName>
    <definedName name="ㅓㅎ로ㅗㄴ" localSheetId="3" hidden="1">{#N/A,#N/A,FALSE,"단가표지"}</definedName>
    <definedName name="ㅓㅎ로ㅗㄴ" hidden="1">{#N/A,#N/A,FALSE,"단가표지"}</definedName>
    <definedName name="ㅓㅎㅇㅎ" localSheetId="3" hidden="1">{#N/A,#N/A,FALSE,"운반시간"}</definedName>
    <definedName name="ㅓㅎㅇㅎ" hidden="1">{#N/A,#N/A,FALSE,"운반시간"}</definedName>
    <definedName name="ㅓ호ㅓ" localSheetId="3" hidden="1">{#N/A,#N/A,FALSE,"표지목차"}</definedName>
    <definedName name="ㅓ호ㅓ" hidden="1">{#N/A,#N/A,FALSE,"표지목차"}</definedName>
    <definedName name="ㅓ호ㅓㅗㄹ" localSheetId="3" hidden="1">{#N/A,#N/A,FALSE,"단가표지"}</definedName>
    <definedName name="ㅓ호ㅓㅗㄹ" hidden="1">{#N/A,#N/A,FALSE,"단가표지"}</definedName>
    <definedName name="ㅓㅏ호" localSheetId="3" hidden="1">{#N/A,#N/A,FALSE,"단가표지"}</definedName>
    <definedName name="ㅓㅏ호" hidden="1">{#N/A,#N/A,FALSE,"단가표지"}</definedName>
    <definedName name="ㅓㅏ호ㅓ" localSheetId="3" hidden="1">{#N/A,#N/A,FALSE,"단가표지"}</definedName>
    <definedName name="ㅓㅏ호ㅓ" hidden="1">{#N/A,#N/A,FALSE,"단가표지"}</definedName>
    <definedName name="ㅓㅏㅗ하ㅗㅓㅎ" localSheetId="3" hidden="1">{#N/A,#N/A,FALSE,"혼합골재"}</definedName>
    <definedName name="ㅓㅏㅗ하ㅗㅓㅎ" hidden="1">{#N/A,#N/A,FALSE,"혼합골재"}</definedName>
    <definedName name="ㅓㅗ" localSheetId="3" hidden="1">{#N/A,#N/A,FALSE,"운반시간"}</definedName>
    <definedName name="ㅓㅗ" hidden="1">{#N/A,#N/A,FALSE,"운반시간"}</definedName>
    <definedName name="ㅓㅗㅎㄹ" localSheetId="3" hidden="1">{#N/A,#N/A,FALSE,"조골재"}</definedName>
    <definedName name="ㅓㅗㅎㄹ" hidden="1">{#N/A,#N/A,FALSE,"조골재"}</definedName>
    <definedName name="ㅓㅗㅎ러ㅗㅎ러" localSheetId="3" hidden="1">{#N/A,#N/A,FALSE,"혼합골재"}</definedName>
    <definedName name="ㅓㅗㅎ러ㅗㅎ러" hidden="1">{#N/A,#N/A,FALSE,"혼합골재"}</definedName>
    <definedName name="ㅓㅗㅎ러ㅗ호ㅓ" localSheetId="3" hidden="1">{#N/A,#N/A,FALSE,"단가표지"}</definedName>
    <definedName name="ㅓㅗㅎ러ㅗ호ㅓ" hidden="1">{#N/A,#N/A,FALSE,"단가표지"}</definedName>
    <definedName name="ㅓㅗ허" localSheetId="3" hidden="1">{#N/A,#N/A,FALSE,"조골재"}</definedName>
    <definedName name="ㅓㅗ허" hidden="1">{#N/A,#N/A,FALSE,"조골재"}</definedName>
    <definedName name="ㅓㅗ허ㅗㄹ" localSheetId="3" hidden="1">{#N/A,#N/A,FALSE,"운반시간"}</definedName>
    <definedName name="ㅓㅗ허ㅗㄹ" hidden="1">{#N/A,#N/A,FALSE,"운반시간"}</definedName>
    <definedName name="ㅓㅗ허ㅗㅎㄹ" localSheetId="3" hidden="1">{#N/A,#N/A,FALSE,"골재소요량";#N/A,#N/A,FALSE,"골재소요량"}</definedName>
    <definedName name="ㅓㅗ허ㅗㅎㄹ" hidden="1">{#N/A,#N/A,FALSE,"골재소요량";#N/A,#N/A,FALSE,"골재소요량"}</definedName>
    <definedName name="ㅓㅗ허ㅗㅎ러" localSheetId="3" hidden="1">{#N/A,#N/A,FALSE,"운반시간"}</definedName>
    <definedName name="ㅓㅗ허ㅗㅎ러" hidden="1">{#N/A,#N/A,FALSE,"운반시간"}</definedName>
    <definedName name="ㅓㅗ헝홍허" localSheetId="3" hidden="1">{#N/A,#N/A,FALSE,"골재소요량";#N/A,#N/A,FALSE,"골재소요량"}</definedName>
    <definedName name="ㅓㅗ헝홍허" hidden="1">{#N/A,#N/A,FALSE,"골재소요량";#N/A,#N/A,FALSE,"골재소요량"}</definedName>
    <definedName name="ㅓㅗ헣ㄹ" localSheetId="3" hidden="1">{#N/A,#N/A,FALSE,"단가표지"}</definedName>
    <definedName name="ㅓㅗ헣ㄹ" hidden="1">{#N/A,#N/A,FALSE,"단가표지"}</definedName>
    <definedName name="ㅓㅗ헣러" localSheetId="3" hidden="1">{#N/A,#N/A,FALSE,"단가표지"}</definedName>
    <definedName name="ㅓㅗ헣러" hidden="1">{#N/A,#N/A,FALSE,"단가표지"}</definedName>
    <definedName name="ㅓㅗ헣로ㅓ" localSheetId="3" hidden="1">{#N/A,#N/A,FALSE,"조골재"}</definedName>
    <definedName name="ㅓㅗ헣로ㅓ" hidden="1">{#N/A,#N/A,FALSE,"조골재"}</definedName>
    <definedName name="ㅓㅗ헣호ㅓ" localSheetId="3" hidden="1">{#N/A,#N/A,FALSE,"조골재"}</definedName>
    <definedName name="ㅓㅗ헣호ㅓ" hidden="1">{#N/A,#N/A,FALSE,"조골재"}</definedName>
    <definedName name="ㅓㅗ호" localSheetId="3" hidden="1">{#N/A,#N/A,FALSE,"단가표지"}</definedName>
    <definedName name="ㅓㅗ호" hidden="1">{#N/A,#N/A,FALSE,"단가표지"}</definedName>
    <definedName name="ㅓㅗ호ㅓㅗ" localSheetId="3" hidden="1">{#N/A,#N/A,FALSE,"2~8번"}</definedName>
    <definedName name="ㅓㅗ호ㅓㅗ" hidden="1">{#N/A,#N/A,FALSE,"2~8번"}</definedName>
    <definedName name="ㅓㅗㅗ" localSheetId="3" hidden="1">{#N/A,#N/A,FALSE,"단가표지"}</definedName>
    <definedName name="ㅓㅗㅗ" hidden="1">{#N/A,#N/A,FALSE,"단가표지"}</definedName>
    <definedName name="ㅓㅗㅗㅗ" localSheetId="3" hidden="1">{#N/A,#N/A,FALSE,"골재소요량";#N/A,#N/A,FALSE,"골재소요량"}</definedName>
    <definedName name="ㅓㅗㅗㅗ" hidden="1">{#N/A,#N/A,FALSE,"골재소요량";#N/A,#N/A,FALSE,"골재소요량"}</definedName>
    <definedName name="ㅗㄹㄶ" localSheetId="3" hidden="1">{#N/A,#N/A,FALSE,"조골재"}</definedName>
    <definedName name="ㅗㄹㄶ" hidden="1">{#N/A,#N/A,FALSE,"조골재"}</definedName>
    <definedName name="ㅗㅎ" localSheetId="3" hidden="1">{#N/A,#N/A,FALSE,"운반시간"}</definedName>
    <definedName name="ㅗㅎ" hidden="1">{#N/A,#N/A,FALSE,"운반시간"}</definedName>
    <definedName name="ㅗㅎㄴ" localSheetId="3" hidden="1">{#N/A,#N/A,FALSE,"골재소요량";#N/A,#N/A,FALSE,"골재소요량"}</definedName>
    <definedName name="ㅗㅎㄴ" hidden="1">{#N/A,#N/A,FALSE,"골재소요량";#N/A,#N/A,FALSE,"골재소요량"}</definedName>
    <definedName name="ㅗㅎㄴㄹ" localSheetId="3" hidden="1">{#N/A,#N/A,FALSE,"단가표지"}</definedName>
    <definedName name="ㅗㅎㄴㄹ" hidden="1">{#N/A,#N/A,FALSE,"단가표지"}</definedName>
    <definedName name="ㅗㅎ로ㅜ" localSheetId="3" hidden="1">{#N/A,#N/A,FALSE,"운반시간"}</definedName>
    <definedName name="ㅗㅎ로ㅜ" hidden="1">{#N/A,#N/A,FALSE,"운반시간"}</definedName>
    <definedName name="ㅗㅎ론ㄹ" localSheetId="3" hidden="1">{#N/A,#N/A,FALSE,"표지목차"}</definedName>
    <definedName name="ㅗㅎ론ㄹ" hidden="1">{#N/A,#N/A,FALSE,"표지목차"}</definedName>
    <definedName name="ㅗㅎ롯홋ㄱ" localSheetId="3" hidden="1">{#N/A,#N/A,FALSE,"혼합골재"}</definedName>
    <definedName name="ㅗㅎ롯홋ㄱ" hidden="1">{#N/A,#N/A,FALSE,"혼합골재"}</definedName>
    <definedName name="ㅗ허ㅗ" localSheetId="3" hidden="1">{#N/A,#N/A,FALSE,"단가표지"}</definedName>
    <definedName name="ㅗ허ㅗ" hidden="1">{#N/A,#N/A,FALSE,"단가표지"}</definedName>
    <definedName name="ㅗ호" localSheetId="3" hidden="1">{#N/A,#N/A,FALSE,"단가표지"}</definedName>
    <definedName name="ㅗ호" hidden="1">{#N/A,#N/A,FALSE,"단가표지"}</definedName>
    <definedName name="ㅗㅓ쇼ㅓㅕㄷ쇼ㅓㅕㄷㅅ" localSheetId="3" hidden="1">{#N/A,#N/A,FALSE,"단가표지"}</definedName>
    <definedName name="ㅗㅓ쇼ㅓㅕㄷ쇼ㅓㅕㄷㅅ" hidden="1">{#N/A,#N/A,FALSE,"단가표지"}</definedName>
    <definedName name="ㅗㅓㅎ로ㅓㅎㄹ" localSheetId="3" hidden="1">{#N/A,#N/A,FALSE,"표지목차"}</definedName>
    <definedName name="ㅗㅓㅎ로ㅓㅎㄹ" hidden="1">{#N/A,#N/A,FALSE,"표지목차"}</definedName>
    <definedName name="ㅗㅠㅍ" localSheetId="3" hidden="1">{#N/A,#N/A,FALSE,"혼합골재"}</definedName>
    <definedName name="ㅗㅠㅍ" hidden="1">{#N/A,#N/A,FALSE,"혼합골재"}</definedName>
    <definedName name="ㅜ" localSheetId="3" hidden="1">{#N/A,#N/A,FALSE,"CCTV"}</definedName>
    <definedName name="ㅜ" hidden="1">{#N/A,#N/A,FALSE,"CCTV"}</definedName>
    <definedName name="ㅜㄴㄱ" localSheetId="3" hidden="1">{#N/A,#N/A,FALSE,"운반시간"}</definedName>
    <definedName name="ㅜㄴㄱ" hidden="1">{#N/A,#N/A,FALSE,"운반시간"}</definedName>
    <definedName name="ㅜㄹ윤" localSheetId="3" hidden="1">{#N/A,#N/A,FALSE,"단가표지"}</definedName>
    <definedName name="ㅜㄹ윤" hidden="1">{#N/A,#N/A,FALSE,"단가표지"}</definedName>
    <definedName name="ㅜㅊㅍ" localSheetId="3" hidden="1">{#N/A,#N/A,FALSE,"표지목차"}</definedName>
    <definedName name="ㅜㅊㅍ" hidden="1">{#N/A,#N/A,FALSE,"표지목차"}</definedName>
    <definedName name="ㅜㅋㅊㅍ" localSheetId="3" hidden="1">{#N/A,#N/A,FALSE,"조골재"}</definedName>
    <definedName name="ㅜㅋㅊㅍ" hidden="1">{#N/A,#N/A,FALSE,"조골재"}</definedName>
    <definedName name="ㅜㅍ추ㅠ" localSheetId="3" hidden="1">{#N/A,#N/A,FALSE,"혼합골재"}</definedName>
    <definedName name="ㅜㅍ추ㅠ" hidden="1">{#N/A,#N/A,FALSE,"혼합골재"}</definedName>
    <definedName name="ㅜㅎㄴ" localSheetId="3" hidden="1">{#N/A,#N/A,FALSE,"골재소요량";#N/A,#N/A,FALSE,"골재소요량"}</definedName>
    <definedName name="ㅜㅎㄴ" hidden="1">{#N/A,#N/A,FALSE,"골재소요량";#N/A,#N/A,FALSE,"골재소요량"}</definedName>
    <definedName name="ㅜㅎㅅㄱㄴ" localSheetId="3" hidden="1">{#N/A,#N/A,FALSE,"단가표지"}</definedName>
    <definedName name="ㅜㅎㅅㄱㄴ" hidden="1">{#N/A,#N/A,FALSE,"단가표지"}</definedName>
    <definedName name="ㅜㅗㅇㅎㅌ" localSheetId="3" hidden="1">{#N/A,#N/A,FALSE,"단가표지"}</definedName>
    <definedName name="ㅜㅗㅇㅎㅌ" hidden="1">{#N/A,#N/A,FALSE,"단가표지"}</definedName>
    <definedName name="ㅜㅗㅇ훟" localSheetId="3" hidden="1">{#N/A,#N/A,FALSE,"단가표지"}</definedName>
    <definedName name="ㅜㅗㅇ훟" hidden="1">{#N/A,#N/A,FALSE,"단가표지"}</definedName>
    <definedName name="ㅜㅗㅗㅗㅇㅎ" localSheetId="3" hidden="1">{#N/A,#N/A,FALSE,"운반시간"}</definedName>
    <definedName name="ㅜㅗㅗㅗㅇㅎ" hidden="1">{#N/A,#N/A,FALSE,"운반시간"}</definedName>
    <definedName name="ㅜㅠ푸" localSheetId="3" hidden="1">{#N/A,#N/A,FALSE,"운반시간"}</definedName>
    <definedName name="ㅜㅠ푸" hidden="1">{#N/A,#N/A,FALSE,"운반시간"}</definedName>
    <definedName name="ㅜㅠㅠ" localSheetId="3" hidden="1">{#N/A,#N/A,FALSE,"골재소요량";#N/A,#N/A,FALSE,"골재소요량"}</definedName>
    <definedName name="ㅜㅠㅠ" hidden="1">{#N/A,#N/A,FALSE,"골재소요량";#N/A,#N/A,FALSE,"골재소요량"}</definedName>
    <definedName name="ㅝㅎㄹ" localSheetId="3" hidden="1">{#N/A,#N/A,FALSE,"단가표지"}</definedName>
    <definedName name="ㅝㅎㄹ" hidden="1">{#N/A,#N/A,FALSE,"단가표지"}</definedName>
    <definedName name="ㅠㄴ" localSheetId="3" hidden="1">{#N/A,#N/A,FALSE,"조골재"}</definedName>
    <definedName name="ㅠㄴ" hidden="1">{#N/A,#N/A,FALSE,"조골재"}</definedName>
    <definedName name="ㅠㄹㅇㄴㄴㄹㅇ" localSheetId="3" hidden="1">{#N/A,#N/A,FALSE,"단가표지"}</definedName>
    <definedName name="ㅠㄹㅇㄴㄴㄹㅇ" hidden="1">{#N/A,#N/A,FALSE,"단가표지"}</definedName>
    <definedName name="ㅠㅊㅌ퓿ㅌ" localSheetId="3" hidden="1">{#N/A,#N/A,FALSE,"2~8번"}</definedName>
    <definedName name="ㅠㅊㅌ퓿ㅌ" hidden="1">{#N/A,#N/A,FALSE,"2~8번"}</definedName>
    <definedName name="ㅠㅊㅍㅌ" localSheetId="3" hidden="1">{#N/A,#N/A,FALSE,"단가표지"}</definedName>
    <definedName name="ㅠㅊㅍㅌ" hidden="1">{#N/A,#N/A,FALSE,"단가표지"}</definedName>
    <definedName name="ㅠㅊㅍ튜" localSheetId="3" hidden="1">{#N/A,#N/A,FALSE,"단가표지"}</definedName>
    <definedName name="ㅠㅊㅍ튜" hidden="1">{#N/A,#N/A,FALSE,"단가표지"}</definedName>
    <definedName name="ㅠㅊㅍ튵ㅊ" localSheetId="3" hidden="1">{#N/A,#N/A,FALSE,"운반시간"}</definedName>
    <definedName name="ㅠㅊㅍ튵ㅊ" hidden="1">{#N/A,#N/A,FALSE,"운반시간"}</definedName>
    <definedName name="ㅠㅊ픁츄" localSheetId="3" hidden="1">{#N/A,#N/A,FALSE,"단가표지"}</definedName>
    <definedName name="ㅠㅊ픁츄" hidden="1">{#N/A,#N/A,FALSE,"단가표지"}</definedName>
    <definedName name="ㅠㅍ" localSheetId="3" hidden="1">{#N/A,#N/A,FALSE,"조골재"}</definedName>
    <definedName name="ㅠㅍ" hidden="1">{#N/A,#N/A,FALSE,"조골재"}</definedName>
    <definedName name="ㅠㅍㅊ" localSheetId="3" hidden="1">{#N/A,#N/A,FALSE,"단가표지"}</definedName>
    <definedName name="ㅠㅍㅊ" hidden="1">{#N/A,#N/A,FALSE,"단가표지"}</definedName>
    <definedName name="ㅠㅍㅊ튳" localSheetId="3" hidden="1">{#N/A,#N/A,FALSE,"표지목차"}</definedName>
    <definedName name="ㅠㅍㅊ튳" hidden="1">{#N/A,#N/A,FALSE,"표지목차"}</definedName>
    <definedName name="ㅠㅍㅊ튳ㅌㅍ" localSheetId="3" hidden="1">{#N/A,#N/A,FALSE,"조골재"}</definedName>
    <definedName name="ㅠㅍㅊ튳ㅌㅍ" hidden="1">{#N/A,#N/A,FALSE,"조골재"}</definedName>
    <definedName name="ㅠㅍㅊ튵" localSheetId="3" hidden="1">{#N/A,#N/A,FALSE,"골재소요량";#N/A,#N/A,FALSE,"골재소요량"}</definedName>
    <definedName name="ㅠㅍㅊ튵" hidden="1">{#N/A,#N/A,FALSE,"골재소요량";#N/A,#N/A,FALSE,"골재소요량"}</definedName>
    <definedName name="ㅠㅍㅊ튵ㅊ" localSheetId="3" hidden="1">{#N/A,#N/A,FALSE,"단가표지"}</definedName>
    <definedName name="ㅠㅍㅊ튵ㅊ" hidden="1">{#N/A,#N/A,FALSE,"단가표지"}</definedName>
    <definedName name="ㅠㅍ츄ㅜ" localSheetId="3" hidden="1">{#N/A,#N/A,FALSE,"단가표지"}</definedName>
    <definedName name="ㅠㅍ츄ㅜ" hidden="1">{#N/A,#N/A,FALSE,"단가표지"}</definedName>
    <definedName name="ㅠㅍ츛ㅍ" localSheetId="3" hidden="1">{#N/A,#N/A,FALSE,"혼합골재"}</definedName>
    <definedName name="ㅠㅍ츛ㅍ" hidden="1">{#N/A,#N/A,FALSE,"혼합골재"}</definedName>
    <definedName name="ㅠㅍ츜ㅊ" localSheetId="3" hidden="1">{#N/A,#N/A,FALSE,"2~8번"}</definedName>
    <definedName name="ㅠㅍ츜ㅊ" hidden="1">{#N/A,#N/A,FALSE,"2~8번"}</definedName>
    <definedName name="ㅠㅍ츜ㅍ" localSheetId="3" hidden="1">{#N/A,#N/A,FALSE,"조골재"}</definedName>
    <definedName name="ㅠㅍ츜ㅍ" hidden="1">{#N/A,#N/A,FALSE,"조골재"}</definedName>
    <definedName name="ㅠㅍ츝" localSheetId="3" hidden="1">{#N/A,#N/A,FALSE,"운반시간"}</definedName>
    <definedName name="ㅠㅍ츝" hidden="1">{#N/A,#N/A,FALSE,"운반시간"}</definedName>
    <definedName name="ㅠㅍ츝ㅊ" localSheetId="3" hidden="1">{#N/A,#N/A,FALSE,"단가표지"}</definedName>
    <definedName name="ㅠㅍ츝ㅊ" hidden="1">{#N/A,#N/A,FALSE,"단가표지"}</definedName>
    <definedName name="ㅠㅍㅋㅊㅍㅍ" localSheetId="3" hidden="1">{#N/A,#N/A,FALSE,"단가표지"}</definedName>
    <definedName name="ㅠㅍㅋㅊㅍㅍ" hidden="1">{#N/A,#N/A,FALSE,"단가표지"}</definedName>
    <definedName name="ㅠ퓿큨ㅊ" localSheetId="3" hidden="1">{#N/A,#N/A,FALSE,"단가표지"}</definedName>
    <definedName name="ㅠ퓿큨ㅊ" hidden="1">{#N/A,#N/A,FALSE,"단가표지"}</definedName>
    <definedName name="ㅠ픀ㅊ" localSheetId="3" hidden="1">{#N/A,#N/A,FALSE,"단가표지"}</definedName>
    <definedName name="ㅠ픀ㅊ" hidden="1">{#N/A,#N/A,FALSE,"단가표지"}</definedName>
    <definedName name="ㅠ픀ㅊㅍ" localSheetId="3" hidden="1">{#N/A,#N/A,FALSE,"표지목차"}</definedName>
    <definedName name="ㅠ픀ㅊㅍ" hidden="1">{#N/A,#N/A,FALSE,"표지목차"}</definedName>
    <definedName name="ㅠ픀ㅋㅊㅍ" localSheetId="3" hidden="1">{#N/A,#N/A,FALSE,"운반시간"}</definedName>
    <definedName name="ㅠ픀ㅋㅊㅍ" hidden="1">{#N/A,#N/A,FALSE,"운반시간"}</definedName>
    <definedName name="ㅣ1191">#REF!</definedName>
    <definedName name="ㅣ허ㅏㅣ하" localSheetId="3" hidden="1">{#N/A,#N/A,FALSE,"혼합골재"}</definedName>
    <definedName name="ㅣ허ㅏㅣ하" hidden="1">{#N/A,#N/A,FALSE,"혼합골재"}</definedName>
    <definedName name="ㅣ허ㅣ호ㅓㅏ" localSheetId="3" hidden="1">{#N/A,#N/A,FALSE,"조골재"}</definedName>
    <definedName name="ㅣ허ㅣ호ㅓㅏ" hidden="1">{#N/A,#N/A,FALSE,"조골재"}</definedName>
    <definedName name="ㅣㅏ허ㅏ허ㅏ허ㅏ" localSheetId="3" hidden="1">{#N/A,#N/A,FALSE,"단가표지"}</definedName>
    <definedName name="ㅣㅏ허ㅏ허ㅏ허ㅏ" hidden="1">{#N/A,#N/A,FALSE,"단가표지"}</definedName>
    <definedName name="ㅣㅏㅓㅎ" localSheetId="3" hidden="1">{#N/A,#N/A,FALSE,"단가표지"}</definedName>
    <definedName name="ㅣㅏㅓㅎ" hidden="1">{#N/A,#N/A,FALSE,"단가표지"}</definedName>
    <definedName name="ㅣㅏㅓ허ㅏㅓㅎ" localSheetId="3" hidden="1">{#N/A,#N/A,FALSE,"표지목차"}</definedName>
    <definedName name="ㅣㅏㅓ허ㅏㅓㅎ" hidden="1">{#N/A,#N/A,FALSE,"표지목차"}</definedName>
    <definedName name="ㅣㅏㅓㅣ허ㅏㅎ" localSheetId="3" hidden="1">{#N/A,#N/A,FALSE,"골재소요량";#N/A,#N/A,FALSE,"골재소요량"}</definedName>
    <definedName name="ㅣㅏㅓㅣ허ㅏㅎ" hidden="1">{#N/A,#N/A,FALSE,"골재소요량";#N/A,#N/A,FALSE,"골재소요량"}</definedName>
    <definedName name="ㅣㅏㅓㅣ허ㅏㅏ허" localSheetId="3" hidden="1">{#N/A,#N/A,FALSE,"조골재"}</definedName>
    <definedName name="ㅣㅏㅓㅣ허ㅏㅏ허" hidden="1">{#N/A,#N/A,FALSE,"조골재"}</definedName>
    <definedName name="ㅣㅓㅏ허" localSheetId="3" hidden="1">{#N/A,#N/A,FALSE,"운반시간"}</definedName>
    <definedName name="ㅣㅓㅏ허" hidden="1">{#N/A,#N/A,FALSE,"운반시간"}</definedName>
    <definedName name="ㅣㅓㅏ허ㅏㅣ허ㅏㅓ" localSheetId="3" hidden="1">{#N/A,#N/A,FALSE,"운반시간"}</definedName>
    <definedName name="ㅣㅓㅏ허ㅏㅣ허ㅏㅓ" hidden="1">{#N/A,#N/A,FALSE,"운반시간"}</definedName>
    <definedName name="ㅣㅚㅓㅏ" localSheetId="3" hidden="1">{#N/A,#N/A,FALSE,"단가표지"}</definedName>
    <definedName name="ㅣㅚㅓㅏ" hidden="1">{#N/A,#N/A,FALSE,"단가표지"}</definedName>
    <definedName name="全体">#REF!</definedName>
    <definedName name="全体１">#REF!</definedName>
    <definedName name="库2">#REF!</definedName>
    <definedName name="空調継手・支持金物">#REF!</definedName>
    <definedName name="行見出し" localSheetId="3">#REF!</definedName>
    <definedName name="行見出し">#REF!</definedName>
  </definedNames>
  <calcPr calcId="191029"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40" i="5" l="1"/>
  <c r="L16" i="17" l="1"/>
  <c r="L4" i="17"/>
  <c r="E7" i="1"/>
  <c r="D12" i="1"/>
  <c r="E6" i="1"/>
  <c r="E4" i="1"/>
  <c r="E5" i="1"/>
  <c r="L6" i="17"/>
  <c r="J5" i="17"/>
  <c r="D36" i="1"/>
  <c r="E253" i="27" l="1"/>
  <c r="F253" i="27"/>
  <c r="E255" i="27"/>
  <c r="F255" i="27"/>
  <c r="D255" i="27"/>
  <c r="D253" i="27"/>
  <c r="H50" i="17" l="1"/>
  <c r="G50" i="17"/>
  <c r="K50" i="17"/>
  <c r="F50" i="17"/>
  <c r="E50" i="17"/>
  <c r="C50" i="17"/>
  <c r="B50" i="17"/>
  <c r="J39" i="17"/>
  <c r="L39" i="17" s="1"/>
  <c r="L38" i="17"/>
  <c r="E205" i="1"/>
  <c r="D15" i="1"/>
  <c r="E15" i="1"/>
  <c r="E63" i="1" s="1"/>
  <c r="E65" i="1"/>
  <c r="E60" i="1"/>
  <c r="E58" i="1"/>
  <c r="E57" i="1"/>
  <c r="E56" i="1"/>
  <c r="E55" i="1"/>
  <c r="E45" i="1"/>
  <c r="E46" i="1"/>
  <c r="E47" i="1"/>
  <c r="E48" i="1"/>
  <c r="E49" i="1"/>
  <c r="E50" i="1"/>
  <c r="E44" i="1"/>
  <c r="I60" i="1"/>
  <c r="I57" i="1"/>
  <c r="I58" i="1"/>
  <c r="I56" i="1"/>
  <c r="I55" i="1"/>
  <c r="I45" i="1"/>
  <c r="I46" i="1"/>
  <c r="I47" i="1"/>
  <c r="I48" i="1"/>
  <c r="I49" i="1"/>
  <c r="I50" i="1"/>
  <c r="I44" i="1"/>
  <c r="H58" i="1"/>
  <c r="H56" i="1"/>
  <c r="H55" i="1"/>
  <c r="E179" i="21" l="1"/>
  <c r="J40" i="17"/>
  <c r="E16" i="1"/>
  <c r="D16" i="1"/>
  <c r="E64" i="1"/>
  <c r="J41" i="17" l="1"/>
  <c r="L40" i="17"/>
  <c r="J42" i="17" l="1"/>
  <c r="L41" i="17"/>
  <c r="J43" i="17" l="1"/>
  <c r="L42" i="17"/>
  <c r="J44" i="17" l="1"/>
  <c r="L43" i="17"/>
  <c r="J45" i="17" l="1"/>
  <c r="L45" i="17" s="1"/>
  <c r="L44" i="17"/>
  <c r="J46" i="17" l="1"/>
  <c r="L46" i="17" l="1"/>
  <c r="J47" i="17"/>
  <c r="L47" i="17" l="1"/>
  <c r="J48" i="17"/>
  <c r="J49" i="17" l="1"/>
  <c r="L48" i="17"/>
  <c r="J50" i="17" l="1"/>
  <c r="L50" i="17" s="1"/>
  <c r="L49" i="17"/>
  <c r="D74" i="21" l="1"/>
  <c r="D114" i="21"/>
  <c r="E40" i="1" l="1"/>
  <c r="E39" i="1"/>
  <c r="E99" i="27" l="1"/>
  <c r="I99" i="27"/>
  <c r="E38" i="15"/>
  <c r="E39" i="15"/>
  <c r="E37" i="15"/>
  <c r="G16" i="21"/>
  <c r="H16" i="21"/>
  <c r="F16" i="21"/>
  <c r="F203" i="21"/>
  <c r="G203" i="21" s="1"/>
  <c r="X203" i="21" s="1"/>
  <c r="D55" i="21"/>
  <c r="E74" i="21"/>
  <c r="D54" i="21"/>
  <c r="H7" i="38"/>
  <c r="C34" i="27"/>
  <c r="C35" i="27"/>
  <c r="C36" i="27"/>
  <c r="C33" i="27"/>
  <c r="I1" i="27"/>
  <c r="Y24" i="21"/>
  <c r="E55" i="21"/>
  <c r="E35" i="27" s="1"/>
  <c r="E29" i="21"/>
  <c r="E28" i="21"/>
  <c r="E54" i="21"/>
  <c r="E34" i="27" s="1"/>
  <c r="F214" i="21"/>
  <c r="E53" i="21"/>
  <c r="E33" i="27" s="1"/>
  <c r="I240" i="1"/>
  <c r="J240" i="1"/>
  <c r="K240" i="1"/>
  <c r="L240" i="1"/>
  <c r="M240" i="1"/>
  <c r="N240" i="1"/>
  <c r="O240" i="1"/>
  <c r="P240" i="1"/>
  <c r="Q240" i="1"/>
  <c r="R240" i="1"/>
  <c r="S240" i="1"/>
  <c r="T240" i="1"/>
  <c r="U240" i="1"/>
  <c r="V240" i="1"/>
  <c r="W240" i="1"/>
  <c r="X240" i="1"/>
  <c r="Y240" i="1"/>
  <c r="Z240" i="1"/>
  <c r="AA240" i="1"/>
  <c r="AB240" i="1"/>
  <c r="AC240" i="1"/>
  <c r="AD240" i="1"/>
  <c r="AE240" i="1"/>
  <c r="AF240" i="1"/>
  <c r="AG240" i="1"/>
  <c r="AH240" i="1"/>
  <c r="AI240" i="1"/>
  <c r="AJ240" i="1"/>
  <c r="AK240" i="1"/>
  <c r="H240" i="1"/>
  <c r="V214" i="21" l="1"/>
  <c r="J99" i="27"/>
  <c r="K99" i="27" s="1"/>
  <c r="O203" i="21"/>
  <c r="N203" i="21"/>
  <c r="U203" i="21"/>
  <c r="H203" i="21"/>
  <c r="Y203" i="21" s="1"/>
  <c r="F55" i="21"/>
  <c r="I35" i="27" s="1"/>
  <c r="J35" i="27" s="1"/>
  <c r="K35" i="27" s="1"/>
  <c r="I111" i="27"/>
  <c r="F54" i="21"/>
  <c r="I34" i="27" s="1"/>
  <c r="J34" i="27" s="1"/>
  <c r="N214" i="21"/>
  <c r="O214" i="21"/>
  <c r="U214" i="21"/>
  <c r="P203" i="21" l="1"/>
  <c r="N55" i="21"/>
  <c r="O55" i="21"/>
  <c r="G55" i="21"/>
  <c r="H55" i="21" s="1"/>
  <c r="K34" i="27"/>
  <c r="O54" i="21"/>
  <c r="N54" i="21"/>
  <c r="U54" i="21"/>
  <c r="P214" i="21"/>
  <c r="W214" i="21"/>
  <c r="P55" i="21" l="1"/>
  <c r="P54" i="21"/>
  <c r="G1" i="27" l="1"/>
  <c r="G99" i="27" s="1"/>
  <c r="F99" i="27" s="1"/>
  <c r="F242" i="1"/>
  <c r="F243" i="1"/>
  <c r="E242" i="1"/>
  <c r="E243" i="1"/>
  <c r="F124" i="21"/>
  <c r="N124" i="21" s="1"/>
  <c r="F125" i="21"/>
  <c r="N125" i="21" s="1"/>
  <c r="F126" i="21"/>
  <c r="N126" i="21" s="1"/>
  <c r="F127" i="21"/>
  <c r="N127" i="21" s="1"/>
  <c r="F128" i="21"/>
  <c r="N128" i="21" s="1"/>
  <c r="F129" i="21"/>
  <c r="N129" i="21" s="1"/>
  <c r="F130" i="21"/>
  <c r="U130" i="21" s="1"/>
  <c r="F131" i="21"/>
  <c r="N131" i="21" s="1"/>
  <c r="F133" i="21"/>
  <c r="N133" i="21" s="1"/>
  <c r="D132" i="21"/>
  <c r="F132" i="21" s="1"/>
  <c r="N132" i="21" s="1"/>
  <c r="G35" i="27" l="1"/>
  <c r="F35" i="27" s="1"/>
  <c r="G34" i="27"/>
  <c r="F34" i="27" s="1"/>
  <c r="O130" i="21"/>
  <c r="U127" i="21"/>
  <c r="U126" i="21"/>
  <c r="U133" i="21"/>
  <c r="O128" i="21"/>
  <c r="P128" i="21" s="1"/>
  <c r="O127" i="21"/>
  <c r="P127" i="21" s="1"/>
  <c r="U125" i="21"/>
  <c r="N130" i="21"/>
  <c r="U129" i="21"/>
  <c r="U128" i="21"/>
  <c r="U124" i="21"/>
  <c r="U132" i="21"/>
  <c r="O126" i="21"/>
  <c r="P126" i="21" s="1"/>
  <c r="O131" i="21"/>
  <c r="P131" i="21" s="1"/>
  <c r="O129" i="21"/>
  <c r="P129" i="21" s="1"/>
  <c r="O133" i="21"/>
  <c r="P133" i="21" s="1"/>
  <c r="O125" i="21"/>
  <c r="P125" i="21" s="1"/>
  <c r="U131" i="21"/>
  <c r="O132" i="21"/>
  <c r="P132" i="21" s="1"/>
  <c r="O124" i="21"/>
  <c r="P124" i="21" s="1"/>
  <c r="P130" i="21" l="1"/>
  <c r="C25" i="32"/>
  <c r="J242" i="27"/>
  <c r="K242" i="27"/>
  <c r="L242" i="27"/>
  <c r="X175" i="21"/>
  <c r="Y175" i="21"/>
  <c r="X178" i="21"/>
  <c r="Y178" i="21"/>
  <c r="X189" i="21"/>
  <c r="Y189" i="21"/>
  <c r="X108" i="21"/>
  <c r="Y108" i="21"/>
  <c r="Y44" i="21"/>
  <c r="X44" i="21"/>
  <c r="E33" i="1"/>
  <c r="D33" i="1"/>
  <c r="E32" i="1"/>
  <c r="D32" i="1"/>
  <c r="E31" i="1"/>
  <c r="D31" i="1"/>
  <c r="D51" i="21"/>
  <c r="D50" i="21"/>
  <c r="E50" i="21"/>
  <c r="E28" i="27" s="1"/>
  <c r="E51" i="21"/>
  <c r="E29" i="27" s="1"/>
  <c r="F51" i="21" l="1"/>
  <c r="F50" i="21"/>
  <c r="E58" i="21"/>
  <c r="D58" i="21"/>
  <c r="D59" i="21"/>
  <c r="E59" i="21"/>
  <c r="D60" i="21"/>
  <c r="E60" i="21"/>
  <c r="E56" i="21"/>
  <c r="E36" i="27" s="1"/>
  <c r="D56" i="21"/>
  <c r="H23" i="38"/>
  <c r="H22" i="38"/>
  <c r="D21" i="38"/>
  <c r="H21" i="38"/>
  <c r="H20" i="38"/>
  <c r="D19" i="38"/>
  <c r="H19" i="38"/>
  <c r="D18" i="38"/>
  <c r="D15" i="38"/>
  <c r="H15" i="38"/>
  <c r="D10" i="38"/>
  <c r="H10" i="38" s="1"/>
  <c r="D7" i="38"/>
  <c r="H6" i="38"/>
  <c r="D6" i="38"/>
  <c r="D5" i="38"/>
  <c r="F56" i="21" l="1"/>
  <c r="I36" i="27" s="1"/>
  <c r="J36" i="27" s="1"/>
  <c r="K36" i="27" s="1"/>
  <c r="I28" i="27"/>
  <c r="I29" i="27"/>
  <c r="G36" i="27" l="1"/>
  <c r="F36" i="27" s="1"/>
  <c r="E22" i="1"/>
  <c r="D22" i="1"/>
  <c r="B261" i="5"/>
  <c r="B262" i="5"/>
  <c r="E264" i="5"/>
  <c r="F264" i="5"/>
  <c r="G264" i="5"/>
  <c r="H264" i="5"/>
  <c r="I264" i="5"/>
  <c r="J264" i="5"/>
  <c r="K264" i="5"/>
  <c r="L264" i="5"/>
  <c r="M264" i="5"/>
  <c r="N264" i="5"/>
  <c r="O264" i="5"/>
  <c r="P264" i="5"/>
  <c r="Q264" i="5"/>
  <c r="R264" i="5"/>
  <c r="S264" i="5"/>
  <c r="T264" i="5"/>
  <c r="U264" i="5"/>
  <c r="V264" i="5"/>
  <c r="W264" i="5"/>
  <c r="X264" i="5"/>
  <c r="Y264" i="5"/>
  <c r="Z264" i="5"/>
  <c r="AA264" i="5"/>
  <c r="AB264" i="5"/>
  <c r="AC264" i="5"/>
  <c r="AD264" i="5"/>
  <c r="AE264" i="5"/>
  <c r="AF264" i="5"/>
  <c r="AG264" i="5"/>
  <c r="AH264" i="5"/>
  <c r="AI264" i="5"/>
  <c r="I13" i="1" l="1"/>
  <c r="D264" i="5"/>
  <c r="AB3" i="21"/>
  <c r="AA3" i="21"/>
  <c r="Q203" i="21" s="1"/>
  <c r="R203" i="21" s="1"/>
  <c r="Q54" i="21" l="1"/>
  <c r="R54" i="21" s="1"/>
  <c r="Q55" i="21"/>
  <c r="R55" i="21" s="1"/>
  <c r="X214" i="21"/>
  <c r="Y214" i="21" s="1"/>
  <c r="Q214" i="21"/>
  <c r="R214" i="21" s="1"/>
  <c r="Q126" i="21"/>
  <c r="R126" i="21" s="1"/>
  <c r="Q130" i="21"/>
  <c r="R130" i="21" s="1"/>
  <c r="Q129" i="21"/>
  <c r="R129" i="21" s="1"/>
  <c r="Q127" i="21"/>
  <c r="R127" i="21" s="1"/>
  <c r="Q132" i="21"/>
  <c r="R132" i="21" s="1"/>
  <c r="Q125" i="21"/>
  <c r="R125" i="21" s="1"/>
  <c r="Q124" i="21"/>
  <c r="R124" i="21" s="1"/>
  <c r="Q128" i="21"/>
  <c r="R128" i="21" s="1"/>
  <c r="Q131" i="21"/>
  <c r="R131" i="21" s="1"/>
  <c r="Q133" i="21"/>
  <c r="R133" i="21" s="1"/>
  <c r="U178" i="21"/>
  <c r="U44" i="21"/>
  <c r="U175" i="21"/>
  <c r="U189" i="21"/>
  <c r="U108" i="21"/>
  <c r="U50" i="21"/>
  <c r="U51" i="21"/>
  <c r="V203" i="21"/>
  <c r="W203" i="21" s="1"/>
  <c r="N50" i="21"/>
  <c r="O50" i="21"/>
  <c r="O51" i="21"/>
  <c r="N51" i="21"/>
  <c r="D34" i="26"/>
  <c r="E34" i="26"/>
  <c r="E33" i="26"/>
  <c r="D33" i="26"/>
  <c r="E32" i="26"/>
  <c r="D32" i="26"/>
  <c r="E25" i="26"/>
  <c r="E23" i="5"/>
  <c r="E23" i="26" s="1"/>
  <c r="E238" i="5"/>
  <c r="E3" i="5"/>
  <c r="G13" i="5"/>
  <c r="E24" i="5"/>
  <c r="E24" i="26" s="1"/>
  <c r="D28" i="5"/>
  <c r="D28" i="26" s="1"/>
  <c r="E28" i="5"/>
  <c r="E28" i="26" s="1"/>
  <c r="D29" i="5"/>
  <c r="D29" i="26" s="1"/>
  <c r="E29" i="5"/>
  <c r="E29" i="26" s="1"/>
  <c r="E55" i="5"/>
  <c r="E56" i="5"/>
  <c r="E57" i="5"/>
  <c r="E74" i="5"/>
  <c r="E84" i="5"/>
  <c r="E89" i="5"/>
  <c r="F89" i="5"/>
  <c r="G89" i="5"/>
  <c r="H89" i="5"/>
  <c r="I89" i="5"/>
  <c r="J89" i="5"/>
  <c r="K89" i="5"/>
  <c r="L89" i="5"/>
  <c r="M89" i="5"/>
  <c r="N89" i="5"/>
  <c r="O89" i="5"/>
  <c r="P89" i="5"/>
  <c r="Q89" i="5"/>
  <c r="R89" i="5"/>
  <c r="S89" i="5"/>
  <c r="T89" i="5"/>
  <c r="U89" i="5"/>
  <c r="V89" i="5"/>
  <c r="W89" i="5"/>
  <c r="X89" i="5"/>
  <c r="Y89" i="5"/>
  <c r="Z89" i="5"/>
  <c r="AA89" i="5"/>
  <c r="AB89" i="5"/>
  <c r="AC89" i="5"/>
  <c r="AD89" i="5"/>
  <c r="AE89" i="5"/>
  <c r="AF89" i="5"/>
  <c r="AG89" i="5"/>
  <c r="AH89" i="5"/>
  <c r="AI89" i="5"/>
  <c r="E95" i="5"/>
  <c r="E102" i="5"/>
  <c r="E109" i="5"/>
  <c r="E115" i="5"/>
  <c r="E121" i="5"/>
  <c r="E130" i="5"/>
  <c r="E137" i="5"/>
  <c r="E143" i="5"/>
  <c r="E149" i="5"/>
  <c r="F149" i="5"/>
  <c r="G149" i="5"/>
  <c r="H149" i="5"/>
  <c r="I149" i="5"/>
  <c r="J149" i="5"/>
  <c r="K149" i="5"/>
  <c r="L149" i="5"/>
  <c r="M149" i="5"/>
  <c r="N149" i="5"/>
  <c r="O149" i="5"/>
  <c r="P149" i="5"/>
  <c r="Q149" i="5"/>
  <c r="R149" i="5"/>
  <c r="S149" i="5"/>
  <c r="T149" i="5"/>
  <c r="U149" i="5"/>
  <c r="V149" i="5"/>
  <c r="W149" i="5"/>
  <c r="X149" i="5"/>
  <c r="Y149" i="5"/>
  <c r="Z149" i="5"/>
  <c r="AA149" i="5"/>
  <c r="AB149" i="5"/>
  <c r="AC149" i="5"/>
  <c r="AD149" i="5"/>
  <c r="AE149" i="5"/>
  <c r="AF149" i="5"/>
  <c r="AG149" i="5"/>
  <c r="AH149" i="5"/>
  <c r="AI149" i="5"/>
  <c r="A166" i="5"/>
  <c r="E185" i="5"/>
  <c r="F185" i="5"/>
  <c r="G185" i="5"/>
  <c r="H185" i="5"/>
  <c r="I185" i="5"/>
  <c r="J185" i="5"/>
  <c r="K185" i="5"/>
  <c r="L185" i="5"/>
  <c r="M185" i="5"/>
  <c r="N185" i="5"/>
  <c r="O185" i="5"/>
  <c r="P185" i="5"/>
  <c r="Q185" i="5"/>
  <c r="R185" i="5"/>
  <c r="S185" i="5"/>
  <c r="T185" i="5"/>
  <c r="U185" i="5"/>
  <c r="V185" i="5"/>
  <c r="W185" i="5"/>
  <c r="X185" i="5"/>
  <c r="Y185" i="5"/>
  <c r="Z185" i="5"/>
  <c r="AA185" i="5"/>
  <c r="AB185" i="5"/>
  <c r="AC185" i="5"/>
  <c r="AD185" i="5"/>
  <c r="AE185" i="5"/>
  <c r="AF185" i="5"/>
  <c r="AG185" i="5"/>
  <c r="AH185" i="5"/>
  <c r="AI185" i="5"/>
  <c r="E194" i="5"/>
  <c r="E198" i="5"/>
  <c r="F198" i="5"/>
  <c r="G198" i="5"/>
  <c r="H198" i="5"/>
  <c r="I198" i="5"/>
  <c r="J198" i="5"/>
  <c r="K198" i="5"/>
  <c r="L198" i="5"/>
  <c r="M198" i="5"/>
  <c r="N198" i="5"/>
  <c r="O198" i="5"/>
  <c r="P198" i="5"/>
  <c r="Q198" i="5"/>
  <c r="R198" i="5"/>
  <c r="S198" i="5"/>
  <c r="T198" i="5"/>
  <c r="U198" i="5"/>
  <c r="V198" i="5"/>
  <c r="W198" i="5"/>
  <c r="X198" i="5"/>
  <c r="Y198" i="5"/>
  <c r="Z198" i="5"/>
  <c r="AA198" i="5"/>
  <c r="AB198" i="5"/>
  <c r="AC198" i="5"/>
  <c r="AD198" i="5"/>
  <c r="AE198" i="5"/>
  <c r="AF198" i="5"/>
  <c r="AG198" i="5"/>
  <c r="AH198" i="5"/>
  <c r="AI198" i="5"/>
  <c r="E201" i="5"/>
  <c r="F201" i="5"/>
  <c r="G201" i="5"/>
  <c r="H201" i="5"/>
  <c r="I201" i="5"/>
  <c r="J201" i="5"/>
  <c r="K201" i="5"/>
  <c r="L201" i="5"/>
  <c r="M201" i="5"/>
  <c r="N201" i="5"/>
  <c r="O201" i="5"/>
  <c r="P201" i="5"/>
  <c r="Q201" i="5"/>
  <c r="R201" i="5"/>
  <c r="S201" i="5"/>
  <c r="T201" i="5"/>
  <c r="U201" i="5"/>
  <c r="V201" i="5"/>
  <c r="W201" i="5"/>
  <c r="X201" i="5"/>
  <c r="Y201" i="5"/>
  <c r="Z201" i="5"/>
  <c r="AA201" i="5"/>
  <c r="AB201" i="5"/>
  <c r="AC201" i="5"/>
  <c r="AD201" i="5"/>
  <c r="AE201" i="5"/>
  <c r="AF201" i="5"/>
  <c r="AG201" i="5"/>
  <c r="AH201" i="5"/>
  <c r="AI201" i="5"/>
  <c r="E206" i="5"/>
  <c r="F206" i="5"/>
  <c r="G206" i="5"/>
  <c r="H206" i="5"/>
  <c r="I206" i="5"/>
  <c r="J206" i="5"/>
  <c r="K206" i="5"/>
  <c r="L206" i="5"/>
  <c r="M206" i="5"/>
  <c r="N206" i="5"/>
  <c r="O206" i="5"/>
  <c r="P206" i="5"/>
  <c r="Q206" i="5"/>
  <c r="R206" i="5"/>
  <c r="S206" i="5"/>
  <c r="T206" i="5"/>
  <c r="U206" i="5"/>
  <c r="V206" i="5"/>
  <c r="W206" i="5"/>
  <c r="X206" i="5"/>
  <c r="Y206" i="5"/>
  <c r="Z206" i="5"/>
  <c r="AA206" i="5"/>
  <c r="AB206" i="5"/>
  <c r="AC206" i="5"/>
  <c r="AD206" i="5"/>
  <c r="AE206" i="5"/>
  <c r="AF206" i="5"/>
  <c r="AG206" i="5"/>
  <c r="AH206" i="5"/>
  <c r="AI206" i="5"/>
  <c r="E243" i="5"/>
  <c r="E244" i="5"/>
  <c r="F244" i="5"/>
  <c r="G244" i="5"/>
  <c r="H244" i="5"/>
  <c r="I244" i="5"/>
  <c r="J244" i="5"/>
  <c r="K244" i="5"/>
  <c r="L244" i="5"/>
  <c r="L351" i="5" s="1"/>
  <c r="M244" i="5"/>
  <c r="M351" i="5" s="1"/>
  <c r="M432" i="5" s="1"/>
  <c r="N244" i="5"/>
  <c r="N351" i="5" s="1"/>
  <c r="O244" i="5"/>
  <c r="O351" i="5" s="1"/>
  <c r="P244" i="5"/>
  <c r="P351" i="5" s="1"/>
  <c r="P432" i="5" s="1"/>
  <c r="Q244" i="5"/>
  <c r="Q351" i="5" s="1"/>
  <c r="Q432" i="5" s="1"/>
  <c r="R244" i="5"/>
  <c r="R351" i="5" s="1"/>
  <c r="R432" i="5" s="1"/>
  <c r="S244" i="5"/>
  <c r="S351" i="5" s="1"/>
  <c r="T244" i="5"/>
  <c r="T351" i="5" s="1"/>
  <c r="U244" i="5"/>
  <c r="V244" i="5"/>
  <c r="V351" i="5" s="1"/>
  <c r="W244" i="5"/>
  <c r="X244" i="5"/>
  <c r="Y244" i="5"/>
  <c r="Z244" i="5"/>
  <c r="Z351" i="5" s="1"/>
  <c r="AA244" i="5"/>
  <c r="AB244" i="5"/>
  <c r="AC244" i="5"/>
  <c r="AD244" i="5"/>
  <c r="AE244" i="5"/>
  <c r="AF244" i="5"/>
  <c r="AG244" i="5"/>
  <c r="AH244" i="5"/>
  <c r="AH351" i="5" s="1"/>
  <c r="AH432" i="5" s="1"/>
  <c r="AI244" i="5"/>
  <c r="E245" i="5"/>
  <c r="E354" i="5" s="1"/>
  <c r="F245" i="5"/>
  <c r="G245" i="5"/>
  <c r="G354" i="5" s="1"/>
  <c r="H245" i="5"/>
  <c r="H354" i="5" s="1"/>
  <c r="I245" i="5"/>
  <c r="I354" i="5" s="1"/>
  <c r="I432" i="5" s="1"/>
  <c r="J245" i="5"/>
  <c r="J354" i="5" s="1"/>
  <c r="J432" i="5" s="1"/>
  <c r="K245" i="5"/>
  <c r="K354" i="5" s="1"/>
  <c r="L245" i="5"/>
  <c r="L354" i="5" s="1"/>
  <c r="M245" i="5"/>
  <c r="M354" i="5" s="1"/>
  <c r="N245" i="5"/>
  <c r="N354" i="5" s="1"/>
  <c r="O245" i="5"/>
  <c r="O354" i="5" s="1"/>
  <c r="P245" i="5"/>
  <c r="P354" i="5" s="1"/>
  <c r="Q245" i="5"/>
  <c r="Q354" i="5" s="1"/>
  <c r="R245" i="5"/>
  <c r="R354" i="5" s="1"/>
  <c r="S245" i="5"/>
  <c r="S354" i="5" s="1"/>
  <c r="T245" i="5"/>
  <c r="T354" i="5" s="1"/>
  <c r="U245" i="5"/>
  <c r="U354" i="5" s="1"/>
  <c r="V245" i="5"/>
  <c r="W245" i="5"/>
  <c r="W354" i="5" s="1"/>
  <c r="X245" i="5"/>
  <c r="X354" i="5" s="1"/>
  <c r="Y245" i="5"/>
  <c r="Z245" i="5"/>
  <c r="Z354" i="5" s="1"/>
  <c r="Z432" i="5" s="1"/>
  <c r="AA245" i="5"/>
  <c r="AA354" i="5" s="1"/>
  <c r="AB245" i="5"/>
  <c r="AB354" i="5" s="1"/>
  <c r="AC245" i="5"/>
  <c r="AC354" i="5" s="1"/>
  <c r="AD245" i="5"/>
  <c r="AD354" i="5" s="1"/>
  <c r="AE245" i="5"/>
  <c r="AE354" i="5" s="1"/>
  <c r="AF245" i="5"/>
  <c r="AF354" i="5" s="1"/>
  <c r="AF432" i="5" s="1"/>
  <c r="AG245" i="5"/>
  <c r="AG354" i="5" s="1"/>
  <c r="AH245" i="5"/>
  <c r="AH354" i="5" s="1"/>
  <c r="AI245" i="5"/>
  <c r="AI354" i="5" s="1"/>
  <c r="E248" i="5"/>
  <c r="F248" i="5"/>
  <c r="G248" i="5"/>
  <c r="H248" i="5"/>
  <c r="I248" i="5"/>
  <c r="J248" i="5"/>
  <c r="K248" i="5"/>
  <c r="L248" i="5"/>
  <c r="M248" i="5"/>
  <c r="N248" i="5"/>
  <c r="O248" i="5"/>
  <c r="P248" i="5"/>
  <c r="Q248" i="5"/>
  <c r="R248" i="5"/>
  <c r="S248" i="5"/>
  <c r="T248" i="5"/>
  <c r="U248" i="5"/>
  <c r="V248" i="5"/>
  <c r="W248" i="5"/>
  <c r="X248" i="5"/>
  <c r="Y248" i="5"/>
  <c r="Z248" i="5"/>
  <c r="AA248" i="5"/>
  <c r="AB248" i="5"/>
  <c r="AC248" i="5"/>
  <c r="AD248" i="5"/>
  <c r="AE248" i="5"/>
  <c r="AF248" i="5"/>
  <c r="AG248" i="5"/>
  <c r="AH248" i="5"/>
  <c r="AI248" i="5"/>
  <c r="B273" i="5"/>
  <c r="B268" i="5"/>
  <c r="B269" i="5"/>
  <c r="B270" i="5"/>
  <c r="B271" i="5"/>
  <c r="B272" i="5"/>
  <c r="B274" i="5"/>
  <c r="B275" i="5"/>
  <c r="B276" i="5"/>
  <c r="E286" i="5"/>
  <c r="E292" i="5"/>
  <c r="F292" i="5"/>
  <c r="G292" i="5"/>
  <c r="H292" i="5"/>
  <c r="I292" i="5"/>
  <c r="J292" i="5"/>
  <c r="K292" i="5"/>
  <c r="L292" i="5"/>
  <c r="M292" i="5"/>
  <c r="N292" i="5"/>
  <c r="O292" i="5"/>
  <c r="P292" i="5"/>
  <c r="Q292" i="5"/>
  <c r="R292" i="5"/>
  <c r="S292" i="5"/>
  <c r="T292" i="5"/>
  <c r="U292" i="5"/>
  <c r="V292" i="5"/>
  <c r="W292" i="5"/>
  <c r="X292" i="5"/>
  <c r="Y292" i="5"/>
  <c r="Z292" i="5"/>
  <c r="AA292" i="5"/>
  <c r="AB292" i="5"/>
  <c r="AC292" i="5"/>
  <c r="AD292" i="5"/>
  <c r="AE292" i="5"/>
  <c r="AF292" i="5"/>
  <c r="AG292" i="5"/>
  <c r="AH292" i="5"/>
  <c r="AI292" i="5"/>
  <c r="E301" i="5"/>
  <c r="E351" i="5"/>
  <c r="F351" i="5"/>
  <c r="F432" i="5" s="1"/>
  <c r="G351" i="5"/>
  <c r="G432" i="5" s="1"/>
  <c r="H351" i="5"/>
  <c r="H432" i="5" s="1"/>
  <c r="I351" i="5"/>
  <c r="J351" i="5"/>
  <c r="K351" i="5"/>
  <c r="K432" i="5" s="1"/>
  <c r="U351" i="5"/>
  <c r="W351" i="5"/>
  <c r="X351" i="5"/>
  <c r="Y351" i="5"/>
  <c r="AA351" i="5"/>
  <c r="AB351" i="5"/>
  <c r="AC351" i="5"/>
  <c r="AD351" i="5"/>
  <c r="AE351" i="5"/>
  <c r="AF351" i="5"/>
  <c r="AG351" i="5"/>
  <c r="AI351" i="5"/>
  <c r="F354" i="5"/>
  <c r="V354" i="5"/>
  <c r="Y354" i="5"/>
  <c r="E362" i="5"/>
  <c r="B431" i="5"/>
  <c r="Y432" i="5"/>
  <c r="D444" i="5"/>
  <c r="D466" i="5"/>
  <c r="D468" i="5"/>
  <c r="D18" i="22"/>
  <c r="E18" i="22"/>
  <c r="J18" i="22"/>
  <c r="H1" i="27" l="1"/>
  <c r="H99" i="27" s="1"/>
  <c r="V54" i="21"/>
  <c r="W54" i="21" s="1"/>
  <c r="AD432" i="5"/>
  <c r="AC432" i="5"/>
  <c r="W432" i="5"/>
  <c r="V432" i="5"/>
  <c r="AE432" i="5"/>
  <c r="N432" i="5"/>
  <c r="X432" i="5"/>
  <c r="O432" i="5"/>
  <c r="AA432" i="5"/>
  <c r="AI432" i="5"/>
  <c r="U432" i="5"/>
  <c r="E432" i="5"/>
  <c r="T432" i="5"/>
  <c r="S432" i="5"/>
  <c r="AB432" i="5"/>
  <c r="L432" i="5"/>
  <c r="AG432" i="5"/>
  <c r="V127" i="21"/>
  <c r="W127" i="21" s="1"/>
  <c r="V124" i="21"/>
  <c r="W124" i="21" s="1"/>
  <c r="V131" i="21"/>
  <c r="W131" i="21" s="1"/>
  <c r="V128" i="21"/>
  <c r="W128" i="21" s="1"/>
  <c r="V125" i="21"/>
  <c r="W125" i="21" s="1"/>
  <c r="V132" i="21"/>
  <c r="W132" i="21" s="1"/>
  <c r="V126" i="21"/>
  <c r="W126" i="21" s="1"/>
  <c r="V133" i="21"/>
  <c r="W133" i="21" s="1"/>
  <c r="V129" i="21"/>
  <c r="W129" i="21" s="1"/>
  <c r="V130" i="21"/>
  <c r="W130" i="21" s="1"/>
  <c r="V178" i="21"/>
  <c r="W178" i="21" s="1"/>
  <c r="V44" i="21"/>
  <c r="W44" i="21" s="1"/>
  <c r="V175" i="21"/>
  <c r="W175" i="21" s="1"/>
  <c r="V189" i="21"/>
  <c r="W189" i="21" s="1"/>
  <c r="V108" i="21"/>
  <c r="W108" i="21" s="1"/>
  <c r="V50" i="21"/>
  <c r="W50" i="21" s="1"/>
  <c r="V51" i="21"/>
  <c r="W51" i="21" s="1"/>
  <c r="Q51" i="21"/>
  <c r="P51" i="21"/>
  <c r="P50" i="21"/>
  <c r="Q50" i="21"/>
  <c r="E246" i="5"/>
  <c r="F18" i="22"/>
  <c r="G18" i="22" s="1"/>
  <c r="H18" i="22" s="1"/>
  <c r="F3" i="5"/>
  <c r="E137" i="1"/>
  <c r="E131" i="1"/>
  <c r="K33" i="17"/>
  <c r="L21" i="17"/>
  <c r="J22" i="17"/>
  <c r="F33" i="17"/>
  <c r="E33" i="17"/>
  <c r="C33" i="17"/>
  <c r="B33" i="17"/>
  <c r="E50" i="27"/>
  <c r="F50" i="27"/>
  <c r="E39" i="21"/>
  <c r="E8" i="27" s="1"/>
  <c r="E38" i="21"/>
  <c r="E7" i="27" s="1"/>
  <c r="E40" i="27"/>
  <c r="E41" i="27"/>
  <c r="D53" i="21"/>
  <c r="F53" i="21" s="1"/>
  <c r="I33" i="27" s="1"/>
  <c r="I37" i="27" s="1"/>
  <c r="E42" i="27"/>
  <c r="H36" i="27" l="1"/>
  <c r="H35" i="27"/>
  <c r="H34" i="27"/>
  <c r="R51" i="21"/>
  <c r="R50" i="21"/>
  <c r="F243" i="5"/>
  <c r="F246" i="5" s="1"/>
  <c r="E388" i="5"/>
  <c r="G3" i="5"/>
  <c r="J23" i="17"/>
  <c r="L22" i="17"/>
  <c r="D46" i="21"/>
  <c r="D47" i="21"/>
  <c r="D48" i="21"/>
  <c r="D49" i="21"/>
  <c r="D45" i="21"/>
  <c r="E46" i="21"/>
  <c r="E24" i="27" s="1"/>
  <c r="E47" i="21"/>
  <c r="E25" i="27" s="1"/>
  <c r="E48" i="21"/>
  <c r="E26" i="27" s="1"/>
  <c r="E49" i="21"/>
  <c r="E27" i="27" s="1"/>
  <c r="E45" i="21"/>
  <c r="E23" i="27" s="1"/>
  <c r="G243" i="5" l="1"/>
  <c r="G246" i="5" s="1"/>
  <c r="F388" i="5"/>
  <c r="H3" i="5"/>
  <c r="L23" i="17"/>
  <c r="J24" i="17"/>
  <c r="A32" i="34"/>
  <c r="B32" i="34"/>
  <c r="C32" i="34"/>
  <c r="E32" i="34"/>
  <c r="F32" i="34"/>
  <c r="G32" i="34"/>
  <c r="H32" i="34"/>
  <c r="I32" i="34"/>
  <c r="J32" i="34"/>
  <c r="K32" i="34"/>
  <c r="L32" i="34"/>
  <c r="M32" i="34"/>
  <c r="N32" i="34"/>
  <c r="O32" i="34"/>
  <c r="P32" i="34"/>
  <c r="Q32" i="34"/>
  <c r="R32" i="34"/>
  <c r="S32" i="34"/>
  <c r="T32" i="34"/>
  <c r="U32" i="34"/>
  <c r="V32" i="34"/>
  <c r="W32" i="34"/>
  <c r="X32" i="34"/>
  <c r="Y32" i="34"/>
  <c r="Z32" i="34"/>
  <c r="AA32" i="34"/>
  <c r="AB32" i="34"/>
  <c r="AC32" i="34"/>
  <c r="AD32" i="34"/>
  <c r="AE32" i="34"/>
  <c r="B33" i="34"/>
  <c r="C33" i="34"/>
  <c r="B34" i="34"/>
  <c r="C34" i="34"/>
  <c r="B35" i="34"/>
  <c r="C35" i="34"/>
  <c r="B36" i="34"/>
  <c r="C36" i="34"/>
  <c r="B38" i="34"/>
  <c r="C38" i="34"/>
  <c r="A38" i="34"/>
  <c r="B39" i="34"/>
  <c r="B40" i="34"/>
  <c r="C40" i="34"/>
  <c r="B41" i="34"/>
  <c r="C41" i="34"/>
  <c r="B42" i="34"/>
  <c r="C42" i="34"/>
  <c r="B43" i="34"/>
  <c r="C43" i="34"/>
  <c r="B44" i="34"/>
  <c r="C44" i="34"/>
  <c r="B45" i="34"/>
  <c r="C45" i="34"/>
  <c r="B47" i="34"/>
  <c r="C47" i="34"/>
  <c r="B48" i="34"/>
  <c r="C48" i="34"/>
  <c r="B49" i="34"/>
  <c r="C49" i="34"/>
  <c r="B50" i="34"/>
  <c r="C50" i="34"/>
  <c r="B52" i="34"/>
  <c r="B53" i="34"/>
  <c r="C53" i="34"/>
  <c r="B54" i="34"/>
  <c r="C54" i="34"/>
  <c r="B55" i="34"/>
  <c r="C55" i="34"/>
  <c r="A57" i="34"/>
  <c r="B58" i="34"/>
  <c r="B59" i="34"/>
  <c r="C59" i="34"/>
  <c r="B60" i="34"/>
  <c r="C60" i="34"/>
  <c r="B61" i="34"/>
  <c r="C61" i="34"/>
  <c r="B62" i="34"/>
  <c r="C62" i="34"/>
  <c r="B63" i="34"/>
  <c r="C63" i="34"/>
  <c r="B64" i="34"/>
  <c r="C64" i="34"/>
  <c r="A66" i="34"/>
  <c r="B67" i="34"/>
  <c r="B68" i="34"/>
  <c r="C68" i="34"/>
  <c r="B69" i="34"/>
  <c r="C69" i="34"/>
  <c r="B70" i="34"/>
  <c r="C70" i="34"/>
  <c r="B71" i="34"/>
  <c r="C71" i="34"/>
  <c r="B72" i="34"/>
  <c r="C72" i="34"/>
  <c r="C22" i="34"/>
  <c r="C23" i="34"/>
  <c r="C24" i="34"/>
  <c r="C25" i="34"/>
  <c r="C27" i="34"/>
  <c r="C28" i="34"/>
  <c r="C29" i="34"/>
  <c r="B23" i="34"/>
  <c r="B24" i="34"/>
  <c r="B25" i="34"/>
  <c r="B27" i="34"/>
  <c r="B28" i="34"/>
  <c r="B29" i="34"/>
  <c r="B22" i="34"/>
  <c r="B16" i="34"/>
  <c r="C16" i="34"/>
  <c r="B17" i="34"/>
  <c r="C17" i="34"/>
  <c r="C19" i="34"/>
  <c r="B12" i="34"/>
  <c r="C12" i="34"/>
  <c r="B13" i="34"/>
  <c r="C13" i="34"/>
  <c r="B14" i="34"/>
  <c r="C14" i="34"/>
  <c r="B15" i="34"/>
  <c r="C15" i="34"/>
  <c r="B86" i="35"/>
  <c r="C94" i="35"/>
  <c r="B95" i="35"/>
  <c r="C95" i="35"/>
  <c r="B96" i="35"/>
  <c r="C96" i="35"/>
  <c r="B97" i="35"/>
  <c r="C97" i="35"/>
  <c r="B98" i="35"/>
  <c r="C98" i="35"/>
  <c r="B99" i="35"/>
  <c r="C99" i="35"/>
  <c r="B100" i="35"/>
  <c r="C100" i="35"/>
  <c r="B101" i="35"/>
  <c r="C101" i="35"/>
  <c r="B102" i="35"/>
  <c r="C102" i="35"/>
  <c r="C103" i="35"/>
  <c r="C93" i="35"/>
  <c r="B93" i="35"/>
  <c r="C92" i="35"/>
  <c r="B92" i="35"/>
  <c r="C91" i="35"/>
  <c r="B91" i="35"/>
  <c r="C90" i="35"/>
  <c r="B90" i="35"/>
  <c r="C88" i="35"/>
  <c r="B88" i="35"/>
  <c r="C87" i="35"/>
  <c r="B87" i="35"/>
  <c r="C86" i="35"/>
  <c r="C85" i="35"/>
  <c r="B85" i="35"/>
  <c r="C84" i="35"/>
  <c r="B84" i="35"/>
  <c r="C83" i="35"/>
  <c r="B83" i="35"/>
  <c r="C82" i="35"/>
  <c r="B82" i="35"/>
  <c r="C81" i="35"/>
  <c r="B81" i="35"/>
  <c r="A81" i="35"/>
  <c r="C80" i="35"/>
  <c r="B80" i="35"/>
  <c r="A80" i="35"/>
  <c r="C79" i="35"/>
  <c r="B79" i="35"/>
  <c r="A79" i="35"/>
  <c r="F76" i="35"/>
  <c r="G76" i="35"/>
  <c r="H76" i="35"/>
  <c r="I76" i="35"/>
  <c r="J76" i="35"/>
  <c r="E76" i="35"/>
  <c r="F37" i="35"/>
  <c r="G37" i="35"/>
  <c r="H37" i="35"/>
  <c r="I37" i="35"/>
  <c r="J37" i="35"/>
  <c r="E37" i="35"/>
  <c r="J34" i="35"/>
  <c r="I34" i="35"/>
  <c r="H34" i="35"/>
  <c r="G34" i="35"/>
  <c r="F34" i="35"/>
  <c r="E34" i="35"/>
  <c r="J33" i="35"/>
  <c r="I33" i="35"/>
  <c r="H33" i="35"/>
  <c r="G33" i="35"/>
  <c r="F33" i="35"/>
  <c r="E33" i="35"/>
  <c r="J32" i="35"/>
  <c r="I32" i="35"/>
  <c r="H32" i="35"/>
  <c r="G32" i="35"/>
  <c r="F32" i="35"/>
  <c r="E32" i="35"/>
  <c r="J31" i="35"/>
  <c r="I31" i="35"/>
  <c r="H31" i="35"/>
  <c r="G31" i="35"/>
  <c r="F31" i="35"/>
  <c r="E31" i="35"/>
  <c r="J30" i="35"/>
  <c r="I30" i="35"/>
  <c r="H30" i="35"/>
  <c r="G30" i="35"/>
  <c r="F30" i="35"/>
  <c r="E30" i="35"/>
  <c r="J29" i="35"/>
  <c r="I29" i="35"/>
  <c r="H29" i="35"/>
  <c r="G29" i="35"/>
  <c r="F29" i="35"/>
  <c r="E29" i="35"/>
  <c r="J28" i="35"/>
  <c r="I28" i="35"/>
  <c r="H28" i="35"/>
  <c r="G28" i="35"/>
  <c r="F28" i="35"/>
  <c r="E28" i="35"/>
  <c r="J27" i="35"/>
  <c r="I27" i="35"/>
  <c r="H27" i="35"/>
  <c r="G27" i="35"/>
  <c r="F27" i="35"/>
  <c r="E27" i="35"/>
  <c r="J26" i="35"/>
  <c r="I26" i="35"/>
  <c r="H26" i="35"/>
  <c r="G26" i="35"/>
  <c r="F26" i="35"/>
  <c r="E26" i="35"/>
  <c r="E16" i="35"/>
  <c r="F16" i="35"/>
  <c r="G16" i="35"/>
  <c r="H16" i="35"/>
  <c r="I16" i="35"/>
  <c r="J16" i="35"/>
  <c r="E17" i="35"/>
  <c r="F17" i="35"/>
  <c r="G17" i="35"/>
  <c r="H17" i="35"/>
  <c r="I17" i="35"/>
  <c r="J17" i="35"/>
  <c r="E18" i="35"/>
  <c r="F18" i="35"/>
  <c r="G18" i="35"/>
  <c r="H18" i="35"/>
  <c r="I18" i="35"/>
  <c r="J18" i="35"/>
  <c r="E19" i="35"/>
  <c r="F19" i="35"/>
  <c r="G19" i="35"/>
  <c r="H19" i="35"/>
  <c r="I19" i="35"/>
  <c r="J19" i="35"/>
  <c r="E20" i="35"/>
  <c r="F20" i="35"/>
  <c r="G20" i="35"/>
  <c r="H20" i="35"/>
  <c r="I20" i="35"/>
  <c r="J20" i="35"/>
  <c r="E21" i="35"/>
  <c r="F21" i="35"/>
  <c r="G21" i="35"/>
  <c r="H21" i="35"/>
  <c r="I21" i="35"/>
  <c r="J21" i="35"/>
  <c r="E22" i="35"/>
  <c r="F22" i="35"/>
  <c r="G22" i="35"/>
  <c r="H22" i="35"/>
  <c r="I22" i="35"/>
  <c r="J22" i="35"/>
  <c r="E23" i="35"/>
  <c r="F23" i="35"/>
  <c r="G23" i="35"/>
  <c r="H23" i="35"/>
  <c r="I23" i="35"/>
  <c r="J23" i="35"/>
  <c r="F15" i="35"/>
  <c r="G15" i="35"/>
  <c r="H15" i="35"/>
  <c r="I15" i="35"/>
  <c r="J15" i="35"/>
  <c r="E15" i="35"/>
  <c r="E3" i="34"/>
  <c r="F3" i="34" s="1"/>
  <c r="G3" i="34" s="1"/>
  <c r="H3" i="34" s="1"/>
  <c r="I3" i="34" s="1"/>
  <c r="J3" i="34" s="1"/>
  <c r="K3" i="34" s="1"/>
  <c r="L3" i="34" s="1"/>
  <c r="M3" i="34" s="1"/>
  <c r="N3" i="34" s="1"/>
  <c r="O3" i="34" s="1"/>
  <c r="P3" i="34" s="1"/>
  <c r="Q3" i="34" s="1"/>
  <c r="R3" i="34" s="1"/>
  <c r="S3" i="34" s="1"/>
  <c r="T3" i="34" s="1"/>
  <c r="U3" i="34" s="1"/>
  <c r="V3" i="34" s="1"/>
  <c r="W3" i="34" s="1"/>
  <c r="X3" i="34" s="1"/>
  <c r="Y3" i="34" s="1"/>
  <c r="Z3" i="34" s="1"/>
  <c r="AA3" i="34" s="1"/>
  <c r="AB3" i="34" s="1"/>
  <c r="AC3" i="34" s="1"/>
  <c r="AD3" i="34" s="1"/>
  <c r="AE3" i="34" s="1"/>
  <c r="D27" i="33"/>
  <c r="D28" i="33"/>
  <c r="D29" i="33"/>
  <c r="D30" i="33"/>
  <c r="D31" i="33"/>
  <c r="D32" i="33"/>
  <c r="D33" i="33"/>
  <c r="D34" i="33"/>
  <c r="D36" i="33"/>
  <c r="D37" i="33"/>
  <c r="D38" i="33"/>
  <c r="D39" i="33"/>
  <c r="D40" i="33"/>
  <c r="D41" i="33"/>
  <c r="D42" i="33"/>
  <c r="D43" i="33"/>
  <c r="D44" i="33"/>
  <c r="D45" i="33"/>
  <c r="D46" i="33"/>
  <c r="D49" i="33"/>
  <c r="D50" i="33"/>
  <c r="D51" i="33"/>
  <c r="D55" i="33"/>
  <c r="D56" i="33"/>
  <c r="D57" i="33"/>
  <c r="D58" i="33"/>
  <c r="D60" i="33"/>
  <c r="D61" i="33"/>
  <c r="D62" i="33"/>
  <c r="D64" i="33"/>
  <c r="D67" i="33"/>
  <c r="D68" i="33"/>
  <c r="D69" i="33"/>
  <c r="D70" i="33"/>
  <c r="D71" i="33"/>
  <c r="D72" i="33"/>
  <c r="D26" i="33"/>
  <c r="C12" i="33"/>
  <c r="D12" i="33"/>
  <c r="C13" i="33"/>
  <c r="D13" i="33"/>
  <c r="E13" i="33"/>
  <c r="F13" i="33"/>
  <c r="G13" i="33"/>
  <c r="H13" i="33"/>
  <c r="I13" i="33"/>
  <c r="J13" i="33"/>
  <c r="K13" i="33"/>
  <c r="L13" i="33"/>
  <c r="M13" i="33"/>
  <c r="N13" i="33"/>
  <c r="O13" i="33"/>
  <c r="P13" i="33"/>
  <c r="Q13" i="33"/>
  <c r="R13" i="33"/>
  <c r="S13" i="33"/>
  <c r="T13" i="33"/>
  <c r="U13" i="33"/>
  <c r="V13" i="33"/>
  <c r="W13" i="33"/>
  <c r="X13" i="33"/>
  <c r="Y13" i="33"/>
  <c r="Z13" i="33"/>
  <c r="AA13" i="33"/>
  <c r="AB13" i="33"/>
  <c r="AC13" i="33"/>
  <c r="AD13" i="33"/>
  <c r="AE13" i="33"/>
  <c r="C14" i="33"/>
  <c r="D14" i="33"/>
  <c r="C15" i="33"/>
  <c r="D15" i="33"/>
  <c r="C16" i="33"/>
  <c r="D16" i="33"/>
  <c r="C17" i="33"/>
  <c r="D17" i="33"/>
  <c r="C18" i="33"/>
  <c r="D18" i="33"/>
  <c r="C19" i="33"/>
  <c r="D19" i="33"/>
  <c r="C20" i="33"/>
  <c r="D20" i="33"/>
  <c r="C21" i="33"/>
  <c r="D21" i="33"/>
  <c r="C22" i="33"/>
  <c r="D22" i="33"/>
  <c r="C23" i="33"/>
  <c r="D23" i="33"/>
  <c r="E3" i="33"/>
  <c r="F3" i="33" s="1"/>
  <c r="G3" i="33" s="1"/>
  <c r="H3" i="33" s="1"/>
  <c r="I3" i="33" s="1"/>
  <c r="J3" i="33" s="1"/>
  <c r="K3" i="33" s="1"/>
  <c r="L3" i="33" s="1"/>
  <c r="M3" i="33" s="1"/>
  <c r="N3" i="33" s="1"/>
  <c r="O3" i="33" s="1"/>
  <c r="P3" i="33" s="1"/>
  <c r="Q3" i="33" s="1"/>
  <c r="R3" i="33" s="1"/>
  <c r="S3" i="33" s="1"/>
  <c r="T3" i="33" s="1"/>
  <c r="U3" i="33" s="1"/>
  <c r="V3" i="33" s="1"/>
  <c r="W3" i="33" s="1"/>
  <c r="X3" i="33" s="1"/>
  <c r="Y3" i="33" s="1"/>
  <c r="Z3" i="33" s="1"/>
  <c r="AA3" i="33" s="1"/>
  <c r="AB3" i="33" s="1"/>
  <c r="AC3" i="33" s="1"/>
  <c r="AD3" i="33" s="1"/>
  <c r="AE3" i="33" s="1"/>
  <c r="C31" i="32"/>
  <c r="C32" i="32"/>
  <c r="C33" i="32"/>
  <c r="C34" i="32"/>
  <c r="C35" i="32"/>
  <c r="C36" i="32"/>
  <c r="B39" i="32"/>
  <c r="C39" i="32"/>
  <c r="C30" i="32"/>
  <c r="B30" i="32"/>
  <c r="C20" i="32"/>
  <c r="C21" i="32"/>
  <c r="C22" i="32"/>
  <c r="C23" i="32"/>
  <c r="C24" i="32"/>
  <c r="C26" i="32"/>
  <c r="C27" i="32"/>
  <c r="B26" i="32"/>
  <c r="B24" i="32"/>
  <c r="B21" i="32"/>
  <c r="B22" i="32"/>
  <c r="B23" i="32"/>
  <c r="B20" i="32"/>
  <c r="D14" i="32"/>
  <c r="E3" i="32"/>
  <c r="F3" i="32" s="1"/>
  <c r="G3" i="32" s="1"/>
  <c r="H3" i="32" s="1"/>
  <c r="I3" i="32" s="1"/>
  <c r="J3" i="32" s="1"/>
  <c r="K3" i="32" s="1"/>
  <c r="L3" i="32" s="1"/>
  <c r="M3" i="32" s="1"/>
  <c r="N3" i="32" s="1"/>
  <c r="O3" i="32" s="1"/>
  <c r="P3" i="32" s="1"/>
  <c r="Q3" i="32" s="1"/>
  <c r="R3" i="32" s="1"/>
  <c r="S3" i="32" s="1"/>
  <c r="T3" i="32" s="1"/>
  <c r="U3" i="32" s="1"/>
  <c r="V3" i="32" s="1"/>
  <c r="W3" i="32" s="1"/>
  <c r="X3" i="32" s="1"/>
  <c r="Y3" i="32" s="1"/>
  <c r="Z3" i="32" s="1"/>
  <c r="AA3" i="32" s="1"/>
  <c r="AB3" i="32" s="1"/>
  <c r="AC3" i="32" s="1"/>
  <c r="AD3" i="32" s="1"/>
  <c r="AE3" i="32" s="1"/>
  <c r="H243" i="5" l="1"/>
  <c r="H246" i="5" s="1"/>
  <c r="G388" i="5"/>
  <c r="I3" i="5"/>
  <c r="J25" i="17"/>
  <c r="L24" i="17"/>
  <c r="I240" i="27"/>
  <c r="H240" i="27"/>
  <c r="I235" i="27"/>
  <c r="H235" i="27"/>
  <c r="I219" i="27"/>
  <c r="H219" i="27"/>
  <c r="H238" i="27"/>
  <c r="I238" i="27"/>
  <c r="H239" i="27"/>
  <c r="I239" i="27"/>
  <c r="I237" i="27"/>
  <c r="H237" i="27"/>
  <c r="H232" i="27"/>
  <c r="G232" i="27" s="1"/>
  <c r="I232" i="27"/>
  <c r="H233" i="27"/>
  <c r="G233" i="27" s="1"/>
  <c r="I233" i="27"/>
  <c r="H234" i="27"/>
  <c r="G234" i="27" s="1"/>
  <c r="I234" i="27"/>
  <c r="I231" i="27"/>
  <c r="H231" i="27"/>
  <c r="G231" i="27" s="1"/>
  <c r="I230" i="27"/>
  <c r="H230" i="27"/>
  <c r="G230" i="27" s="1"/>
  <c r="I229" i="27"/>
  <c r="H229" i="27"/>
  <c r="G229" i="27" s="1"/>
  <c r="I228" i="27"/>
  <c r="H228" i="27"/>
  <c r="G228" i="27" s="1"/>
  <c r="I226" i="27"/>
  <c r="H226" i="27"/>
  <c r="G226" i="27" s="1"/>
  <c r="I225" i="27"/>
  <c r="H225" i="27"/>
  <c r="G225" i="27" s="1"/>
  <c r="I224" i="27"/>
  <c r="H224" i="27"/>
  <c r="G224" i="27" s="1"/>
  <c r="I223" i="27"/>
  <c r="H223" i="27"/>
  <c r="G223" i="27" s="1"/>
  <c r="I222" i="27"/>
  <c r="H222" i="27"/>
  <c r="G222" i="27" s="1"/>
  <c r="H211" i="27"/>
  <c r="I211" i="27"/>
  <c r="H212" i="27"/>
  <c r="I212" i="27"/>
  <c r="H213" i="27"/>
  <c r="I213" i="27"/>
  <c r="H214" i="27"/>
  <c r="I214" i="27"/>
  <c r="H215" i="27"/>
  <c r="I215" i="27"/>
  <c r="H216" i="27"/>
  <c r="I216" i="27"/>
  <c r="H217" i="27"/>
  <c r="I217" i="27"/>
  <c r="H218" i="27"/>
  <c r="I218" i="27"/>
  <c r="I210" i="27"/>
  <c r="H210" i="27"/>
  <c r="E110" i="27"/>
  <c r="E109" i="27"/>
  <c r="E61" i="27"/>
  <c r="E59" i="27"/>
  <c r="E58" i="27"/>
  <c r="H242" i="27" l="1"/>
  <c r="I242" i="27"/>
  <c r="I243" i="5"/>
  <c r="I246" i="5" s="1"/>
  <c r="H388" i="5"/>
  <c r="J3" i="5"/>
  <c r="J26" i="17"/>
  <c r="L25" i="17"/>
  <c r="I388" i="5" l="1"/>
  <c r="J243" i="5"/>
  <c r="J246" i="5" s="1"/>
  <c r="K3" i="5"/>
  <c r="J27" i="17"/>
  <c r="L26" i="17"/>
  <c r="J388" i="5" l="1"/>
  <c r="K243" i="5"/>
  <c r="K246" i="5" s="1"/>
  <c r="L3" i="5"/>
  <c r="J28" i="17"/>
  <c r="L27" i="17"/>
  <c r="E100" i="27"/>
  <c r="E98" i="27"/>
  <c r="C41" i="27"/>
  <c r="C42" i="27"/>
  <c r="C40" i="27"/>
  <c r="C29" i="27"/>
  <c r="K388" i="5" l="1"/>
  <c r="L243" i="5"/>
  <c r="L246" i="5" s="1"/>
  <c r="M3" i="5"/>
  <c r="J29" i="17"/>
  <c r="L28" i="17"/>
  <c r="L388" i="5" l="1"/>
  <c r="M243" i="5"/>
  <c r="M246" i="5" s="1"/>
  <c r="N3" i="5"/>
  <c r="J30" i="17"/>
  <c r="L29" i="17"/>
  <c r="N243" i="5" l="1"/>
  <c r="N246" i="5" s="1"/>
  <c r="M388" i="5"/>
  <c r="O3" i="5"/>
  <c r="J31" i="17"/>
  <c r="L30" i="17"/>
  <c r="C24" i="27"/>
  <c r="C25" i="27"/>
  <c r="C26" i="27"/>
  <c r="C27" i="27"/>
  <c r="C28" i="27"/>
  <c r="C23" i="27"/>
  <c r="X222" i="21"/>
  <c r="Y222" i="21"/>
  <c r="AA222" i="21"/>
  <c r="AB222" i="21"/>
  <c r="O243" i="5" l="1"/>
  <c r="O246" i="5" s="1"/>
  <c r="N388" i="5"/>
  <c r="P3" i="5"/>
  <c r="J32" i="17"/>
  <c r="L31" i="17"/>
  <c r="Z222" i="21"/>
  <c r="P243" i="5" l="1"/>
  <c r="P246" i="5" s="1"/>
  <c r="O388" i="5"/>
  <c r="Q3" i="5"/>
  <c r="J33" i="17"/>
  <c r="L33" i="17" s="1"/>
  <c r="L32" i="17"/>
  <c r="D156" i="5" l="1"/>
  <c r="H5" i="38"/>
  <c r="P388" i="5"/>
  <c r="Q243" i="5"/>
  <c r="Q246" i="5" s="1"/>
  <c r="R3" i="5"/>
  <c r="F89" i="26"/>
  <c r="G89" i="26"/>
  <c r="H89" i="26"/>
  <c r="I89" i="26"/>
  <c r="J89"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AI89" i="26"/>
  <c r="E89" i="26"/>
  <c r="F71" i="21"/>
  <c r="F68" i="21"/>
  <c r="F69" i="21"/>
  <c r="F187" i="21"/>
  <c r="F188" i="21"/>
  <c r="F72" i="21"/>
  <c r="D16" i="32" l="1"/>
  <c r="U187" i="21"/>
  <c r="V187" i="21"/>
  <c r="U188" i="21"/>
  <c r="V188" i="21"/>
  <c r="R243" i="5"/>
  <c r="R246" i="5" s="1"/>
  <c r="Q388" i="5"/>
  <c r="S3" i="5"/>
  <c r="U72" i="21"/>
  <c r="V72" i="21"/>
  <c r="U69" i="21"/>
  <c r="V69" i="21"/>
  <c r="V68" i="21"/>
  <c r="U68" i="21"/>
  <c r="U71" i="21"/>
  <c r="V71" i="21"/>
  <c r="N71" i="21"/>
  <c r="O71" i="21"/>
  <c r="O187" i="21"/>
  <c r="N187" i="21"/>
  <c r="N188" i="21"/>
  <c r="O188" i="21"/>
  <c r="O72" i="21"/>
  <c r="N72" i="21"/>
  <c r="W187" i="21" l="1"/>
  <c r="W188" i="21"/>
  <c r="S243" i="5"/>
  <c r="S246" i="5" s="1"/>
  <c r="R388" i="5"/>
  <c r="T3" i="5"/>
  <c r="W68" i="21"/>
  <c r="W69" i="21"/>
  <c r="W72" i="21"/>
  <c r="W71" i="21"/>
  <c r="P71" i="21"/>
  <c r="P72" i="21"/>
  <c r="P188" i="21"/>
  <c r="Q71" i="21"/>
  <c r="Q188" i="21"/>
  <c r="P187" i="21"/>
  <c r="Q187" i="21"/>
  <c r="Q72" i="21"/>
  <c r="T243" i="5" l="1"/>
  <c r="T246" i="5" s="1"/>
  <c r="S388" i="5"/>
  <c r="U3" i="5"/>
  <c r="R71" i="21"/>
  <c r="R72" i="21"/>
  <c r="R188" i="21"/>
  <c r="R187" i="21"/>
  <c r="U243" i="5" l="1"/>
  <c r="U246" i="5" s="1"/>
  <c r="T388" i="5"/>
  <c r="V3" i="5"/>
  <c r="D265" i="1"/>
  <c r="E265" i="1" s="1"/>
  <c r="F265" i="1" s="1"/>
  <c r="H265" i="1" s="1"/>
  <c r="I265" i="1" s="1"/>
  <c r="J265" i="1" s="1"/>
  <c r="K265" i="1" s="1"/>
  <c r="L265" i="1" s="1"/>
  <c r="M265" i="1" s="1"/>
  <c r="N265" i="1" s="1"/>
  <c r="O265" i="1" s="1"/>
  <c r="P265" i="1" s="1"/>
  <c r="Q265" i="1" s="1"/>
  <c r="R265" i="1" s="1"/>
  <c r="S265" i="1" s="1"/>
  <c r="T265" i="1" s="1"/>
  <c r="U265" i="1" s="1"/>
  <c r="V265" i="1" s="1"/>
  <c r="W265" i="1" s="1"/>
  <c r="X265" i="1" s="1"/>
  <c r="Y265" i="1" s="1"/>
  <c r="Z265" i="1" s="1"/>
  <c r="AA265" i="1" s="1"/>
  <c r="AB265" i="1" s="1"/>
  <c r="AC265" i="1" s="1"/>
  <c r="AD265" i="1" s="1"/>
  <c r="AE265" i="1" s="1"/>
  <c r="AF265" i="1" s="1"/>
  <c r="AG265" i="1" s="1"/>
  <c r="AH265" i="1" s="1"/>
  <c r="AI265" i="1" s="1"/>
  <c r="AJ265" i="1" s="1"/>
  <c r="AK265" i="1" s="1"/>
  <c r="E84" i="26"/>
  <c r="E74" i="26"/>
  <c r="E95" i="35" s="1"/>
  <c r="E57" i="26"/>
  <c r="E87" i="35" s="1"/>
  <c r="E56" i="26"/>
  <c r="E55" i="26"/>
  <c r="E86" i="35" s="1"/>
  <c r="F38" i="26"/>
  <c r="G13" i="26"/>
  <c r="V243" i="5" l="1"/>
  <c r="V246" i="5" s="1"/>
  <c r="U388" i="5"/>
  <c r="W3" i="5"/>
  <c r="W243" i="5" l="1"/>
  <c r="W246" i="5" s="1"/>
  <c r="V388" i="5"/>
  <c r="X3" i="5"/>
  <c r="E6" i="21"/>
  <c r="X243" i="5" l="1"/>
  <c r="X246" i="5" s="1"/>
  <c r="W388" i="5"/>
  <c r="Y3" i="5"/>
  <c r="D42" i="21"/>
  <c r="D41" i="21"/>
  <c r="F15" i="27" l="1"/>
  <c r="F16" i="27"/>
  <c r="Y243" i="5"/>
  <c r="Y246" i="5" s="1"/>
  <c r="X388" i="5"/>
  <c r="Z3" i="5"/>
  <c r="D20" i="38"/>
  <c r="D20" i="15"/>
  <c r="D19" i="15"/>
  <c r="D18" i="15"/>
  <c r="D17" i="15"/>
  <c r="D16" i="15"/>
  <c r="E177" i="21"/>
  <c r="D177" i="21"/>
  <c r="O189" i="21"/>
  <c r="N189" i="21"/>
  <c r="O178" i="21"/>
  <c r="N178" i="21"/>
  <c r="O175" i="21"/>
  <c r="N175" i="21"/>
  <c r="O117" i="21"/>
  <c r="N117" i="21"/>
  <c r="O108" i="21"/>
  <c r="N108" i="21"/>
  <c r="Z243" i="5" l="1"/>
  <c r="Z246" i="5" s="1"/>
  <c r="Y388" i="5"/>
  <c r="O79" i="5"/>
  <c r="O27" i="34" s="1"/>
  <c r="AA79" i="5"/>
  <c r="AA27" i="34" s="1"/>
  <c r="P79" i="5"/>
  <c r="P27" i="34" s="1"/>
  <c r="AB79" i="5"/>
  <c r="AB27" i="34" s="1"/>
  <c r="E79" i="5"/>
  <c r="E27" i="34" s="1"/>
  <c r="Q79" i="5"/>
  <c r="Q27" i="34" s="1"/>
  <c r="AC79" i="5"/>
  <c r="AC27" i="34" s="1"/>
  <c r="F79" i="5"/>
  <c r="F27" i="34" s="1"/>
  <c r="R79" i="5"/>
  <c r="R27" i="34" s="1"/>
  <c r="AD79" i="5"/>
  <c r="AD27" i="34" s="1"/>
  <c r="G79" i="5"/>
  <c r="G27" i="34" s="1"/>
  <c r="S79" i="5"/>
  <c r="S27" i="34" s="1"/>
  <c r="AE79" i="5"/>
  <c r="AE27" i="34" s="1"/>
  <c r="H79" i="5"/>
  <c r="H27" i="34" s="1"/>
  <c r="T79" i="5"/>
  <c r="T27" i="34" s="1"/>
  <c r="AF79" i="5"/>
  <c r="I79" i="5"/>
  <c r="I27" i="34" s="1"/>
  <c r="U79" i="5"/>
  <c r="U27" i="34" s="1"/>
  <c r="AG79" i="5"/>
  <c r="J79" i="5"/>
  <c r="J27" i="34" s="1"/>
  <c r="V79" i="5"/>
  <c r="V27" i="34" s="1"/>
  <c r="AH79" i="5"/>
  <c r="K79" i="5"/>
  <c r="K27" i="34" s="1"/>
  <c r="W79" i="5"/>
  <c r="W27" i="34" s="1"/>
  <c r="AI79" i="5"/>
  <c r="L79" i="5"/>
  <c r="L27" i="34" s="1"/>
  <c r="X79" i="5"/>
  <c r="X27" i="34" s="1"/>
  <c r="M79" i="5"/>
  <c r="M27" i="34" s="1"/>
  <c r="Y79" i="5"/>
  <c r="Y27" i="34" s="1"/>
  <c r="N79" i="5"/>
  <c r="N27" i="34" s="1"/>
  <c r="Z79" i="5"/>
  <c r="Z27" i="34" s="1"/>
  <c r="AA3" i="5"/>
  <c r="T79" i="26"/>
  <c r="E79" i="26"/>
  <c r="E100" i="35" s="1"/>
  <c r="AG79" i="26"/>
  <c r="U79" i="26"/>
  <c r="H79" i="26"/>
  <c r="H100" i="35" s="1"/>
  <c r="X79" i="26"/>
  <c r="AB79" i="26"/>
  <c r="AD79" i="26"/>
  <c r="P79" i="26"/>
  <c r="AH79" i="26"/>
  <c r="F79" i="26"/>
  <c r="F100" i="35" s="1"/>
  <c r="V79" i="26"/>
  <c r="Z79" i="26"/>
  <c r="AE79" i="26"/>
  <c r="Q79" i="26"/>
  <c r="AI79" i="26"/>
  <c r="G79" i="26"/>
  <c r="G100" i="35" s="1"/>
  <c r="W79" i="26"/>
  <c r="AA79" i="26"/>
  <c r="O79" i="26"/>
  <c r="R79" i="26"/>
  <c r="I79" i="26"/>
  <c r="I100" i="35" s="1"/>
  <c r="Y79" i="26"/>
  <c r="J79" i="26"/>
  <c r="J100" i="35" s="1"/>
  <c r="AC79" i="26"/>
  <c r="N79" i="26"/>
  <c r="AF79" i="26"/>
  <c r="S79" i="26"/>
  <c r="K79" i="26"/>
  <c r="K100" i="35" s="1"/>
  <c r="L79" i="26"/>
  <c r="L100" i="35" s="1"/>
  <c r="M79" i="26"/>
  <c r="Q117" i="21"/>
  <c r="Q178" i="21"/>
  <c r="F177" i="21"/>
  <c r="Q108" i="21"/>
  <c r="Q189" i="21"/>
  <c r="P178" i="21"/>
  <c r="Q175" i="21"/>
  <c r="P189" i="21"/>
  <c r="P117" i="21"/>
  <c r="P108" i="21"/>
  <c r="P175" i="21"/>
  <c r="V177" i="21" l="1"/>
  <c r="U177" i="21"/>
  <c r="AA243" i="5"/>
  <c r="AA246" i="5" s="1"/>
  <c r="Z388" i="5"/>
  <c r="AB3" i="5"/>
  <c r="R117" i="21"/>
  <c r="R178" i="21"/>
  <c r="N177" i="21"/>
  <c r="O177" i="21"/>
  <c r="R189" i="21"/>
  <c r="R108" i="21"/>
  <c r="R175" i="21"/>
  <c r="W177" i="21" l="1"/>
  <c r="AA388" i="5"/>
  <c r="AB243" i="5"/>
  <c r="AB246" i="5" s="1"/>
  <c r="AC3" i="5"/>
  <c r="Q177" i="21"/>
  <c r="P177" i="21"/>
  <c r="AC243" i="5" l="1"/>
  <c r="AC246" i="5" s="1"/>
  <c r="AB388" i="5"/>
  <c r="AD3" i="5"/>
  <c r="R177" i="21"/>
  <c r="F204" i="21"/>
  <c r="I100" i="27" s="1"/>
  <c r="F202" i="21"/>
  <c r="I98" i="27" s="1"/>
  <c r="F212" i="21"/>
  <c r="I110" i="27" s="1"/>
  <c r="F209" i="21"/>
  <c r="I109" i="27" s="1"/>
  <c r="D206" i="21"/>
  <c r="E206" i="21"/>
  <c r="E108" i="27" s="1"/>
  <c r="D207" i="21"/>
  <c r="E207" i="21"/>
  <c r="D208" i="21"/>
  <c r="E208" i="21"/>
  <c r="D210" i="21"/>
  <c r="E210" i="21"/>
  <c r="D211" i="21"/>
  <c r="E211" i="21"/>
  <c r="D196" i="21"/>
  <c r="D197" i="21"/>
  <c r="E197" i="21"/>
  <c r="E89" i="27" s="1"/>
  <c r="D198" i="21"/>
  <c r="E198" i="21"/>
  <c r="D199" i="21"/>
  <c r="E199" i="21"/>
  <c r="E90" i="27" s="1"/>
  <c r="D200" i="21"/>
  <c r="E200" i="21"/>
  <c r="E14" i="21"/>
  <c r="E20" i="5" s="1"/>
  <c r="E20" i="26" s="1"/>
  <c r="E176" i="21"/>
  <c r="E74" i="27" s="1"/>
  <c r="D176" i="21"/>
  <c r="AA4" i="21"/>
  <c r="G214" i="21" l="1"/>
  <c r="H214" i="21" s="1"/>
  <c r="G54" i="21"/>
  <c r="G127" i="21"/>
  <c r="G124" i="21"/>
  <c r="G131" i="21"/>
  <c r="G132" i="21"/>
  <c r="G129" i="21"/>
  <c r="G130" i="21"/>
  <c r="G125" i="21"/>
  <c r="G128" i="21"/>
  <c r="G133" i="21"/>
  <c r="G126" i="21"/>
  <c r="U181" i="21"/>
  <c r="V181" i="21"/>
  <c r="G212" i="21"/>
  <c r="S180" i="21"/>
  <c r="G177" i="21"/>
  <c r="S64" i="21"/>
  <c r="S181" i="21"/>
  <c r="X181" i="21" s="1"/>
  <c r="S182" i="21"/>
  <c r="S193" i="21"/>
  <c r="G209" i="21"/>
  <c r="X209" i="21" s="1"/>
  <c r="S183" i="21"/>
  <c r="G72" i="21"/>
  <c r="S184" i="21"/>
  <c r="G71" i="21"/>
  <c r="S185" i="21"/>
  <c r="S186" i="21"/>
  <c r="G69" i="21"/>
  <c r="S190" i="21"/>
  <c r="G204" i="21"/>
  <c r="S187" i="21"/>
  <c r="G187" i="21" s="1"/>
  <c r="G68" i="21"/>
  <c r="G202" i="21"/>
  <c r="X202" i="21" s="1"/>
  <c r="S188" i="21"/>
  <c r="G188" i="21" s="1"/>
  <c r="S189" i="21"/>
  <c r="S191" i="21"/>
  <c r="S192" i="21"/>
  <c r="J98" i="27"/>
  <c r="G98" i="27"/>
  <c r="F98" i="27" s="1"/>
  <c r="I102" i="27"/>
  <c r="H98" i="27"/>
  <c r="J100" i="27"/>
  <c r="K100" i="27" s="1"/>
  <c r="G100" i="27"/>
  <c r="F100" i="27" s="1"/>
  <c r="H100" i="27"/>
  <c r="G51" i="21"/>
  <c r="G50" i="21"/>
  <c r="AD243" i="5"/>
  <c r="AD246" i="5" s="1"/>
  <c r="AC388" i="5"/>
  <c r="AE3" i="5"/>
  <c r="J109" i="27"/>
  <c r="K109" i="27" s="1"/>
  <c r="G109" i="27"/>
  <c r="F109" i="27" s="1"/>
  <c r="H109" i="27"/>
  <c r="J110" i="27"/>
  <c r="K110" i="27" s="1"/>
  <c r="H110" i="27"/>
  <c r="G110" i="27"/>
  <c r="F110" i="27" s="1"/>
  <c r="V212" i="21"/>
  <c r="U212" i="21"/>
  <c r="U204" i="21"/>
  <c r="V204" i="21"/>
  <c r="V209" i="21"/>
  <c r="U209" i="21"/>
  <c r="U202" i="21"/>
  <c r="V202" i="21"/>
  <c r="O16" i="21"/>
  <c r="F207" i="21"/>
  <c r="N212" i="21"/>
  <c r="O212" i="21"/>
  <c r="N202" i="21"/>
  <c r="O202" i="21"/>
  <c r="O204" i="21"/>
  <c r="N204" i="21"/>
  <c r="O181" i="21"/>
  <c r="N181" i="21"/>
  <c r="O209" i="21"/>
  <c r="N209" i="21"/>
  <c r="F210" i="21"/>
  <c r="F211" i="21"/>
  <c r="F208" i="21"/>
  <c r="F206" i="21"/>
  <c r="F199" i="21"/>
  <c r="I90" i="27" s="1"/>
  <c r="J90" i="27" s="1"/>
  <c r="K90" i="27" s="1"/>
  <c r="F198" i="21"/>
  <c r="F200" i="21"/>
  <c r="F197" i="21"/>
  <c r="I89" i="27" s="1"/>
  <c r="F176" i="21"/>
  <c r="E7" i="21"/>
  <c r="E5" i="21"/>
  <c r="E13" i="21"/>
  <c r="E12" i="21"/>
  <c r="E11" i="21"/>
  <c r="E10" i="21"/>
  <c r="E9" i="21"/>
  <c r="E8" i="21"/>
  <c r="E19" i="5" s="1"/>
  <c r="E19" i="26" s="1"/>
  <c r="E4" i="21"/>
  <c r="E18" i="5" s="1"/>
  <c r="E18" i="26" s="1"/>
  <c r="E2" i="21"/>
  <c r="E16" i="5" s="1"/>
  <c r="E16" i="26" s="1"/>
  <c r="F227" i="21"/>
  <c r="F226" i="21"/>
  <c r="F225" i="21"/>
  <c r="F224" i="21"/>
  <c r="F223" i="21"/>
  <c r="F179" i="21"/>
  <c r="F174" i="21"/>
  <c r="F173" i="21"/>
  <c r="F172" i="21"/>
  <c r="F171" i="21"/>
  <c r="F170" i="21"/>
  <c r="F169" i="21"/>
  <c r="F168" i="21"/>
  <c r="F167" i="21"/>
  <c r="F166" i="21"/>
  <c r="F164" i="21"/>
  <c r="F163" i="21"/>
  <c r="F162" i="21"/>
  <c r="F161" i="21"/>
  <c r="F160" i="21"/>
  <c r="F159" i="21"/>
  <c r="F154" i="21"/>
  <c r="F153" i="21"/>
  <c r="F152" i="21"/>
  <c r="F151" i="21"/>
  <c r="F150" i="21"/>
  <c r="F149" i="21"/>
  <c r="F148" i="21"/>
  <c r="F147" i="21"/>
  <c r="F146" i="21"/>
  <c r="F145" i="21"/>
  <c r="F143" i="21"/>
  <c r="F142" i="21"/>
  <c r="F140" i="21"/>
  <c r="F139" i="21"/>
  <c r="F138" i="21"/>
  <c r="F137" i="21"/>
  <c r="F136" i="21"/>
  <c r="F135" i="21"/>
  <c r="F115" i="21"/>
  <c r="F112" i="21"/>
  <c r="F111" i="21"/>
  <c r="F110" i="21"/>
  <c r="F109" i="21"/>
  <c r="F107" i="21"/>
  <c r="F106" i="21"/>
  <c r="F105" i="21"/>
  <c r="F103" i="21"/>
  <c r="F102" i="21"/>
  <c r="F100" i="21"/>
  <c r="F99" i="21"/>
  <c r="F98" i="21"/>
  <c r="F97" i="21"/>
  <c r="F96" i="21"/>
  <c r="F95" i="21"/>
  <c r="F94" i="21"/>
  <c r="F92" i="21"/>
  <c r="F91" i="21"/>
  <c r="F90" i="21"/>
  <c r="F89" i="21"/>
  <c r="F88" i="21"/>
  <c r="F87" i="21"/>
  <c r="F86" i="21"/>
  <c r="F85" i="21"/>
  <c r="F76" i="21"/>
  <c r="F75" i="21"/>
  <c r="F74" i="21"/>
  <c r="F17" i="21" l="1"/>
  <c r="I52" i="27"/>
  <c r="K111" i="27"/>
  <c r="J111" i="27"/>
  <c r="H54" i="21"/>
  <c r="Y54" i="21" s="1"/>
  <c r="X54" i="21"/>
  <c r="I108" i="27"/>
  <c r="I112" i="27" s="1"/>
  <c r="D254" i="27" s="1"/>
  <c r="X126" i="21"/>
  <c r="H126" i="21"/>
  <c r="Y126" i="21" s="1"/>
  <c r="H133" i="21"/>
  <c r="Y133" i="21" s="1"/>
  <c r="X133" i="21"/>
  <c r="X128" i="21"/>
  <c r="H128" i="21"/>
  <c r="Y128" i="21" s="1"/>
  <c r="H129" i="21"/>
  <c r="Y129" i="21" s="1"/>
  <c r="X129" i="21"/>
  <c r="H132" i="21"/>
  <c r="Y132" i="21" s="1"/>
  <c r="X132" i="21"/>
  <c r="H130" i="21"/>
  <c r="Y130" i="21" s="1"/>
  <c r="X130" i="21"/>
  <c r="X131" i="21"/>
  <c r="H131" i="21"/>
  <c r="Y131" i="21" s="1"/>
  <c r="X125" i="21"/>
  <c r="H125" i="21"/>
  <c r="Y125" i="21" s="1"/>
  <c r="H124" i="21"/>
  <c r="Y124" i="21" s="1"/>
  <c r="X124" i="21"/>
  <c r="H127" i="21"/>
  <c r="Y127" i="21" s="1"/>
  <c r="X127" i="21"/>
  <c r="I59" i="27"/>
  <c r="H59" i="27" s="1"/>
  <c r="I61" i="27"/>
  <c r="G61" i="27" s="1"/>
  <c r="F61" i="27" s="1"/>
  <c r="U184" i="21"/>
  <c r="V184" i="21"/>
  <c r="U167" i="21"/>
  <c r="V167" i="21"/>
  <c r="U191" i="21"/>
  <c r="V191" i="21"/>
  <c r="U168" i="21"/>
  <c r="V168" i="21"/>
  <c r="U192" i="21"/>
  <c r="V192" i="21"/>
  <c r="U185" i="21"/>
  <c r="V185" i="21"/>
  <c r="U193" i="21"/>
  <c r="V193" i="21"/>
  <c r="U172" i="21"/>
  <c r="V172" i="21"/>
  <c r="U183" i="21"/>
  <c r="V183" i="21"/>
  <c r="U171" i="21"/>
  <c r="V171" i="21"/>
  <c r="U173" i="21"/>
  <c r="V173" i="21"/>
  <c r="U186" i="21"/>
  <c r="V186" i="21"/>
  <c r="U174" i="21"/>
  <c r="V174" i="21"/>
  <c r="I79" i="27"/>
  <c r="G79" i="27" s="1"/>
  <c r="F79" i="27" s="1"/>
  <c r="U190" i="21"/>
  <c r="V190" i="21"/>
  <c r="I78" i="27"/>
  <c r="I80" i="27" s="1"/>
  <c r="U179" i="21"/>
  <c r="V179" i="21"/>
  <c r="G207" i="21"/>
  <c r="X207" i="21" s="1"/>
  <c r="W181" i="21"/>
  <c r="U182" i="21"/>
  <c r="V182" i="21"/>
  <c r="U169" i="21"/>
  <c r="V169" i="21"/>
  <c r="U170" i="21"/>
  <c r="V170" i="21"/>
  <c r="U180" i="21"/>
  <c r="V180" i="21"/>
  <c r="X187" i="21"/>
  <c r="H187" i="21"/>
  <c r="Y187" i="21" s="1"/>
  <c r="X72" i="21"/>
  <c r="H72" i="21"/>
  <c r="Y72" i="21" s="1"/>
  <c r="X69" i="21"/>
  <c r="H69" i="21"/>
  <c r="Y69" i="21" s="1"/>
  <c r="X177" i="21"/>
  <c r="H177" i="21"/>
  <c r="Y177" i="21" s="1"/>
  <c r="U176" i="21"/>
  <c r="V176" i="21"/>
  <c r="X188" i="21"/>
  <c r="H188" i="21"/>
  <c r="Y188" i="21" s="1"/>
  <c r="H71" i="21"/>
  <c r="Y71" i="21" s="1"/>
  <c r="X71" i="21"/>
  <c r="X68" i="21"/>
  <c r="H68" i="21"/>
  <c r="Y68" i="21" s="1"/>
  <c r="H51" i="21"/>
  <c r="Y51" i="21" s="1"/>
  <c r="X51" i="21"/>
  <c r="H50" i="21"/>
  <c r="Y50" i="21" s="1"/>
  <c r="X50" i="21"/>
  <c r="J59" i="27"/>
  <c r="K59" i="27" s="1"/>
  <c r="G59" i="27"/>
  <c r="F59" i="27" s="1"/>
  <c r="I60" i="27"/>
  <c r="G102" i="27"/>
  <c r="H102" i="27"/>
  <c r="K98" i="27"/>
  <c r="K102" i="27" s="1"/>
  <c r="AC13" i="27" s="1"/>
  <c r="J102" i="27"/>
  <c r="AD388" i="5"/>
  <c r="AE243" i="5"/>
  <c r="AE246" i="5" s="1"/>
  <c r="AF3" i="5"/>
  <c r="I73" i="27"/>
  <c r="J73" i="27" s="1"/>
  <c r="K73" i="27" s="1"/>
  <c r="I58" i="27"/>
  <c r="J58" i="27" s="1"/>
  <c r="K58" i="27" s="1"/>
  <c r="G52" i="27"/>
  <c r="F52" i="27" s="1"/>
  <c r="J52" i="27"/>
  <c r="K52" i="27" s="1"/>
  <c r="H52" i="27"/>
  <c r="I74" i="27"/>
  <c r="J89" i="27"/>
  <c r="K89" i="27" s="1"/>
  <c r="H108" i="27"/>
  <c r="J108" i="27"/>
  <c r="J112" i="27" s="1"/>
  <c r="E254" i="27" s="1"/>
  <c r="G108" i="27"/>
  <c r="F108" i="27" s="1"/>
  <c r="W202" i="21"/>
  <c r="W212" i="21"/>
  <c r="U88" i="21"/>
  <c r="V88" i="21"/>
  <c r="V111" i="21"/>
  <c r="U111" i="21"/>
  <c r="X223" i="21"/>
  <c r="Y223" i="21"/>
  <c r="V97" i="21"/>
  <c r="U97" i="21"/>
  <c r="U98" i="21"/>
  <c r="V98" i="21"/>
  <c r="U159" i="21"/>
  <c r="V159" i="21"/>
  <c r="H212" i="21"/>
  <c r="Y212" i="21" s="1"/>
  <c r="X212" i="21"/>
  <c r="U74" i="21"/>
  <c r="V74" i="21"/>
  <c r="V87" i="21"/>
  <c r="U87" i="21"/>
  <c r="U106" i="21"/>
  <c r="V106" i="21"/>
  <c r="U145" i="21"/>
  <c r="V145" i="21"/>
  <c r="U166" i="21"/>
  <c r="V166" i="21"/>
  <c r="O207" i="21"/>
  <c r="U207" i="21"/>
  <c r="V207" i="21"/>
  <c r="U109" i="21"/>
  <c r="V109" i="21"/>
  <c r="U110" i="21"/>
  <c r="V110" i="21"/>
  <c r="V92" i="21"/>
  <c r="U92" i="21"/>
  <c r="V200" i="21"/>
  <c r="U200" i="21"/>
  <c r="U94" i="21"/>
  <c r="V94" i="21"/>
  <c r="U151" i="21"/>
  <c r="V151" i="21"/>
  <c r="X225" i="21"/>
  <c r="Y225" i="21"/>
  <c r="U198" i="21"/>
  <c r="V198" i="21"/>
  <c r="U146" i="21"/>
  <c r="V146" i="21"/>
  <c r="U210" i="21"/>
  <c r="V210" i="21"/>
  <c r="V147" i="21"/>
  <c r="U147" i="21"/>
  <c r="U90" i="21"/>
  <c r="V90" i="21"/>
  <c r="V91" i="21"/>
  <c r="U91" i="21"/>
  <c r="U197" i="21"/>
  <c r="V197" i="21"/>
  <c r="X224" i="21"/>
  <c r="Y224" i="21"/>
  <c r="U115" i="21"/>
  <c r="V115" i="21"/>
  <c r="U95" i="21"/>
  <c r="V95" i="21"/>
  <c r="U152" i="21"/>
  <c r="V152" i="21"/>
  <c r="X226" i="21"/>
  <c r="Y226" i="21"/>
  <c r="U199" i="21"/>
  <c r="V199" i="21"/>
  <c r="Y181" i="21"/>
  <c r="V96" i="21"/>
  <c r="U96" i="21"/>
  <c r="U135" i="21"/>
  <c r="V135" i="21"/>
  <c r="U153" i="21"/>
  <c r="V153" i="21"/>
  <c r="X227" i="21"/>
  <c r="Y227" i="21"/>
  <c r="W209" i="21"/>
  <c r="H204" i="21"/>
  <c r="Y204" i="21" s="1"/>
  <c r="X204" i="21"/>
  <c r="V16" i="21"/>
  <c r="U16" i="21"/>
  <c r="U150" i="21"/>
  <c r="V150" i="21"/>
  <c r="U136" i="21"/>
  <c r="V136" i="21"/>
  <c r="V206" i="21"/>
  <c r="U206" i="21"/>
  <c r="U99" i="21"/>
  <c r="V99" i="21"/>
  <c r="U160" i="21"/>
  <c r="V160" i="21"/>
  <c r="U208" i="21"/>
  <c r="V208" i="21"/>
  <c r="W204" i="21"/>
  <c r="V75" i="21"/>
  <c r="U75" i="21"/>
  <c r="V139" i="21"/>
  <c r="U139" i="21"/>
  <c r="U102" i="21"/>
  <c r="V102" i="21"/>
  <c r="V162" i="21"/>
  <c r="U162" i="21"/>
  <c r="U85" i="21"/>
  <c r="V85" i="21"/>
  <c r="V103" i="21"/>
  <c r="U103" i="21"/>
  <c r="U142" i="21"/>
  <c r="V142" i="21"/>
  <c r="U163" i="21"/>
  <c r="V163" i="21"/>
  <c r="U107" i="21"/>
  <c r="V107" i="21"/>
  <c r="U89" i="21"/>
  <c r="V89" i="21"/>
  <c r="U148" i="21"/>
  <c r="V148" i="21"/>
  <c r="U149" i="21"/>
  <c r="V149" i="21"/>
  <c r="U112" i="21"/>
  <c r="V112" i="21"/>
  <c r="U154" i="21"/>
  <c r="V154" i="21"/>
  <c r="U137" i="21"/>
  <c r="V137" i="21"/>
  <c r="U138" i="21"/>
  <c r="V138" i="21"/>
  <c r="U100" i="21"/>
  <c r="V100" i="21"/>
  <c r="U161" i="21"/>
  <c r="V161" i="21"/>
  <c r="U76" i="21"/>
  <c r="V76" i="21"/>
  <c r="U140" i="21"/>
  <c r="V140" i="21"/>
  <c r="U86" i="21"/>
  <c r="V86" i="21"/>
  <c r="V105" i="21"/>
  <c r="U105" i="21"/>
  <c r="V143" i="21"/>
  <c r="U143" i="21"/>
  <c r="U164" i="21"/>
  <c r="V164" i="21"/>
  <c r="V211" i="21"/>
  <c r="U211" i="21"/>
  <c r="N16" i="21"/>
  <c r="Q16" i="21" s="1"/>
  <c r="N207" i="21"/>
  <c r="P212" i="21"/>
  <c r="P209" i="21"/>
  <c r="O137" i="21"/>
  <c r="N137" i="21"/>
  <c r="G171" i="21"/>
  <c r="X171" i="21" s="1"/>
  <c r="O171" i="21"/>
  <c r="N171" i="21"/>
  <c r="O94" i="21"/>
  <c r="N94" i="21"/>
  <c r="O95" i="21"/>
  <c r="N95" i="21"/>
  <c r="O85" i="21"/>
  <c r="N85" i="21"/>
  <c r="G98" i="21"/>
  <c r="O98" i="21"/>
  <c r="N98" i="21"/>
  <c r="O115" i="21"/>
  <c r="N115" i="21"/>
  <c r="G147" i="21"/>
  <c r="O147" i="21"/>
  <c r="N147" i="21"/>
  <c r="O163" i="21"/>
  <c r="N163" i="21"/>
  <c r="X180" i="21"/>
  <c r="O180" i="21"/>
  <c r="N180" i="21"/>
  <c r="G225" i="21"/>
  <c r="O225" i="21"/>
  <c r="N225" i="21"/>
  <c r="G168" i="21"/>
  <c r="X168" i="21" s="1"/>
  <c r="O168" i="21"/>
  <c r="N168" i="21"/>
  <c r="O92" i="21"/>
  <c r="N92" i="21"/>
  <c r="O142" i="21"/>
  <c r="N142" i="21"/>
  <c r="O86" i="21"/>
  <c r="N86" i="21"/>
  <c r="N99" i="21"/>
  <c r="O99" i="21"/>
  <c r="G148" i="21"/>
  <c r="O148" i="21"/>
  <c r="N148" i="21"/>
  <c r="O164" i="21"/>
  <c r="N164" i="21"/>
  <c r="N182" i="21"/>
  <c r="O182" i="21"/>
  <c r="N226" i="21"/>
  <c r="O226" i="21"/>
  <c r="O138" i="21"/>
  <c r="N138" i="21"/>
  <c r="O154" i="21"/>
  <c r="N154" i="21"/>
  <c r="X191" i="21"/>
  <c r="O191" i="21"/>
  <c r="N191" i="21"/>
  <c r="G172" i="21"/>
  <c r="X172" i="21" s="1"/>
  <c r="O172" i="21"/>
  <c r="N172" i="21"/>
  <c r="N87" i="21"/>
  <c r="O87" i="21"/>
  <c r="O100" i="21"/>
  <c r="N100" i="21"/>
  <c r="G135" i="21"/>
  <c r="N135" i="21"/>
  <c r="O135" i="21"/>
  <c r="G149" i="21"/>
  <c r="O149" i="21"/>
  <c r="N149" i="21"/>
  <c r="O166" i="21"/>
  <c r="N166" i="21"/>
  <c r="O183" i="21"/>
  <c r="N183" i="21"/>
  <c r="O227" i="21"/>
  <c r="N227" i="21"/>
  <c r="G208" i="21"/>
  <c r="O208" i="21"/>
  <c r="N208" i="21"/>
  <c r="O103" i="21"/>
  <c r="N103" i="21"/>
  <c r="N169" i="21"/>
  <c r="O169" i="21"/>
  <c r="G140" i="21"/>
  <c r="O140" i="21"/>
  <c r="N140" i="21"/>
  <c r="O88" i="21"/>
  <c r="N88" i="21"/>
  <c r="O102" i="21"/>
  <c r="N102" i="21"/>
  <c r="G136" i="21"/>
  <c r="N136" i="21"/>
  <c r="O136" i="21"/>
  <c r="N150" i="21"/>
  <c r="O150" i="21"/>
  <c r="O167" i="21"/>
  <c r="N167" i="21"/>
  <c r="X184" i="21"/>
  <c r="O184" i="21"/>
  <c r="N184" i="21"/>
  <c r="P181" i="21"/>
  <c r="Q181" i="21"/>
  <c r="G89" i="21"/>
  <c r="O89" i="21"/>
  <c r="N89" i="21"/>
  <c r="G151" i="21"/>
  <c r="N151" i="21"/>
  <c r="O151" i="21"/>
  <c r="N186" i="21"/>
  <c r="O186" i="21"/>
  <c r="G106" i="21"/>
  <c r="O106" i="21"/>
  <c r="N106" i="21"/>
  <c r="G139" i="21"/>
  <c r="O139" i="21"/>
  <c r="N139" i="21"/>
  <c r="O153" i="21"/>
  <c r="N153" i="21"/>
  <c r="N170" i="21"/>
  <c r="O170" i="21"/>
  <c r="O190" i="21"/>
  <c r="N190" i="21"/>
  <c r="P204" i="21"/>
  <c r="Q204" i="21"/>
  <c r="O185" i="21"/>
  <c r="N185" i="21"/>
  <c r="G152" i="21"/>
  <c r="O152" i="21"/>
  <c r="N152" i="21"/>
  <c r="O91" i="21"/>
  <c r="N91" i="21"/>
  <c r="O109" i="21"/>
  <c r="N109" i="21"/>
  <c r="O192" i="21"/>
  <c r="N192" i="21"/>
  <c r="G200" i="21"/>
  <c r="O200" i="21"/>
  <c r="N200" i="21"/>
  <c r="N198" i="21"/>
  <c r="O198" i="21"/>
  <c r="G211" i="21"/>
  <c r="N211" i="21"/>
  <c r="O211" i="21"/>
  <c r="G74" i="21"/>
  <c r="O74" i="21"/>
  <c r="N74" i="21"/>
  <c r="G110" i="21"/>
  <c r="O110" i="21"/>
  <c r="N110" i="21"/>
  <c r="G143" i="21"/>
  <c r="O143" i="21"/>
  <c r="N143" i="21"/>
  <c r="N160" i="21"/>
  <c r="O160" i="21"/>
  <c r="G173" i="21"/>
  <c r="X173" i="21" s="1"/>
  <c r="O173" i="21"/>
  <c r="N173" i="21"/>
  <c r="O193" i="21"/>
  <c r="N193" i="21"/>
  <c r="G210" i="21"/>
  <c r="O210" i="21"/>
  <c r="N210" i="21"/>
  <c r="Q202" i="21"/>
  <c r="P202" i="21"/>
  <c r="O105" i="21"/>
  <c r="N105" i="21"/>
  <c r="N107" i="21"/>
  <c r="O107" i="21"/>
  <c r="G197" i="21"/>
  <c r="O197" i="21"/>
  <c r="N197" i="21"/>
  <c r="O75" i="21"/>
  <c r="N75" i="21"/>
  <c r="O111" i="21"/>
  <c r="N111" i="21"/>
  <c r="G161" i="21"/>
  <c r="O161" i="21"/>
  <c r="N161" i="21"/>
  <c r="O174" i="21"/>
  <c r="N174" i="21"/>
  <c r="O223" i="21"/>
  <c r="N223" i="21"/>
  <c r="G199" i="21"/>
  <c r="O199" i="21"/>
  <c r="N199" i="21"/>
  <c r="O90" i="21"/>
  <c r="N90" i="21"/>
  <c r="O159" i="21"/>
  <c r="N159" i="21"/>
  <c r="O96" i="21"/>
  <c r="N96" i="21"/>
  <c r="N145" i="21"/>
  <c r="O145" i="21"/>
  <c r="O76" i="21"/>
  <c r="N76" i="21"/>
  <c r="O97" i="21"/>
  <c r="N97" i="21"/>
  <c r="O112" i="21"/>
  <c r="N112" i="21"/>
  <c r="O146" i="21"/>
  <c r="N146" i="21"/>
  <c r="O162" i="21"/>
  <c r="N162" i="21"/>
  <c r="O179" i="21"/>
  <c r="N179" i="21"/>
  <c r="O224" i="21"/>
  <c r="N224" i="21"/>
  <c r="Q209" i="21"/>
  <c r="Q212" i="21"/>
  <c r="O206" i="21"/>
  <c r="N206" i="21"/>
  <c r="G176" i="21"/>
  <c r="X176" i="21" s="1"/>
  <c r="O176" i="21"/>
  <c r="N176" i="21"/>
  <c r="H202" i="21"/>
  <c r="Y202" i="21" s="1"/>
  <c r="G206" i="21"/>
  <c r="G198" i="21"/>
  <c r="H209" i="21"/>
  <c r="Y209" i="21" s="1"/>
  <c r="G179" i="21"/>
  <c r="X179" i="21" s="1"/>
  <c r="F13" i="21"/>
  <c r="F23" i="21"/>
  <c r="G224" i="21"/>
  <c r="G226" i="21"/>
  <c r="G223" i="21"/>
  <c r="AA223" i="21" s="1"/>
  <c r="G227" i="21"/>
  <c r="X190" i="21"/>
  <c r="X192" i="21"/>
  <c r="X193" i="21"/>
  <c r="X183" i="21"/>
  <c r="X185" i="21"/>
  <c r="X182" i="21"/>
  <c r="X186" i="21"/>
  <c r="G167" i="21"/>
  <c r="X167" i="21" s="1"/>
  <c r="G169" i="21"/>
  <c r="X169" i="21" s="1"/>
  <c r="G166" i="21"/>
  <c r="X166" i="21" s="1"/>
  <c r="G170" i="21"/>
  <c r="X170" i="21" s="1"/>
  <c r="G174" i="21"/>
  <c r="X174" i="21" s="1"/>
  <c r="G162" i="21"/>
  <c r="G159" i="21"/>
  <c r="G163" i="21"/>
  <c r="G160" i="21"/>
  <c r="G164" i="21"/>
  <c r="G145" i="21"/>
  <c r="G137" i="21"/>
  <c r="X137" i="21" s="1"/>
  <c r="G153" i="21"/>
  <c r="G138" i="21"/>
  <c r="G142" i="21"/>
  <c r="G146" i="21"/>
  <c r="G150" i="21"/>
  <c r="G154" i="21"/>
  <c r="G115" i="21"/>
  <c r="G94" i="21"/>
  <c r="G109" i="21"/>
  <c r="G111" i="21"/>
  <c r="G112" i="21"/>
  <c r="G105" i="21"/>
  <c r="G107" i="21"/>
  <c r="G102" i="21"/>
  <c r="G103" i="21"/>
  <c r="G97" i="21"/>
  <c r="G95" i="21"/>
  <c r="G99" i="21"/>
  <c r="G96" i="21"/>
  <c r="G100" i="21"/>
  <c r="G85" i="21"/>
  <c r="G86" i="21"/>
  <c r="G90" i="21"/>
  <c r="G87" i="21"/>
  <c r="G91" i="21"/>
  <c r="G88" i="21"/>
  <c r="G92" i="21"/>
  <c r="G75" i="21"/>
  <c r="G76" i="21"/>
  <c r="W182" i="21" l="1"/>
  <c r="W167" i="21"/>
  <c r="W185" i="21"/>
  <c r="W174" i="21"/>
  <c r="J61" i="27"/>
  <c r="K61" i="27" s="1"/>
  <c r="H207" i="21"/>
  <c r="Y207" i="21" s="1"/>
  <c r="X206" i="21"/>
  <c r="G17" i="21"/>
  <c r="H61" i="27"/>
  <c r="W169" i="21"/>
  <c r="W173" i="21"/>
  <c r="W180" i="21"/>
  <c r="W191" i="21"/>
  <c r="W193" i="21"/>
  <c r="J79" i="27"/>
  <c r="K79" i="27" s="1"/>
  <c r="H78" i="27"/>
  <c r="W170" i="21"/>
  <c r="W186" i="21"/>
  <c r="H79" i="27"/>
  <c r="J78" i="27"/>
  <c r="K78" i="27" s="1"/>
  <c r="W179" i="21"/>
  <c r="W172" i="21"/>
  <c r="W190" i="21"/>
  <c r="W171" i="21"/>
  <c r="W192" i="21"/>
  <c r="G78" i="27"/>
  <c r="F78" i="27" s="1"/>
  <c r="W184" i="21"/>
  <c r="W168" i="21"/>
  <c r="W183" i="21"/>
  <c r="W176" i="21"/>
  <c r="J60" i="27"/>
  <c r="K60" i="27" s="1"/>
  <c r="G60" i="27"/>
  <c r="F60" i="27" s="1"/>
  <c r="H60" i="27"/>
  <c r="G80" i="27"/>
  <c r="H80" i="27"/>
  <c r="W105" i="21"/>
  <c r="W75" i="21"/>
  <c r="W111" i="21"/>
  <c r="W112" i="21"/>
  <c r="W97" i="21"/>
  <c r="AF243" i="5"/>
  <c r="AF246" i="5" s="1"/>
  <c r="AE388" i="5"/>
  <c r="AG3" i="5"/>
  <c r="W96" i="21"/>
  <c r="W91" i="21"/>
  <c r="W76" i="21"/>
  <c r="W162" i="21"/>
  <c r="H73" i="27"/>
  <c r="G73" i="27"/>
  <c r="F73" i="27" s="1"/>
  <c r="H58" i="27"/>
  <c r="G58" i="27"/>
  <c r="F58" i="27" s="1"/>
  <c r="K108" i="27"/>
  <c r="K112" i="27" s="1"/>
  <c r="F254" i="27" s="1"/>
  <c r="G112" i="27"/>
  <c r="H112" i="27"/>
  <c r="Q207" i="21"/>
  <c r="J74" i="27"/>
  <c r="G74" i="27"/>
  <c r="F74" i="27" s="1"/>
  <c r="H74" i="27"/>
  <c r="P207" i="21"/>
  <c r="W206" i="21"/>
  <c r="W103" i="21"/>
  <c r="W211" i="21"/>
  <c r="W135" i="21"/>
  <c r="W95" i="21"/>
  <c r="W98" i="21"/>
  <c r="W89" i="21"/>
  <c r="W99" i="21"/>
  <c r="W138" i="21"/>
  <c r="Z223" i="21"/>
  <c r="W153" i="21"/>
  <c r="W207" i="21"/>
  <c r="Y184" i="21"/>
  <c r="W149" i="21"/>
  <c r="Y182" i="21"/>
  <c r="H106" i="21"/>
  <c r="Y106" i="21" s="1"/>
  <c r="X106" i="21"/>
  <c r="W208" i="21"/>
  <c r="H102" i="21"/>
  <c r="Y102" i="21" s="1"/>
  <c r="X102" i="21"/>
  <c r="H136" i="21"/>
  <c r="Y136" i="21" s="1"/>
  <c r="X136" i="21"/>
  <c r="H107" i="21"/>
  <c r="Y107" i="21" s="1"/>
  <c r="X107" i="21"/>
  <c r="W109" i="21"/>
  <c r="H92" i="21"/>
  <c r="Y92" i="21" s="1"/>
  <c r="X92" i="21"/>
  <c r="H199" i="21"/>
  <c r="Y199" i="21" s="1"/>
  <c r="X199" i="21"/>
  <c r="H148" i="21"/>
  <c r="Y148" i="21" s="1"/>
  <c r="X148" i="21"/>
  <c r="H225" i="21"/>
  <c r="AB225" i="21" s="1"/>
  <c r="AA225" i="21"/>
  <c r="H90" i="21"/>
  <c r="Y90" i="21" s="1"/>
  <c r="X90" i="21"/>
  <c r="H115" i="21"/>
  <c r="Y115" i="21" s="1"/>
  <c r="X115" i="21"/>
  <c r="H170" i="21"/>
  <c r="Y170" i="21" s="1"/>
  <c r="R209" i="21"/>
  <c r="H110" i="21"/>
  <c r="Y110" i="21" s="1"/>
  <c r="X110" i="21"/>
  <c r="H140" i="21"/>
  <c r="Y140" i="21" s="1"/>
  <c r="X140" i="21"/>
  <c r="H149" i="21"/>
  <c r="Y149" i="21" s="1"/>
  <c r="X149" i="21"/>
  <c r="W16" i="21"/>
  <c r="H100" i="21"/>
  <c r="Y100" i="21" s="1"/>
  <c r="X100" i="21"/>
  <c r="H74" i="21"/>
  <c r="Y74" i="21" s="1"/>
  <c r="X74" i="21"/>
  <c r="H96" i="21"/>
  <c r="Y96" i="21" s="1"/>
  <c r="X96" i="21"/>
  <c r="Y186" i="21"/>
  <c r="H152" i="21"/>
  <c r="Y152" i="21" s="1"/>
  <c r="X152" i="21"/>
  <c r="W146" i="21"/>
  <c r="H99" i="21"/>
  <c r="Y99" i="21" s="1"/>
  <c r="X99" i="21"/>
  <c r="H138" i="21"/>
  <c r="Y138" i="21" s="1"/>
  <c r="X138" i="21"/>
  <c r="H211" i="21"/>
  <c r="Y211" i="21" s="1"/>
  <c r="X211" i="21"/>
  <c r="W199" i="21"/>
  <c r="Z224" i="21"/>
  <c r="W198" i="21"/>
  <c r="W110" i="21"/>
  <c r="H97" i="21"/>
  <c r="Y97" i="21" s="1"/>
  <c r="X97" i="21"/>
  <c r="H153" i="21"/>
  <c r="Y153" i="21" s="1"/>
  <c r="X153" i="21"/>
  <c r="Y183" i="21"/>
  <c r="X16" i="21"/>
  <c r="H208" i="21"/>
  <c r="Y208" i="21" s="1"/>
  <c r="X208" i="21"/>
  <c r="W164" i="21"/>
  <c r="W148" i="21"/>
  <c r="W160" i="21"/>
  <c r="W106" i="21"/>
  <c r="H103" i="21"/>
  <c r="Y103" i="21" s="1"/>
  <c r="X103" i="21"/>
  <c r="Y193" i="21"/>
  <c r="H173" i="21"/>
  <c r="Y173" i="21" s="1"/>
  <c r="W143" i="21"/>
  <c r="W85" i="21"/>
  <c r="Z226" i="21"/>
  <c r="W197" i="21"/>
  <c r="Z225" i="21"/>
  <c r="W87" i="21"/>
  <c r="H169" i="21"/>
  <c r="Y169" i="21" s="1"/>
  <c r="W210" i="21"/>
  <c r="H150" i="21"/>
  <c r="Y150" i="21" s="1"/>
  <c r="X150" i="21"/>
  <c r="H161" i="21"/>
  <c r="Y161" i="21" s="1"/>
  <c r="X161" i="21"/>
  <c r="H147" i="21"/>
  <c r="Y147" i="21" s="1"/>
  <c r="X147" i="21"/>
  <c r="W142" i="21"/>
  <c r="H198" i="21"/>
  <c r="Y198" i="21" s="1"/>
  <c r="X198" i="21"/>
  <c r="W145" i="21"/>
  <c r="H95" i="21"/>
  <c r="Y95" i="21" s="1"/>
  <c r="X95" i="21"/>
  <c r="Y192" i="21"/>
  <c r="H98" i="21"/>
  <c r="Y98" i="21" s="1"/>
  <c r="X98" i="21"/>
  <c r="H76" i="21"/>
  <c r="Y76" i="21" s="1"/>
  <c r="X76" i="21"/>
  <c r="H151" i="21"/>
  <c r="Y151" i="21" s="1"/>
  <c r="X151" i="21"/>
  <c r="H160" i="21"/>
  <c r="Y160" i="21" s="1"/>
  <c r="X160" i="21"/>
  <c r="H176" i="21"/>
  <c r="Y176" i="21" s="1"/>
  <c r="W74" i="21"/>
  <c r="W94" i="21"/>
  <c r="H143" i="21"/>
  <c r="Y143" i="21" s="1"/>
  <c r="X143" i="21"/>
  <c r="H89" i="21"/>
  <c r="Y89" i="21" s="1"/>
  <c r="X89" i="21"/>
  <c r="Y191" i="21"/>
  <c r="W86" i="21"/>
  <c r="W137" i="21"/>
  <c r="W107" i="21"/>
  <c r="W136" i="21"/>
  <c r="W200" i="21"/>
  <c r="H85" i="21"/>
  <c r="Y85" i="21" s="1"/>
  <c r="X85" i="21"/>
  <c r="H171" i="21"/>
  <c r="Y171" i="21" s="1"/>
  <c r="H135" i="21"/>
  <c r="Y135" i="21" s="1"/>
  <c r="X135" i="21"/>
  <c r="W161" i="21"/>
  <c r="W166" i="21"/>
  <c r="W115" i="21"/>
  <c r="H142" i="21"/>
  <c r="Y142" i="21" s="1"/>
  <c r="X142" i="21"/>
  <c r="H168" i="21"/>
  <c r="Y168" i="21" s="1"/>
  <c r="H164" i="21"/>
  <c r="Y164" i="21" s="1"/>
  <c r="X164" i="21"/>
  <c r="H172" i="21"/>
  <c r="Y172" i="21" s="1"/>
  <c r="W151" i="21"/>
  <c r="H75" i="21"/>
  <c r="Y75" i="21" s="1"/>
  <c r="X75" i="21"/>
  <c r="H163" i="21"/>
  <c r="Y163" i="21" s="1"/>
  <c r="X163" i="21"/>
  <c r="H88" i="21"/>
  <c r="Y88" i="21" s="1"/>
  <c r="X88" i="21"/>
  <c r="H91" i="21"/>
  <c r="Y91" i="21" s="1"/>
  <c r="X91" i="21"/>
  <c r="H224" i="21"/>
  <c r="AB224" i="21" s="1"/>
  <c r="AA224" i="21"/>
  <c r="V17" i="21"/>
  <c r="U17" i="21"/>
  <c r="P16" i="21"/>
  <c r="R16" i="21" s="1"/>
  <c r="W90" i="21"/>
  <c r="H86" i="21"/>
  <c r="Y86" i="21" s="1"/>
  <c r="X86" i="21"/>
  <c r="H179" i="21"/>
  <c r="Y179" i="21" s="1"/>
  <c r="H154" i="21"/>
  <c r="Y154" i="21" s="1"/>
  <c r="X154" i="21"/>
  <c r="H139" i="21"/>
  <c r="Y139" i="21" s="1"/>
  <c r="X139" i="21"/>
  <c r="W163" i="21"/>
  <c r="H167" i="21"/>
  <c r="Y167" i="21" s="1"/>
  <c r="H210" i="21"/>
  <c r="Y210" i="21" s="1"/>
  <c r="X210" i="21"/>
  <c r="H146" i="21"/>
  <c r="Y146" i="21" s="1"/>
  <c r="X146" i="21"/>
  <c r="W100" i="21"/>
  <c r="Y185" i="21"/>
  <c r="H145" i="21"/>
  <c r="Y145" i="21" s="1"/>
  <c r="X145" i="21"/>
  <c r="H197" i="21"/>
  <c r="Y197" i="21" s="1"/>
  <c r="X197" i="21"/>
  <c r="Z227" i="21"/>
  <c r="H105" i="21"/>
  <c r="Y105" i="21" s="1"/>
  <c r="X105" i="21"/>
  <c r="H227" i="21"/>
  <c r="AB227" i="21" s="1"/>
  <c r="AA227" i="21"/>
  <c r="H200" i="21"/>
  <c r="Y200" i="21" s="1"/>
  <c r="X200" i="21"/>
  <c r="H112" i="21"/>
  <c r="Y112" i="21" s="1"/>
  <c r="X112" i="21"/>
  <c r="W102" i="21"/>
  <c r="W152" i="21"/>
  <c r="H111" i="21"/>
  <c r="Y111" i="21" s="1"/>
  <c r="X111" i="21"/>
  <c r="H159" i="21"/>
  <c r="Y159" i="21" s="1"/>
  <c r="X159" i="21"/>
  <c r="H226" i="21"/>
  <c r="AB226" i="21" s="1"/>
  <c r="AA226" i="21"/>
  <c r="H109" i="21"/>
  <c r="Y109" i="21" s="1"/>
  <c r="X109" i="21"/>
  <c r="H162" i="21"/>
  <c r="Y162" i="21" s="1"/>
  <c r="X162" i="21"/>
  <c r="H87" i="21"/>
  <c r="Y87" i="21" s="1"/>
  <c r="X87" i="21"/>
  <c r="H94" i="21"/>
  <c r="Y94" i="21" s="1"/>
  <c r="X94" i="21"/>
  <c r="H174" i="21"/>
  <c r="Y174" i="21" s="1"/>
  <c r="U23" i="21"/>
  <c r="V23" i="21"/>
  <c r="R212" i="21"/>
  <c r="Y180" i="21"/>
  <c r="W140" i="21"/>
  <c r="W154" i="21"/>
  <c r="W139" i="21"/>
  <c r="W150" i="21"/>
  <c r="W147" i="21"/>
  <c r="W92" i="21"/>
  <c r="W159" i="21"/>
  <c r="W88" i="21"/>
  <c r="U13" i="21"/>
  <c r="V13" i="21"/>
  <c r="P174" i="21"/>
  <c r="P146" i="21"/>
  <c r="Q185" i="21"/>
  <c r="Q208" i="21"/>
  <c r="P170" i="21"/>
  <c r="Q183" i="21"/>
  <c r="P172" i="21"/>
  <c r="Q112" i="21"/>
  <c r="Q88" i="21"/>
  <c r="Q150" i="21"/>
  <c r="Q100" i="21"/>
  <c r="Q138" i="21"/>
  <c r="R202" i="21"/>
  <c r="R181" i="21"/>
  <c r="P224" i="21"/>
  <c r="P76" i="21"/>
  <c r="P183" i="21"/>
  <c r="Q162" i="21"/>
  <c r="Q96" i="21"/>
  <c r="Q170" i="21"/>
  <c r="Q172" i="21"/>
  <c r="Q146" i="21"/>
  <c r="Q161" i="21"/>
  <c r="P161" i="21"/>
  <c r="Q105" i="21"/>
  <c r="P105" i="21"/>
  <c r="P211" i="21"/>
  <c r="Q211" i="21"/>
  <c r="Q151" i="21"/>
  <c r="P151" i="21"/>
  <c r="P226" i="21"/>
  <c r="Q226" i="21"/>
  <c r="P86" i="21"/>
  <c r="Q86" i="21"/>
  <c r="Q180" i="21"/>
  <c r="P180" i="21"/>
  <c r="P210" i="21"/>
  <c r="Q210" i="21"/>
  <c r="Q145" i="21"/>
  <c r="P145" i="21"/>
  <c r="P112" i="21"/>
  <c r="P90" i="21"/>
  <c r="Q90" i="21"/>
  <c r="P160" i="21"/>
  <c r="Q160" i="21"/>
  <c r="P152" i="21"/>
  <c r="Q152" i="21"/>
  <c r="Q153" i="21"/>
  <c r="P153" i="21"/>
  <c r="P150" i="21"/>
  <c r="Q169" i="21"/>
  <c r="P169" i="21"/>
  <c r="Q149" i="21"/>
  <c r="P149" i="21"/>
  <c r="Q85" i="21"/>
  <c r="P85" i="21"/>
  <c r="P74" i="21"/>
  <c r="Q74" i="21"/>
  <c r="Q143" i="21"/>
  <c r="P143" i="21"/>
  <c r="Q89" i="21"/>
  <c r="P89" i="21"/>
  <c r="P103" i="21"/>
  <c r="Q103" i="21"/>
  <c r="P191" i="21"/>
  <c r="Q191" i="21"/>
  <c r="Q182" i="21"/>
  <c r="P182" i="21"/>
  <c r="Q142" i="21"/>
  <c r="P142" i="21"/>
  <c r="Q97" i="21"/>
  <c r="P97" i="21"/>
  <c r="Q111" i="21"/>
  <c r="P111" i="21"/>
  <c r="P198" i="21"/>
  <c r="Q198" i="21"/>
  <c r="Q139" i="21"/>
  <c r="P139" i="21"/>
  <c r="P136" i="21"/>
  <c r="Q136" i="21"/>
  <c r="P164" i="21"/>
  <c r="Q164" i="21"/>
  <c r="P163" i="21"/>
  <c r="Q163" i="21"/>
  <c r="Q95" i="21"/>
  <c r="P95" i="21"/>
  <c r="Q199" i="21"/>
  <c r="P199" i="21"/>
  <c r="Q75" i="21"/>
  <c r="P75" i="21"/>
  <c r="P110" i="21"/>
  <c r="Q110" i="21"/>
  <c r="P185" i="21"/>
  <c r="P102" i="21"/>
  <c r="Q102" i="21"/>
  <c r="P208" i="21"/>
  <c r="Q135" i="21"/>
  <c r="P135" i="21"/>
  <c r="Q154" i="21"/>
  <c r="P154" i="21"/>
  <c r="P148" i="21"/>
  <c r="Q148" i="21"/>
  <c r="Q147" i="21"/>
  <c r="P147" i="21"/>
  <c r="Q94" i="21"/>
  <c r="P94" i="21"/>
  <c r="Q200" i="21"/>
  <c r="P200" i="21"/>
  <c r="Q92" i="21"/>
  <c r="P92" i="21"/>
  <c r="Q224" i="21"/>
  <c r="Q76" i="21"/>
  <c r="R204" i="21"/>
  <c r="P106" i="21"/>
  <c r="Q106" i="21"/>
  <c r="P168" i="21"/>
  <c r="Q168" i="21"/>
  <c r="Q179" i="21"/>
  <c r="P179" i="21"/>
  <c r="Q197" i="21"/>
  <c r="P197" i="21"/>
  <c r="Q193" i="21"/>
  <c r="P193" i="21"/>
  <c r="Q192" i="21"/>
  <c r="P192" i="21"/>
  <c r="Q184" i="21"/>
  <c r="P184" i="21"/>
  <c r="P88" i="21"/>
  <c r="Q227" i="21"/>
  <c r="P227" i="21"/>
  <c r="P100" i="21"/>
  <c r="P138" i="21"/>
  <c r="Q171" i="21"/>
  <c r="P171" i="21"/>
  <c r="P162" i="21"/>
  <c r="P96" i="21"/>
  <c r="Q173" i="21"/>
  <c r="P173" i="21"/>
  <c r="Q109" i="21"/>
  <c r="P109" i="21"/>
  <c r="P190" i="21"/>
  <c r="Q190" i="21"/>
  <c r="P140" i="21"/>
  <c r="Q140" i="21"/>
  <c r="Q225" i="21"/>
  <c r="P225" i="21"/>
  <c r="Q186" i="21"/>
  <c r="P186" i="21"/>
  <c r="Q167" i="21"/>
  <c r="P167" i="21"/>
  <c r="Q87" i="21"/>
  <c r="P87" i="21"/>
  <c r="P98" i="21"/>
  <c r="Q98" i="21"/>
  <c r="Q137" i="21"/>
  <c r="P137" i="21"/>
  <c r="Q223" i="21"/>
  <c r="P223" i="21"/>
  <c r="Q115" i="21"/>
  <c r="P115" i="21"/>
  <c r="Q159" i="21"/>
  <c r="P159" i="21"/>
  <c r="Q174" i="21"/>
  <c r="Q107" i="21"/>
  <c r="P107" i="21"/>
  <c r="Q91" i="21"/>
  <c r="P91" i="21"/>
  <c r="Q166" i="21"/>
  <c r="P166" i="21"/>
  <c r="Q99" i="21"/>
  <c r="P99" i="21"/>
  <c r="H206" i="21"/>
  <c r="Q206" i="21"/>
  <c r="P206" i="21"/>
  <c r="P176" i="21"/>
  <c r="Q176" i="21"/>
  <c r="N17" i="21"/>
  <c r="O17" i="21"/>
  <c r="O23" i="21"/>
  <c r="N23" i="21"/>
  <c r="H223" i="21"/>
  <c r="AB223" i="21" s="1"/>
  <c r="G23" i="21"/>
  <c r="H166" i="21"/>
  <c r="Y166" i="21" s="1"/>
  <c r="Y190" i="21"/>
  <c r="H137" i="21"/>
  <c r="Y137" i="21" s="1"/>
  <c r="Y206" i="21" l="1"/>
  <c r="H17" i="21"/>
  <c r="Y17" i="21" s="1"/>
  <c r="K80" i="27"/>
  <c r="J80" i="27"/>
  <c r="AG243" i="5"/>
  <c r="AG246" i="5" s="1"/>
  <c r="AF388" i="5"/>
  <c r="AH3" i="5"/>
  <c r="R207" i="21"/>
  <c r="K74" i="27"/>
  <c r="R162" i="21"/>
  <c r="R208" i="21"/>
  <c r="W23" i="21"/>
  <c r="R174" i="21"/>
  <c r="W17" i="21"/>
  <c r="R161" i="21"/>
  <c r="Y16" i="21"/>
  <c r="X17" i="21"/>
  <c r="X23" i="21"/>
  <c r="R96" i="21"/>
  <c r="W13" i="21"/>
  <c r="R185" i="21"/>
  <c r="R146" i="21"/>
  <c r="R87" i="21"/>
  <c r="R227" i="21"/>
  <c r="R159" i="21"/>
  <c r="R170" i="21"/>
  <c r="R180" i="21"/>
  <c r="R190" i="21"/>
  <c r="R88" i="21"/>
  <c r="R183" i="21"/>
  <c r="R224" i="21"/>
  <c r="R184" i="21"/>
  <c r="R198" i="21"/>
  <c r="R197" i="21"/>
  <c r="R95" i="21"/>
  <c r="R111" i="21"/>
  <c r="R94" i="21"/>
  <c r="R112" i="21"/>
  <c r="R138" i="21"/>
  <c r="R100" i="21"/>
  <c r="R226" i="21"/>
  <c r="R166" i="21"/>
  <c r="R223" i="21"/>
  <c r="R154" i="21"/>
  <c r="R179" i="21"/>
  <c r="R172" i="21"/>
  <c r="R76" i="21"/>
  <c r="R163" i="21"/>
  <c r="R97" i="21"/>
  <c r="R168" i="21"/>
  <c r="R99" i="21"/>
  <c r="R115" i="21"/>
  <c r="R186" i="21"/>
  <c r="R173" i="21"/>
  <c r="R75" i="21"/>
  <c r="R160" i="21"/>
  <c r="R137" i="21"/>
  <c r="R169" i="21"/>
  <c r="R145" i="21"/>
  <c r="R200" i="21"/>
  <c r="R89" i="21"/>
  <c r="R150" i="21"/>
  <c r="R210" i="21"/>
  <c r="R206" i="21"/>
  <c r="R109" i="21"/>
  <c r="R147" i="21"/>
  <c r="R142" i="21"/>
  <c r="R152" i="21"/>
  <c r="R106" i="21"/>
  <c r="R225" i="21"/>
  <c r="R193" i="21"/>
  <c r="R91" i="21"/>
  <c r="R199" i="21"/>
  <c r="R139" i="21"/>
  <c r="R85" i="21"/>
  <c r="R107" i="21"/>
  <c r="R171" i="21"/>
  <c r="R92" i="21"/>
  <c r="R135" i="21"/>
  <c r="R191" i="21"/>
  <c r="R149" i="21"/>
  <c r="R90" i="21"/>
  <c r="R151" i="21"/>
  <c r="R176" i="21"/>
  <c r="R98" i="21"/>
  <c r="R103" i="21"/>
  <c r="R140" i="21"/>
  <c r="R102" i="21"/>
  <c r="R211" i="21"/>
  <c r="R167" i="21"/>
  <c r="R143" i="21"/>
  <c r="R153" i="21"/>
  <c r="R105" i="21"/>
  <c r="R110" i="21"/>
  <c r="R164" i="21"/>
  <c r="R192" i="21"/>
  <c r="R148" i="21"/>
  <c r="R136" i="21"/>
  <c r="R182" i="21"/>
  <c r="R74" i="21"/>
  <c r="R86" i="21"/>
  <c r="P17" i="21"/>
  <c r="Q17" i="21"/>
  <c r="D39" i="21"/>
  <c r="F8" i="27" s="1"/>
  <c r="D38" i="21"/>
  <c r="F7" i="27" s="1"/>
  <c r="E32" i="21"/>
  <c r="E116" i="21"/>
  <c r="E65" i="27" s="1"/>
  <c r="AH243" i="5" l="1"/>
  <c r="AH246" i="5" s="1"/>
  <c r="AG388" i="5"/>
  <c r="AI3" i="5"/>
  <c r="F39" i="21"/>
  <c r="F38" i="21"/>
  <c r="R17" i="21"/>
  <c r="E141" i="21"/>
  <c r="F116" i="21"/>
  <c r="F144" i="21"/>
  <c r="AH388" i="5" l="1"/>
  <c r="AI243" i="5"/>
  <c r="AI246" i="5" s="1"/>
  <c r="AI388" i="5" s="1"/>
  <c r="AJ3" i="5"/>
  <c r="O39" i="21"/>
  <c r="I8" i="27"/>
  <c r="O38" i="21"/>
  <c r="I7" i="27"/>
  <c r="F141" i="21"/>
  <c r="I68" i="27" s="1"/>
  <c r="E68" i="27"/>
  <c r="N39" i="21"/>
  <c r="N38" i="21"/>
  <c r="V141" i="21"/>
  <c r="V38" i="21"/>
  <c r="U38" i="21"/>
  <c r="U116" i="21"/>
  <c r="V116" i="21"/>
  <c r="U144" i="21"/>
  <c r="V144" i="21"/>
  <c r="V39" i="21"/>
  <c r="U39" i="21"/>
  <c r="G144" i="21"/>
  <c r="O144" i="21"/>
  <c r="N144" i="21"/>
  <c r="G116" i="21"/>
  <c r="O116" i="21"/>
  <c r="N116" i="21"/>
  <c r="O141" i="21"/>
  <c r="G141" i="21"/>
  <c r="X141" i="21" s="1"/>
  <c r="N141" i="21" l="1"/>
  <c r="Q38" i="21"/>
  <c r="P39" i="21"/>
  <c r="G7" i="27"/>
  <c r="J7" i="27"/>
  <c r="K7" i="27" s="1"/>
  <c r="H7" i="27"/>
  <c r="G8" i="27"/>
  <c r="H8" i="27"/>
  <c r="J8" i="27"/>
  <c r="K8" i="27" s="1"/>
  <c r="P38" i="21"/>
  <c r="U141" i="21"/>
  <c r="W141" i="21" s="1"/>
  <c r="J68" i="27"/>
  <c r="K68" i="27" s="1"/>
  <c r="G68" i="27"/>
  <c r="H68" i="27"/>
  <c r="W39" i="21"/>
  <c r="Q39" i="21"/>
  <c r="W38" i="21"/>
  <c r="W116" i="21"/>
  <c r="H116" i="21"/>
  <c r="Y116" i="21" s="1"/>
  <c r="X116" i="21"/>
  <c r="W144" i="21"/>
  <c r="H144" i="21"/>
  <c r="Y144" i="21" s="1"/>
  <c r="X144" i="21"/>
  <c r="Q116" i="21"/>
  <c r="P116" i="21"/>
  <c r="Q141" i="21"/>
  <c r="P141" i="21"/>
  <c r="P144" i="21"/>
  <c r="Q144" i="21"/>
  <c r="H141" i="21"/>
  <c r="Y141" i="21" s="1"/>
  <c r="D443" i="5"/>
  <c r="R38" i="21" l="1"/>
  <c r="R39" i="21"/>
  <c r="F68" i="27"/>
  <c r="R144" i="21"/>
  <c r="R141" i="21"/>
  <c r="R116" i="21"/>
  <c r="D20" i="13" l="1"/>
  <c r="F158" i="21" l="1"/>
  <c r="F157" i="21"/>
  <c r="F156" i="21"/>
  <c r="F114" i="21"/>
  <c r="I65" i="27" s="1"/>
  <c r="F123" i="21"/>
  <c r="F121" i="21"/>
  <c r="D120" i="21"/>
  <c r="F120" i="21" s="1"/>
  <c r="D119" i="21"/>
  <c r="F84" i="21"/>
  <c r="F83" i="21"/>
  <c r="D70" i="21"/>
  <c r="F70" i="21" s="1"/>
  <c r="D67" i="21"/>
  <c r="D66" i="21"/>
  <c r="D10" i="13"/>
  <c r="D15" i="13"/>
  <c r="E33" i="34"/>
  <c r="D80" i="21"/>
  <c r="F80" i="21" s="1"/>
  <c r="D79" i="21"/>
  <c r="F79" i="21" s="1"/>
  <c r="D78" i="21"/>
  <c r="F78" i="21" s="1"/>
  <c r="I53" i="27" s="1"/>
  <c r="D64" i="21"/>
  <c r="F64" i="21" s="1"/>
  <c r="F63" i="21"/>
  <c r="I50" i="27" s="1"/>
  <c r="J28" i="22"/>
  <c r="J27" i="22"/>
  <c r="J26" i="22"/>
  <c r="J25" i="22"/>
  <c r="E28" i="22"/>
  <c r="D28" i="22"/>
  <c r="D27" i="22"/>
  <c r="D26" i="22"/>
  <c r="D25" i="22"/>
  <c r="D17" i="22"/>
  <c r="D14" i="22"/>
  <c r="D13" i="22"/>
  <c r="D12" i="22"/>
  <c r="J53" i="27" l="1"/>
  <c r="K53" i="27" s="1"/>
  <c r="G53" i="27"/>
  <c r="F53" i="27" s="1"/>
  <c r="H53" i="27"/>
  <c r="J50" i="27"/>
  <c r="K50" i="27" s="1"/>
  <c r="G50" i="27"/>
  <c r="H50" i="27"/>
  <c r="I72" i="27"/>
  <c r="F12" i="21"/>
  <c r="I57" i="27"/>
  <c r="J57" i="27" s="1"/>
  <c r="J62" i="27" s="1"/>
  <c r="F28" i="22"/>
  <c r="I67" i="27"/>
  <c r="G67" i="27" s="1"/>
  <c r="F67" i="27" s="1"/>
  <c r="J65" i="27"/>
  <c r="K65" i="27" s="1"/>
  <c r="H65" i="27"/>
  <c r="G65" i="27"/>
  <c r="U120" i="21"/>
  <c r="V120" i="21"/>
  <c r="U78" i="21"/>
  <c r="V78" i="21"/>
  <c r="V114" i="21"/>
  <c r="U114" i="21"/>
  <c r="U70" i="21"/>
  <c r="V70" i="21"/>
  <c r="U156" i="21"/>
  <c r="V156" i="21"/>
  <c r="U121" i="21"/>
  <c r="V121" i="21"/>
  <c r="U123" i="21"/>
  <c r="V123" i="21"/>
  <c r="U79" i="21"/>
  <c r="V79" i="21"/>
  <c r="U80" i="21"/>
  <c r="V80" i="21"/>
  <c r="V157" i="21"/>
  <c r="U157" i="21"/>
  <c r="U84" i="21"/>
  <c r="V84" i="21"/>
  <c r="U158" i="21"/>
  <c r="V158" i="21"/>
  <c r="U63" i="21"/>
  <c r="V63" i="21"/>
  <c r="U64" i="21"/>
  <c r="V64" i="21"/>
  <c r="U83" i="21"/>
  <c r="V83" i="21"/>
  <c r="G64" i="21"/>
  <c r="O64" i="21"/>
  <c r="N64" i="21"/>
  <c r="O83" i="21"/>
  <c r="N83" i="21"/>
  <c r="N114" i="21"/>
  <c r="O114" i="21"/>
  <c r="O63" i="21"/>
  <c r="N63" i="21"/>
  <c r="G80" i="21"/>
  <c r="O80" i="21"/>
  <c r="N80" i="21"/>
  <c r="O156" i="21"/>
  <c r="N156" i="21"/>
  <c r="G70" i="21"/>
  <c r="N70" i="21"/>
  <c r="O70" i="21"/>
  <c r="G84" i="21"/>
  <c r="O84" i="21"/>
  <c r="N84" i="21"/>
  <c r="G157" i="21"/>
  <c r="O157" i="21"/>
  <c r="N157" i="21"/>
  <c r="O78" i="21"/>
  <c r="N78" i="21"/>
  <c r="G79" i="21"/>
  <c r="O79" i="21"/>
  <c r="N79" i="21"/>
  <c r="G121" i="21"/>
  <c r="O121" i="21"/>
  <c r="N121" i="21"/>
  <c r="G158" i="21"/>
  <c r="O158" i="21"/>
  <c r="N158" i="21"/>
  <c r="G120" i="21"/>
  <c r="O120" i="21"/>
  <c r="N120" i="21"/>
  <c r="G123" i="21"/>
  <c r="N123" i="21"/>
  <c r="O123" i="21"/>
  <c r="F10" i="21"/>
  <c r="G78" i="21"/>
  <c r="X78" i="21" s="1"/>
  <c r="G63" i="21"/>
  <c r="X63" i="21" s="1"/>
  <c r="G114" i="21"/>
  <c r="X114" i="21" s="1"/>
  <c r="G156" i="21"/>
  <c r="G83" i="21"/>
  <c r="X83" i="21" s="1"/>
  <c r="X156" i="21" l="1"/>
  <c r="G12" i="21"/>
  <c r="X12" i="21" s="1"/>
  <c r="J72" i="27"/>
  <c r="H72" i="27"/>
  <c r="G72" i="27"/>
  <c r="F72" i="27" s="1"/>
  <c r="I75" i="27"/>
  <c r="H57" i="27"/>
  <c r="G57" i="27"/>
  <c r="F57" i="27" s="1"/>
  <c r="I62" i="27"/>
  <c r="G62" i="27" s="1"/>
  <c r="W123" i="21"/>
  <c r="K57" i="27"/>
  <c r="K62" i="27" s="1"/>
  <c r="F65" i="27"/>
  <c r="W158" i="21"/>
  <c r="H67" i="27"/>
  <c r="J67" i="27"/>
  <c r="K67" i="27" s="1"/>
  <c r="W121" i="21"/>
  <c r="W114" i="21"/>
  <c r="W157" i="21"/>
  <c r="W120" i="21"/>
  <c r="W63" i="21"/>
  <c r="H123" i="21"/>
  <c r="Y123" i="21" s="1"/>
  <c r="X123" i="21"/>
  <c r="W84" i="21"/>
  <c r="H158" i="21"/>
  <c r="Y158" i="21" s="1"/>
  <c r="X158" i="21"/>
  <c r="H84" i="21"/>
  <c r="Y84" i="21" s="1"/>
  <c r="X84" i="21"/>
  <c r="W156" i="21"/>
  <c r="H80" i="21"/>
  <c r="X80" i="21"/>
  <c r="W70" i="21"/>
  <c r="H120" i="21"/>
  <c r="Y120" i="21" s="1"/>
  <c r="X120" i="21"/>
  <c r="H157" i="21"/>
  <c r="Y157" i="21" s="1"/>
  <c r="X157" i="21"/>
  <c r="H64" i="21"/>
  <c r="Y64" i="21" s="1"/>
  <c r="X64" i="21"/>
  <c r="W80" i="21"/>
  <c r="W64" i="21"/>
  <c r="W79" i="21"/>
  <c r="W83" i="21"/>
  <c r="W78" i="21"/>
  <c r="H121" i="21"/>
  <c r="Y121" i="21" s="1"/>
  <c r="X121" i="21"/>
  <c r="H70" i="21"/>
  <c r="Y70" i="21" s="1"/>
  <c r="X70" i="21"/>
  <c r="H79" i="21"/>
  <c r="X79" i="21"/>
  <c r="U12" i="21"/>
  <c r="D278" i="1" s="1"/>
  <c r="V12" i="21"/>
  <c r="D290" i="1" s="1"/>
  <c r="U10" i="21"/>
  <c r="V10" i="21"/>
  <c r="G10" i="21"/>
  <c r="Q158" i="21"/>
  <c r="N10" i="21"/>
  <c r="P120" i="21"/>
  <c r="Q70" i="21"/>
  <c r="Q84" i="21"/>
  <c r="P114" i="21"/>
  <c r="Q114" i="21"/>
  <c r="Q156" i="21"/>
  <c r="P156" i="21"/>
  <c r="P158" i="21"/>
  <c r="Q83" i="21"/>
  <c r="P83" i="21"/>
  <c r="Q157" i="21"/>
  <c r="P157" i="21"/>
  <c r="Q80" i="21"/>
  <c r="P80" i="21"/>
  <c r="P84" i="21"/>
  <c r="P64" i="21"/>
  <c r="Q64" i="21"/>
  <c r="Q79" i="21"/>
  <c r="P79" i="21"/>
  <c r="Q120" i="21"/>
  <c r="Q121" i="21"/>
  <c r="P121" i="21"/>
  <c r="Q123" i="21"/>
  <c r="P123" i="21"/>
  <c r="Q63" i="21"/>
  <c r="P63" i="21"/>
  <c r="P78" i="21"/>
  <c r="Q78" i="21"/>
  <c r="P70" i="21"/>
  <c r="O10" i="21"/>
  <c r="D10" i="21"/>
  <c r="O12" i="21"/>
  <c r="N12" i="21"/>
  <c r="O13" i="21"/>
  <c r="N13" i="21"/>
  <c r="D13" i="21"/>
  <c r="D12" i="21"/>
  <c r="H114" i="21"/>
  <c r="Y114" i="21" s="1"/>
  <c r="H156" i="21"/>
  <c r="Y156" i="21" s="1"/>
  <c r="G13" i="21"/>
  <c r="X13" i="21" s="1"/>
  <c r="H78" i="21"/>
  <c r="H83" i="21"/>
  <c r="Y83" i="21" s="1"/>
  <c r="H63" i="21"/>
  <c r="Y63" i="21" s="1"/>
  <c r="G28" i="22"/>
  <c r="I225" i="1"/>
  <c r="H62" i="27" l="1"/>
  <c r="H75" i="27"/>
  <c r="G75" i="27"/>
  <c r="K72" i="27"/>
  <c r="K75" i="27" s="1"/>
  <c r="J75" i="27"/>
  <c r="Y80" i="21"/>
  <c r="Y79" i="21"/>
  <c r="Y78" i="21"/>
  <c r="X10" i="21"/>
  <c r="W12" i="21"/>
  <c r="W10" i="21"/>
  <c r="R84" i="21"/>
  <c r="R83" i="21"/>
  <c r="R63" i="21"/>
  <c r="R158" i="21"/>
  <c r="R79" i="21"/>
  <c r="R156" i="21"/>
  <c r="R120" i="21"/>
  <c r="R70" i="21"/>
  <c r="H13" i="21"/>
  <c r="Y13" i="21" s="1"/>
  <c r="H12" i="21"/>
  <c r="Y12" i="21" s="1"/>
  <c r="R123" i="21"/>
  <c r="R157" i="21"/>
  <c r="R78" i="21"/>
  <c r="R64" i="21"/>
  <c r="R121" i="21"/>
  <c r="R80" i="21"/>
  <c r="R114" i="21"/>
  <c r="Q13" i="21"/>
  <c r="F67" i="21"/>
  <c r="F66" i="21"/>
  <c r="I51" i="27" s="1"/>
  <c r="H28" i="22"/>
  <c r="J51" i="27" l="1"/>
  <c r="H51" i="27"/>
  <c r="G51" i="27"/>
  <c r="F51" i="27" s="1"/>
  <c r="I54" i="27"/>
  <c r="V66" i="21"/>
  <c r="U66" i="21"/>
  <c r="U67" i="21"/>
  <c r="V67" i="21"/>
  <c r="F9" i="21"/>
  <c r="G67" i="21"/>
  <c r="O67" i="21"/>
  <c r="N67" i="21"/>
  <c r="N66" i="21"/>
  <c r="O66" i="21"/>
  <c r="P13" i="21"/>
  <c r="Q12" i="21"/>
  <c r="P12" i="21"/>
  <c r="G66" i="21"/>
  <c r="X66" i="21" s="1"/>
  <c r="C358" i="1"/>
  <c r="H243" i="1"/>
  <c r="I243" i="1" s="1"/>
  <c r="J243" i="1" l="1"/>
  <c r="H54" i="27"/>
  <c r="G54" i="27"/>
  <c r="K51" i="27"/>
  <c r="K54" i="27" s="1"/>
  <c r="J54" i="27"/>
  <c r="W66" i="21"/>
  <c r="H67" i="21"/>
  <c r="Y67" i="21" s="1"/>
  <c r="X67" i="21"/>
  <c r="W67" i="21"/>
  <c r="U9" i="21"/>
  <c r="D276" i="1" s="1"/>
  <c r="V9" i="21"/>
  <c r="D288" i="1" s="1"/>
  <c r="R13" i="21"/>
  <c r="Q66" i="21"/>
  <c r="P66" i="21"/>
  <c r="Q67" i="21"/>
  <c r="P67" i="21"/>
  <c r="R12" i="21"/>
  <c r="H66" i="21"/>
  <c r="Y66" i="21" s="1"/>
  <c r="D4" i="13"/>
  <c r="H242" i="1"/>
  <c r="H16" i="17"/>
  <c r="G16" i="17"/>
  <c r="F16" i="17"/>
  <c r="E16" i="17"/>
  <c r="C16" i="17"/>
  <c r="B16" i="17"/>
  <c r="E12" i="1"/>
  <c r="D11" i="1"/>
  <c r="E19" i="34"/>
  <c r="E22" i="34"/>
  <c r="E40" i="34"/>
  <c r="E47" i="34"/>
  <c r="E53" i="34"/>
  <c r="E59" i="34"/>
  <c r="E68" i="34"/>
  <c r="B31" i="32"/>
  <c r="B32" i="32"/>
  <c r="B33" i="32"/>
  <c r="B34" i="32"/>
  <c r="B35" i="32"/>
  <c r="E49" i="33"/>
  <c r="J21" i="22"/>
  <c r="D21" i="22"/>
  <c r="J17" i="22"/>
  <c r="G39" i="21"/>
  <c r="G38" i="21"/>
  <c r="AH153" i="5" l="1"/>
  <c r="E153" i="5"/>
  <c r="K153" i="5"/>
  <c r="Q153" i="5"/>
  <c r="Q13" i="32" s="1"/>
  <c r="W153" i="5"/>
  <c r="AC153" i="5"/>
  <c r="AC13" i="32" s="1"/>
  <c r="AI153" i="5"/>
  <c r="F153" i="5"/>
  <c r="F13" i="32" s="1"/>
  <c r="L153" i="5"/>
  <c r="L13" i="32" s="1"/>
  <c r="R153" i="5"/>
  <c r="R13" i="32" s="1"/>
  <c r="X153" i="5"/>
  <c r="X13" i="32" s="1"/>
  <c r="AD153" i="5"/>
  <c r="AD13" i="32" s="1"/>
  <c r="M153" i="5"/>
  <c r="M13" i="32" s="1"/>
  <c r="G153" i="5"/>
  <c r="G13" i="32" s="1"/>
  <c r="S153" i="5"/>
  <c r="S13" i="32" s="1"/>
  <c r="AE153" i="5"/>
  <c r="AE13" i="32" s="1"/>
  <c r="AG153" i="5"/>
  <c r="V153" i="5"/>
  <c r="H153" i="5"/>
  <c r="H13" i="32" s="1"/>
  <c r="Y153" i="5"/>
  <c r="Y13" i="32" s="1"/>
  <c r="P153" i="5"/>
  <c r="P13" i="32" s="1"/>
  <c r="AB153" i="5"/>
  <c r="AB13" i="32" s="1"/>
  <c r="T153" i="5"/>
  <c r="T13" i="32" s="1"/>
  <c r="E109" i="1"/>
  <c r="E27" i="22" s="1"/>
  <c r="F27" i="22" s="1"/>
  <c r="G27" i="22" s="1"/>
  <c r="H27" i="22" s="1"/>
  <c r="AF153" i="5"/>
  <c r="N153" i="5"/>
  <c r="N13" i="32" s="1"/>
  <c r="O153" i="5"/>
  <c r="O13" i="32" s="1"/>
  <c r="AA153" i="5"/>
  <c r="AA13" i="32" s="1"/>
  <c r="D153" i="5"/>
  <c r="D155" i="5" s="1"/>
  <c r="D13" i="5"/>
  <c r="Z153" i="5"/>
  <c r="Z13" i="32" s="1"/>
  <c r="I153" i="5"/>
  <c r="I13" i="32" s="1"/>
  <c r="U153" i="5"/>
  <c r="J153" i="5"/>
  <c r="J13" i="32" s="1"/>
  <c r="K243" i="1"/>
  <c r="I242" i="1"/>
  <c r="E301" i="1"/>
  <c r="F301" i="1"/>
  <c r="F46" i="35" s="1"/>
  <c r="K301" i="1"/>
  <c r="J46" i="35" s="1"/>
  <c r="H301" i="1"/>
  <c r="G46" i="35" s="1"/>
  <c r="J301" i="1"/>
  <c r="I46" i="35" s="1"/>
  <c r="I301" i="1"/>
  <c r="H46" i="35" s="1"/>
  <c r="F313" i="1"/>
  <c r="F58" i="35" s="1"/>
  <c r="E313" i="1"/>
  <c r="H313" i="1"/>
  <c r="G58" i="35" s="1"/>
  <c r="I313" i="1"/>
  <c r="H58" i="35" s="1"/>
  <c r="K313" i="1"/>
  <c r="J58" i="35" s="1"/>
  <c r="J313" i="1"/>
  <c r="I58" i="35" s="1"/>
  <c r="H38" i="21"/>
  <c r="X38" i="21"/>
  <c r="H39" i="21"/>
  <c r="X39" i="21"/>
  <c r="W9" i="21"/>
  <c r="D13" i="26"/>
  <c r="R66" i="21"/>
  <c r="E3" i="21"/>
  <c r="E17" i="5" s="1"/>
  <c r="E17" i="26" s="1"/>
  <c r="R67" i="21"/>
  <c r="O69" i="21"/>
  <c r="N69" i="21"/>
  <c r="O68" i="21"/>
  <c r="N68" i="21"/>
  <c r="K13" i="32"/>
  <c r="W13" i="32"/>
  <c r="V13" i="32"/>
  <c r="U13" i="32"/>
  <c r="E13" i="32"/>
  <c r="R155" i="5" l="1"/>
  <c r="F155" i="5"/>
  <c r="AH155" i="5"/>
  <c r="V155" i="5"/>
  <c r="S155" i="5"/>
  <c r="G155" i="5"/>
  <c r="AI155" i="5"/>
  <c r="X155" i="5"/>
  <c r="Q155" i="5"/>
  <c r="I155" i="5"/>
  <c r="T155" i="5"/>
  <c r="K155" i="5"/>
  <c r="E155" i="5"/>
  <c r="AA155" i="5"/>
  <c r="W155" i="5"/>
  <c r="AB155" i="5"/>
  <c r="H155" i="5"/>
  <c r="M155" i="5"/>
  <c r="AG155" i="5"/>
  <c r="Y155" i="5"/>
  <c r="AC155" i="5"/>
  <c r="J155" i="5"/>
  <c r="N155" i="5"/>
  <c r="Z155" i="5"/>
  <c r="AD155" i="5"/>
  <c r="L155" i="5"/>
  <c r="AE155" i="5"/>
  <c r="O155" i="5"/>
  <c r="P155" i="5"/>
  <c r="AF155" i="5"/>
  <c r="U155" i="5"/>
  <c r="D158" i="5"/>
  <c r="D17" i="32" s="1"/>
  <c r="Y38" i="21"/>
  <c r="Y39" i="21"/>
  <c r="J242" i="1"/>
  <c r="L243" i="1"/>
  <c r="E58" i="35"/>
  <c r="D58" i="35" s="1"/>
  <c r="D313" i="1"/>
  <c r="E46" i="35"/>
  <c r="D46" i="35" s="1"/>
  <c r="D301" i="1"/>
  <c r="D15" i="32"/>
  <c r="D13" i="32"/>
  <c r="P68" i="21"/>
  <c r="Q68" i="21"/>
  <c r="Q69" i="21"/>
  <c r="P69" i="21"/>
  <c r="G9" i="21"/>
  <c r="D9" i="21"/>
  <c r="N9" i="21"/>
  <c r="O9" i="21"/>
  <c r="K242" i="1" l="1"/>
  <c r="M243" i="1"/>
  <c r="X9" i="21"/>
  <c r="R69" i="21"/>
  <c r="R68" i="21"/>
  <c r="H10" i="21"/>
  <c r="Y10" i="21" s="1"/>
  <c r="H23" i="21"/>
  <c r="Y23" i="21" s="1"/>
  <c r="H9" i="21"/>
  <c r="Y9" i="21" s="1"/>
  <c r="E31" i="21"/>
  <c r="E26" i="21"/>
  <c r="E23" i="1"/>
  <c r="L242" i="1" l="1"/>
  <c r="N243" i="1"/>
  <c r="E36" i="21"/>
  <c r="F59" i="21"/>
  <c r="I41" i="27" s="1"/>
  <c r="E41" i="21"/>
  <c r="D37" i="21"/>
  <c r="D36" i="21"/>
  <c r="F6" i="27" s="1"/>
  <c r="E42" i="21"/>
  <c r="E30" i="21"/>
  <c r="T227" i="21"/>
  <c r="T223" i="21"/>
  <c r="U226" i="21"/>
  <c r="T225" i="21"/>
  <c r="U225" i="21"/>
  <c r="T226" i="21"/>
  <c r="T224" i="21"/>
  <c r="U227" i="21"/>
  <c r="U224" i="21"/>
  <c r="U223" i="21"/>
  <c r="F42" i="21" l="1"/>
  <c r="E119" i="21"/>
  <c r="F119" i="21" s="1"/>
  <c r="F41" i="21"/>
  <c r="E118" i="21"/>
  <c r="E15" i="27"/>
  <c r="E16" i="27"/>
  <c r="M242" i="1"/>
  <c r="O243" i="1"/>
  <c r="J41" i="27"/>
  <c r="K41" i="27" s="1"/>
  <c r="H41" i="27"/>
  <c r="G41" i="27"/>
  <c r="F41" i="27" s="1"/>
  <c r="U59" i="21"/>
  <c r="V59" i="21"/>
  <c r="F36" i="21"/>
  <c r="O36" i="21" s="1"/>
  <c r="G59" i="21"/>
  <c r="O59" i="21"/>
  <c r="N59" i="21"/>
  <c r="Q9" i="21"/>
  <c r="Q10" i="21"/>
  <c r="P10" i="21"/>
  <c r="P9" i="21"/>
  <c r="Q23" i="21"/>
  <c r="P23" i="21"/>
  <c r="I16" i="27"/>
  <c r="U119" i="21" l="1"/>
  <c r="G119" i="21"/>
  <c r="X119" i="21" s="1"/>
  <c r="O119" i="21"/>
  <c r="N119" i="21"/>
  <c r="V119" i="21"/>
  <c r="E66" i="27"/>
  <c r="F118" i="21"/>
  <c r="N242" i="1"/>
  <c r="O242" i="1" s="1"/>
  <c r="P243" i="1"/>
  <c r="N41" i="21"/>
  <c r="I15" i="27"/>
  <c r="H16" i="27"/>
  <c r="J16" i="27"/>
  <c r="K16" i="27" s="1"/>
  <c r="G16" i="27"/>
  <c r="G41" i="21"/>
  <c r="X41" i="21" s="1"/>
  <c r="O41" i="21"/>
  <c r="W59" i="21"/>
  <c r="V42" i="21"/>
  <c r="U42" i="21"/>
  <c r="V41" i="21"/>
  <c r="U41" i="21"/>
  <c r="V36" i="21"/>
  <c r="U36" i="21"/>
  <c r="G36" i="21"/>
  <c r="X36" i="21" s="1"/>
  <c r="H59" i="21"/>
  <c r="X59" i="21"/>
  <c r="N36" i="21"/>
  <c r="Q59" i="21"/>
  <c r="P59" i="21"/>
  <c r="F3" i="21"/>
  <c r="F17" i="5" s="1"/>
  <c r="F17" i="26" s="1"/>
  <c r="O42" i="21"/>
  <c r="N42" i="21"/>
  <c r="R23" i="21"/>
  <c r="R9" i="21"/>
  <c r="R10" i="21"/>
  <c r="G42" i="21"/>
  <c r="H119" i="21" l="1"/>
  <c r="Y119" i="21" s="1"/>
  <c r="Q119" i="21"/>
  <c r="P119" i="21"/>
  <c r="V118" i="21"/>
  <c r="O118" i="21"/>
  <c r="I66" i="27"/>
  <c r="U118" i="21"/>
  <c r="F11" i="21"/>
  <c r="G118" i="21"/>
  <c r="H118" i="21" s="1"/>
  <c r="Y118" i="21" s="1"/>
  <c r="N118" i="21"/>
  <c r="F8" i="21"/>
  <c r="W119" i="21"/>
  <c r="Q243" i="1"/>
  <c r="P242" i="1"/>
  <c r="J15" i="27"/>
  <c r="K15" i="27" s="1"/>
  <c r="K17" i="27" s="1"/>
  <c r="I17" i="27"/>
  <c r="D248" i="27" s="1"/>
  <c r="H15" i="27"/>
  <c r="G15" i="27"/>
  <c r="H41" i="21"/>
  <c r="Q41" i="21"/>
  <c r="Y59" i="21"/>
  <c r="P41" i="21"/>
  <c r="W36" i="21"/>
  <c r="W41" i="21"/>
  <c r="W42" i="21"/>
  <c r="V3" i="21"/>
  <c r="U3" i="21"/>
  <c r="H42" i="21"/>
  <c r="X42" i="21"/>
  <c r="H36" i="21"/>
  <c r="P36" i="21"/>
  <c r="Q36" i="21"/>
  <c r="D3" i="21"/>
  <c r="D17" i="5" s="1"/>
  <c r="D17" i="26" s="1"/>
  <c r="Q42" i="21"/>
  <c r="P42" i="21"/>
  <c r="R59" i="21"/>
  <c r="O3" i="21"/>
  <c r="N3" i="21"/>
  <c r="G3" i="21"/>
  <c r="G17" i="5" s="1"/>
  <c r="G17" i="26" s="1"/>
  <c r="AC8" i="27" l="1"/>
  <c r="F248" i="27"/>
  <c r="W118" i="21"/>
  <c r="R119" i="21"/>
  <c r="X118" i="21"/>
  <c r="G11" i="21"/>
  <c r="X11" i="21" s="1"/>
  <c r="G8" i="21"/>
  <c r="H8" i="21" s="1"/>
  <c r="G66" i="27"/>
  <c r="F66" i="27" s="1"/>
  <c r="I69" i="27"/>
  <c r="H66" i="27"/>
  <c r="J66" i="27"/>
  <c r="P118" i="21"/>
  <c r="Q118" i="21"/>
  <c r="D11" i="21"/>
  <c r="V11" i="21"/>
  <c r="N11" i="21"/>
  <c r="O11" i="21"/>
  <c r="U11" i="21"/>
  <c r="F19" i="5"/>
  <c r="F19" i="26" s="1"/>
  <c r="N8" i="21"/>
  <c r="D8" i="21"/>
  <c r="D19" i="5" s="1"/>
  <c r="D19" i="26" s="1"/>
  <c r="O8" i="21"/>
  <c r="U8" i="21"/>
  <c r="V8" i="21"/>
  <c r="R243" i="1"/>
  <c r="Q242" i="1"/>
  <c r="R41" i="21"/>
  <c r="Y41" i="21"/>
  <c r="H17" i="27"/>
  <c r="G17" i="27"/>
  <c r="J17" i="27"/>
  <c r="E248" i="27" s="1"/>
  <c r="W3" i="21"/>
  <c r="Y36" i="21"/>
  <c r="X3" i="21"/>
  <c r="Y42" i="21"/>
  <c r="R36" i="21"/>
  <c r="R42" i="21"/>
  <c r="H3" i="21"/>
  <c r="Y3" i="21" l="1"/>
  <c r="Y8" i="21"/>
  <c r="H11" i="21"/>
  <c r="Y11" i="21" s="1"/>
  <c r="W11" i="21"/>
  <c r="P11" i="21"/>
  <c r="Q11" i="21"/>
  <c r="R118" i="21"/>
  <c r="G69" i="27"/>
  <c r="H69" i="27"/>
  <c r="I82" i="27"/>
  <c r="D250" i="27" s="1"/>
  <c r="W8" i="21"/>
  <c r="G19" i="5"/>
  <c r="G19" i="26" s="1"/>
  <c r="X8" i="21"/>
  <c r="K66" i="27"/>
  <c r="K69" i="27" s="1"/>
  <c r="K82" i="27" s="1"/>
  <c r="J69" i="27"/>
  <c r="J82" i="27" s="1"/>
  <c r="E250" i="27" s="1"/>
  <c r="H19" i="5"/>
  <c r="P8" i="21"/>
  <c r="Q8" i="21"/>
  <c r="S243" i="1"/>
  <c r="R242" i="1"/>
  <c r="H17" i="5"/>
  <c r="H17" i="26" s="1"/>
  <c r="E127" i="1"/>
  <c r="D117" i="15"/>
  <c r="K110" i="15"/>
  <c r="E108" i="15"/>
  <c r="E107" i="15"/>
  <c r="E106" i="15"/>
  <c r="D33" i="15"/>
  <c r="D32" i="15"/>
  <c r="D31" i="15"/>
  <c r="E124" i="1"/>
  <c r="D90" i="15" s="1"/>
  <c r="E125" i="1"/>
  <c r="D91" i="15" s="1"/>
  <c r="E126" i="1"/>
  <c r="D92" i="15" s="1"/>
  <c r="E132" i="1"/>
  <c r="E133" i="1" s="1"/>
  <c r="E138" i="1"/>
  <c r="E139" i="1" s="1"/>
  <c r="D143" i="1"/>
  <c r="D144" i="1"/>
  <c r="D146" i="1"/>
  <c r="D151" i="1"/>
  <c r="D154" i="1"/>
  <c r="D156" i="1"/>
  <c r="D157" i="1"/>
  <c r="D158" i="1"/>
  <c r="D174" i="1"/>
  <c r="N110" i="15" s="1"/>
  <c r="E174" i="1"/>
  <c r="F174" i="1"/>
  <c r="N186" i="15" s="1"/>
  <c r="E77" i="1"/>
  <c r="E78" i="1"/>
  <c r="E80" i="1"/>
  <c r="E79" i="1"/>
  <c r="E81" i="1"/>
  <c r="E14" i="22" s="1"/>
  <c r="N187" i="15"/>
  <c r="E147" i="15"/>
  <c r="B39" i="15"/>
  <c r="B38" i="15"/>
  <c r="B37" i="15"/>
  <c r="AC10" i="27" l="1"/>
  <c r="F250" i="27"/>
  <c r="R8" i="21"/>
  <c r="H19" i="26"/>
  <c r="L11" i="13"/>
  <c r="H82" i="27"/>
  <c r="G82" i="27"/>
  <c r="R11" i="21"/>
  <c r="T243" i="1"/>
  <c r="S242" i="1"/>
  <c r="E13" i="22"/>
  <c r="F13" i="22" s="1"/>
  <c r="E88" i="1"/>
  <c r="E196" i="21" s="1"/>
  <c r="E84" i="1"/>
  <c r="E17" i="22" s="1"/>
  <c r="E121" i="27" s="1"/>
  <c r="D114" i="15"/>
  <c r="L10" i="13"/>
  <c r="P3" i="21"/>
  <c r="Q3" i="21"/>
  <c r="F14" i="22"/>
  <c r="G14" i="22" s="1"/>
  <c r="E12" i="22"/>
  <c r="E86" i="1"/>
  <c r="E21" i="22" s="1"/>
  <c r="E122" i="27" s="1"/>
  <c r="E11" i="22"/>
  <c r="D11" i="22"/>
  <c r="E82" i="1"/>
  <c r="U243" i="1" l="1"/>
  <c r="T242" i="1"/>
  <c r="E88" i="27"/>
  <c r="F196" i="21"/>
  <c r="R3" i="21"/>
  <c r="G13" i="22"/>
  <c r="H13" i="22" s="1"/>
  <c r="H14" i="22"/>
  <c r="F21" i="22"/>
  <c r="E22" i="22"/>
  <c r="F11" i="22"/>
  <c r="V243" i="1" l="1"/>
  <c r="U242" i="1"/>
  <c r="I88" i="27"/>
  <c r="G196" i="21"/>
  <c r="H196" i="21" s="1"/>
  <c r="V196" i="21"/>
  <c r="O196" i="21"/>
  <c r="U196" i="21"/>
  <c r="N196" i="21"/>
  <c r="F15" i="21"/>
  <c r="F17" i="22"/>
  <c r="F19" i="22" s="1"/>
  <c r="G11" i="22"/>
  <c r="G21" i="22"/>
  <c r="F22" i="22"/>
  <c r="W243" i="1" l="1"/>
  <c r="V242" i="1"/>
  <c r="W196" i="21"/>
  <c r="Y196" i="21"/>
  <c r="H15" i="21"/>
  <c r="Y15" i="21" s="1"/>
  <c r="U15" i="21"/>
  <c r="O15" i="21"/>
  <c r="F14" i="21"/>
  <c r="N15" i="21"/>
  <c r="V15" i="21"/>
  <c r="Q196" i="21"/>
  <c r="P196" i="21"/>
  <c r="X196" i="21"/>
  <c r="G15" i="21"/>
  <c r="J88" i="27"/>
  <c r="G88" i="27"/>
  <c r="F88" i="27" s="1"/>
  <c r="H88" i="27"/>
  <c r="I92" i="27"/>
  <c r="D251" i="27" s="1"/>
  <c r="F4" i="22"/>
  <c r="G22" i="22"/>
  <c r="G17" i="22"/>
  <c r="G19" i="22" s="1"/>
  <c r="J121" i="27" s="1"/>
  <c r="H11" i="22"/>
  <c r="H21" i="22"/>
  <c r="D190" i="15"/>
  <c r="D200" i="15"/>
  <c r="O111" i="15"/>
  <c r="N111" i="15"/>
  <c r="G4" i="22" l="1"/>
  <c r="G29" i="5" s="1"/>
  <c r="G29" i="26" s="1"/>
  <c r="J122" i="27"/>
  <c r="X243" i="1"/>
  <c r="W242" i="1"/>
  <c r="F29" i="5"/>
  <c r="F29" i="26" s="1"/>
  <c r="J4" i="22"/>
  <c r="K4" i="22"/>
  <c r="I122" i="27"/>
  <c r="H122" i="27" s="1"/>
  <c r="R196" i="21"/>
  <c r="X15" i="21"/>
  <c r="G14" i="21"/>
  <c r="P15" i="21"/>
  <c r="Q15" i="21"/>
  <c r="F20" i="5"/>
  <c r="F20" i="26" s="1"/>
  <c r="U14" i="21"/>
  <c r="V14" i="21"/>
  <c r="N14" i="21"/>
  <c r="O14" i="21"/>
  <c r="H92" i="27"/>
  <c r="G92" i="27"/>
  <c r="W15" i="21"/>
  <c r="K88" i="27"/>
  <c r="K92" i="27" s="1"/>
  <c r="J92" i="27"/>
  <c r="E251" i="27" s="1"/>
  <c r="H4" i="22"/>
  <c r="H22" i="22"/>
  <c r="H17" i="22"/>
  <c r="H19" i="22" s="1"/>
  <c r="F77" i="15"/>
  <c r="D12" i="15"/>
  <c r="D8" i="15"/>
  <c r="D6" i="15"/>
  <c r="D5" i="15"/>
  <c r="D11" i="15"/>
  <c r="D10" i="15"/>
  <c r="D9" i="15"/>
  <c r="D7" i="15"/>
  <c r="D4" i="15"/>
  <c r="D53" i="15"/>
  <c r="D51" i="15"/>
  <c r="D61" i="15" s="1"/>
  <c r="E53" i="15"/>
  <c r="D84" i="15"/>
  <c r="D86" i="15" s="1"/>
  <c r="F86" i="15" s="1"/>
  <c r="E90" i="15"/>
  <c r="E91" i="15" s="1"/>
  <c r="D101" i="15"/>
  <c r="F101" i="15" s="1"/>
  <c r="F104" i="15"/>
  <c r="L110" i="15"/>
  <c r="M110" i="15"/>
  <c r="O110" i="15"/>
  <c r="J114" i="15"/>
  <c r="N114" i="15" s="1"/>
  <c r="J117" i="15"/>
  <c r="N117" i="15" s="1"/>
  <c r="J119" i="15"/>
  <c r="N119" i="15" s="1"/>
  <c r="J121" i="15"/>
  <c r="N121" i="15" s="1"/>
  <c r="J123" i="15"/>
  <c r="N123" i="15" s="1"/>
  <c r="J125" i="15"/>
  <c r="N125" i="15" s="1"/>
  <c r="J127" i="15"/>
  <c r="N127" i="15" s="1"/>
  <c r="J130" i="15"/>
  <c r="N130" i="15" s="1"/>
  <c r="J132" i="15"/>
  <c r="N132" i="15" s="1"/>
  <c r="J134" i="15"/>
  <c r="N134" i="15" s="1"/>
  <c r="J136" i="15"/>
  <c r="N136" i="15" s="1"/>
  <c r="J139" i="15"/>
  <c r="N139" i="15" s="1"/>
  <c r="J141" i="15"/>
  <c r="N141" i="15" s="1"/>
  <c r="J143" i="15"/>
  <c r="N143" i="15" s="1"/>
  <c r="J145" i="15"/>
  <c r="N145" i="15" s="1"/>
  <c r="J149" i="15"/>
  <c r="N149" i="15" s="1"/>
  <c r="J151" i="15"/>
  <c r="N151" i="15" s="1"/>
  <c r="J153" i="15"/>
  <c r="N153" i="15" s="1"/>
  <c r="J155" i="15"/>
  <c r="N155" i="15" s="1"/>
  <c r="J157" i="15"/>
  <c r="N157" i="15" s="1"/>
  <c r="J160" i="15"/>
  <c r="N160" i="15" s="1"/>
  <c r="D162" i="15"/>
  <c r="J162" i="15"/>
  <c r="N162" i="15" s="1"/>
  <c r="D164" i="15"/>
  <c r="J164" i="15"/>
  <c r="N164" i="15" s="1"/>
  <c r="D166" i="15"/>
  <c r="J166" i="15"/>
  <c r="N166" i="15" s="1"/>
  <c r="D168" i="15"/>
  <c r="J168" i="15"/>
  <c r="N168" i="15" s="1"/>
  <c r="J171" i="15"/>
  <c r="N171" i="15" s="1"/>
  <c r="J173" i="15"/>
  <c r="N173" i="15" s="1"/>
  <c r="J175" i="15"/>
  <c r="N175" i="15" s="1"/>
  <c r="J177" i="15"/>
  <c r="N177" i="15" s="1"/>
  <c r="J178" i="15"/>
  <c r="N178" i="15" s="1"/>
  <c r="J179" i="15"/>
  <c r="N179" i="15" s="1"/>
  <c r="J180" i="15"/>
  <c r="N180" i="15" s="1"/>
  <c r="J181" i="15"/>
  <c r="N181" i="15" s="1"/>
  <c r="D183" i="15"/>
  <c r="J183" i="15"/>
  <c r="N183" i="15" s="1"/>
  <c r="J184" i="15"/>
  <c r="N184" i="15" s="1"/>
  <c r="K186" i="15"/>
  <c r="L186" i="15"/>
  <c r="M186" i="15"/>
  <c r="J190" i="15"/>
  <c r="N190" i="15" s="1"/>
  <c r="D192" i="15"/>
  <c r="J192" i="15"/>
  <c r="N192" i="15" s="1"/>
  <c r="J194" i="15"/>
  <c r="N194" i="15" s="1"/>
  <c r="D196" i="15"/>
  <c r="J196" i="15"/>
  <c r="N196" i="15" s="1"/>
  <c r="D198" i="15"/>
  <c r="J198" i="15"/>
  <c r="N198" i="15" s="1"/>
  <c r="J200" i="15"/>
  <c r="N200" i="15" s="1"/>
  <c r="D201" i="15"/>
  <c r="J201" i="15"/>
  <c r="N201" i="15" s="1"/>
  <c r="J202" i="15"/>
  <c r="N202" i="15" s="1"/>
  <c r="J203" i="15"/>
  <c r="N203" i="15" s="1"/>
  <c r="D81" i="15"/>
  <c r="F81" i="15" s="1"/>
  <c r="F12" i="22"/>
  <c r="AC11" i="27" l="1"/>
  <c r="F251" i="27"/>
  <c r="K122" i="27"/>
  <c r="G122" i="27"/>
  <c r="F122" i="27" s="1"/>
  <c r="H29" i="5"/>
  <c r="H29" i="26" s="1"/>
  <c r="Y243" i="1"/>
  <c r="X242" i="1"/>
  <c r="E315" i="1"/>
  <c r="I315" i="1"/>
  <c r="H60" i="35" s="1"/>
  <c r="F315" i="1"/>
  <c r="F60" i="35" s="1"/>
  <c r="H315" i="1"/>
  <c r="G60" i="35" s="1"/>
  <c r="J315" i="1"/>
  <c r="I60" i="35" s="1"/>
  <c r="K315" i="1"/>
  <c r="J60" i="35" s="1"/>
  <c r="J303" i="1"/>
  <c r="I48" i="35" s="1"/>
  <c r="I303" i="1"/>
  <c r="H48" i="35" s="1"/>
  <c r="E303" i="1"/>
  <c r="H303" i="1"/>
  <c r="G48" i="35" s="1"/>
  <c r="K303" i="1"/>
  <c r="J48" i="35" s="1"/>
  <c r="F303" i="1"/>
  <c r="F48" i="35" s="1"/>
  <c r="W14" i="21"/>
  <c r="R15" i="21"/>
  <c r="P14" i="21"/>
  <c r="Q14" i="21"/>
  <c r="X14" i="21"/>
  <c r="G20" i="5"/>
  <c r="G20" i="26" s="1"/>
  <c r="L16" i="13"/>
  <c r="G12" i="22"/>
  <c r="D184" i="15"/>
  <c r="M194" i="15"/>
  <c r="L192" i="15"/>
  <c r="M203" i="15"/>
  <c r="K202" i="15"/>
  <c r="L190" i="15"/>
  <c r="L201" i="15"/>
  <c r="K196" i="15"/>
  <c r="L200" i="15"/>
  <c r="L198" i="15"/>
  <c r="D194" i="15"/>
  <c r="D180" i="15"/>
  <c r="D179" i="15"/>
  <c r="D181" i="15"/>
  <c r="D178" i="15"/>
  <c r="F90" i="15"/>
  <c r="D79" i="15"/>
  <c r="F79" i="15" s="1"/>
  <c r="F91" i="15"/>
  <c r="M184" i="15"/>
  <c r="K149" i="15"/>
  <c r="L121" i="15"/>
  <c r="D123" i="15"/>
  <c r="D119" i="15"/>
  <c r="D127" i="15"/>
  <c r="D125" i="15"/>
  <c r="D121" i="15"/>
  <c r="M183" i="15"/>
  <c r="L166" i="15"/>
  <c r="L145" i="15"/>
  <c r="K119" i="15"/>
  <c r="D132" i="15"/>
  <c r="D130" i="15"/>
  <c r="D136" i="15"/>
  <c r="D134" i="15"/>
  <c r="L143" i="15"/>
  <c r="L117" i="15"/>
  <c r="D157" i="15"/>
  <c r="D151" i="15"/>
  <c r="D147" i="15"/>
  <c r="F147" i="15" s="1"/>
  <c r="D155" i="15"/>
  <c r="D153" i="15"/>
  <c r="D149" i="15"/>
  <c r="K181" i="15"/>
  <c r="L164" i="15"/>
  <c r="K141" i="15"/>
  <c r="K114" i="15"/>
  <c r="D173" i="15"/>
  <c r="D171" i="15"/>
  <c r="L180" i="15"/>
  <c r="L139" i="15"/>
  <c r="M179" i="15"/>
  <c r="K162" i="15"/>
  <c r="K136" i="15"/>
  <c r="K178" i="15"/>
  <c r="L134" i="15"/>
  <c r="L177" i="15"/>
  <c r="L160" i="15"/>
  <c r="K132" i="15"/>
  <c r="D177" i="15"/>
  <c r="D175" i="15"/>
  <c r="K157" i="15"/>
  <c r="K130" i="15"/>
  <c r="D145" i="15"/>
  <c r="D143" i="15"/>
  <c r="D139" i="15"/>
  <c r="D141" i="15"/>
  <c r="K173" i="15"/>
  <c r="K155" i="15"/>
  <c r="D160" i="15"/>
  <c r="L171" i="15"/>
  <c r="M153" i="15"/>
  <c r="K125" i="15"/>
  <c r="K168" i="15"/>
  <c r="K151" i="15"/>
  <c r="L123" i="15"/>
  <c r="D48" i="15"/>
  <c r="F48" i="15" s="1"/>
  <c r="D58" i="15"/>
  <c r="F58" i="15" s="1"/>
  <c r="D45" i="15"/>
  <c r="F51" i="15"/>
  <c r="D56" i="15"/>
  <c r="F56" i="15" s="1"/>
  <c r="D57" i="15"/>
  <c r="F57" i="15" s="1"/>
  <c r="D59" i="15"/>
  <c r="F59" i="15" s="1"/>
  <c r="D70" i="15"/>
  <c r="F70" i="15" s="1"/>
  <c r="F19" i="15" s="1"/>
  <c r="D93" i="15"/>
  <c r="D46" i="15"/>
  <c r="F46" i="15" s="1"/>
  <c r="D47" i="15"/>
  <c r="F47" i="15" s="1"/>
  <c r="L196" i="15"/>
  <c r="D85" i="15"/>
  <c r="F85" i="15" s="1"/>
  <c r="K203" i="15"/>
  <c r="L194" i="15"/>
  <c r="M196" i="15"/>
  <c r="K192" i="15"/>
  <c r="L127" i="15"/>
  <c r="M200" i="15"/>
  <c r="K123" i="15"/>
  <c r="K171" i="15"/>
  <c r="M160" i="15"/>
  <c r="K177" i="15"/>
  <c r="M175" i="15"/>
  <c r="M127" i="15"/>
  <c r="K198" i="15"/>
  <c r="M190" i="15"/>
  <c r="F53" i="15"/>
  <c r="M166" i="15"/>
  <c r="L184" i="15"/>
  <c r="M121" i="15"/>
  <c r="K184" i="15"/>
  <c r="M177" i="15"/>
  <c r="M143" i="15"/>
  <c r="L203" i="15"/>
  <c r="K117" i="15"/>
  <c r="D80" i="15"/>
  <c r="F80" i="15" s="1"/>
  <c r="K201" i="15"/>
  <c r="K180" i="15"/>
  <c r="K134" i="15"/>
  <c r="J205" i="15"/>
  <c r="K166" i="15"/>
  <c r="K160" i="15"/>
  <c r="M171" i="15"/>
  <c r="M132" i="15"/>
  <c r="M149" i="15"/>
  <c r="L141" i="15"/>
  <c r="L125" i="15"/>
  <c r="L119" i="15"/>
  <c r="M164" i="15"/>
  <c r="L149" i="15"/>
  <c r="K194" i="15"/>
  <c r="K164" i="15"/>
  <c r="K139" i="15"/>
  <c r="D97" i="15"/>
  <c r="F97" i="15" s="1"/>
  <c r="M155" i="15"/>
  <c r="M180" i="15"/>
  <c r="L155" i="15"/>
  <c r="K145" i="15"/>
  <c r="E92" i="15"/>
  <c r="K200" i="15"/>
  <c r="L183" i="15"/>
  <c r="L179" i="15"/>
  <c r="L175" i="15"/>
  <c r="L153" i="15"/>
  <c r="K143" i="15"/>
  <c r="M136" i="15"/>
  <c r="M130" i="15"/>
  <c r="K127" i="15"/>
  <c r="K121" i="15"/>
  <c r="M114" i="15"/>
  <c r="F84" i="15"/>
  <c r="D76" i="15"/>
  <c r="F76" i="15" s="1"/>
  <c r="K183" i="15"/>
  <c r="K179" i="15"/>
  <c r="K175" i="15"/>
  <c r="M168" i="15"/>
  <c r="M162" i="15"/>
  <c r="K153" i="15"/>
  <c r="L136" i="15"/>
  <c r="L130" i="15"/>
  <c r="L114" i="15"/>
  <c r="D75" i="15"/>
  <c r="F75" i="15" s="1"/>
  <c r="D65" i="15"/>
  <c r="F65" i="15" s="1"/>
  <c r="M201" i="15"/>
  <c r="L168" i="15"/>
  <c r="L162" i="15"/>
  <c r="M145" i="15"/>
  <c r="M139" i="15"/>
  <c r="M123" i="15"/>
  <c r="M117" i="15"/>
  <c r="D99" i="15"/>
  <c r="F99" i="15" s="1"/>
  <c r="F25" i="15" s="1"/>
  <c r="D102" i="15"/>
  <c r="D68" i="15"/>
  <c r="F68" i="15" s="1"/>
  <c r="F18" i="15" s="1"/>
  <c r="D74" i="15"/>
  <c r="F74" i="15" s="1"/>
  <c r="D64" i="15"/>
  <c r="F64" i="15" s="1"/>
  <c r="L132" i="15"/>
  <c r="D73" i="15"/>
  <c r="F73" i="15" s="1"/>
  <c r="D63" i="15"/>
  <c r="F63" i="15" s="1"/>
  <c r="K190" i="15"/>
  <c r="M141" i="15"/>
  <c r="M125" i="15"/>
  <c r="M119" i="15"/>
  <c r="D96" i="15"/>
  <c r="F96" i="15" s="1"/>
  <c r="M202" i="15"/>
  <c r="M181" i="15"/>
  <c r="D88" i="15"/>
  <c r="F88" i="15" s="1"/>
  <c r="D72" i="15"/>
  <c r="F72" i="15" s="1"/>
  <c r="D62" i="15"/>
  <c r="F62" i="15" s="1"/>
  <c r="L202" i="15"/>
  <c r="M198" i="15"/>
  <c r="M192" i="15"/>
  <c r="L181" i="15"/>
  <c r="L178" i="15"/>
  <c r="L173" i="15"/>
  <c r="L157" i="15"/>
  <c r="L151" i="15"/>
  <c r="M134" i="15"/>
  <c r="M178" i="15"/>
  <c r="M173" i="15"/>
  <c r="M157" i="15"/>
  <c r="M151" i="15"/>
  <c r="D78" i="15"/>
  <c r="F78" i="15" s="1"/>
  <c r="F61" i="15"/>
  <c r="K25" i="15" l="1"/>
  <c r="J25" i="15"/>
  <c r="J19" i="15"/>
  <c r="K19" i="15"/>
  <c r="J18" i="15"/>
  <c r="K18" i="15"/>
  <c r="Z243" i="1"/>
  <c r="Y242" i="1"/>
  <c r="E48" i="35"/>
  <c r="D48" i="35" s="1"/>
  <c r="D303" i="1"/>
  <c r="E60" i="35"/>
  <c r="D60" i="35" s="1"/>
  <c r="D315" i="1"/>
  <c r="R14" i="21"/>
  <c r="G18" i="15"/>
  <c r="H18" i="15" s="1"/>
  <c r="G19" i="15"/>
  <c r="H19" i="15" s="1"/>
  <c r="G25" i="15"/>
  <c r="H25" i="15" s="1"/>
  <c r="H12" i="22"/>
  <c r="E15" i="22"/>
  <c r="E177" i="15"/>
  <c r="F177" i="15" s="1"/>
  <c r="E184" i="15"/>
  <c r="F184" i="15" s="1"/>
  <c r="E121" i="15"/>
  <c r="F121" i="15" s="1"/>
  <c r="E123" i="15"/>
  <c r="F123" i="15" s="1"/>
  <c r="E175" i="15"/>
  <c r="F175" i="15" s="1"/>
  <c r="E196" i="15"/>
  <c r="F196" i="15" s="1"/>
  <c r="E201" i="15"/>
  <c r="F201" i="15" s="1"/>
  <c r="E203" i="15"/>
  <c r="F203" i="15" s="1"/>
  <c r="E145" i="15"/>
  <c r="F145" i="15" s="1"/>
  <c r="E151" i="15"/>
  <c r="F151" i="15" s="1"/>
  <c r="E130" i="15"/>
  <c r="F130" i="15" s="1"/>
  <c r="E168" i="15"/>
  <c r="F168" i="15" s="1"/>
  <c r="E157" i="15"/>
  <c r="F157" i="15" s="1"/>
  <c r="E127" i="15"/>
  <c r="F127" i="15" s="1"/>
  <c r="E171" i="15"/>
  <c r="F171" i="15" s="1"/>
  <c r="E125" i="15"/>
  <c r="F125" i="15" s="1"/>
  <c r="E198" i="15"/>
  <c r="F198" i="15" s="1"/>
  <c r="E164" i="15"/>
  <c r="F164" i="15" s="1"/>
  <c r="E192" i="15"/>
  <c r="F192" i="15" s="1"/>
  <c r="E190" i="15"/>
  <c r="F190" i="15" s="1"/>
  <c r="E194" i="15"/>
  <c r="F194" i="15" s="1"/>
  <c r="E153" i="15"/>
  <c r="F153" i="15" s="1"/>
  <c r="E160" i="15"/>
  <c r="F160" i="15" s="1"/>
  <c r="E143" i="15"/>
  <c r="F143" i="15" s="1"/>
  <c r="E139" i="15"/>
  <c r="F139" i="15" s="1"/>
  <c r="E166" i="15"/>
  <c r="F166" i="15" s="1"/>
  <c r="E132" i="15"/>
  <c r="F132" i="15" s="1"/>
  <c r="E114" i="15"/>
  <c r="F114" i="15" s="1"/>
  <c r="E4" i="15" s="1"/>
  <c r="N205" i="15"/>
  <c r="E155" i="15"/>
  <c r="F155" i="15" s="1"/>
  <c r="E141" i="15"/>
  <c r="F141" i="15" s="1"/>
  <c r="E134" i="15"/>
  <c r="F134" i="15" s="1"/>
  <c r="E173" i="15"/>
  <c r="F173" i="15" s="1"/>
  <c r="E179" i="15"/>
  <c r="F179" i="15" s="1"/>
  <c r="E180" i="15"/>
  <c r="F180" i="15" s="1"/>
  <c r="E181" i="15"/>
  <c r="F181" i="15" s="1"/>
  <c r="E149" i="15"/>
  <c r="F149" i="15" s="1"/>
  <c r="E183" i="15"/>
  <c r="F183" i="15" s="1"/>
  <c r="E178" i="15"/>
  <c r="F178" i="15" s="1"/>
  <c r="E119" i="15"/>
  <c r="F119" i="15" s="1"/>
  <c r="E136" i="15"/>
  <c r="F136" i="15" s="1"/>
  <c r="E202" i="15"/>
  <c r="F202" i="15" s="1"/>
  <c r="E117" i="15"/>
  <c r="F117" i="15" s="1"/>
  <c r="E162" i="15"/>
  <c r="F162" i="15" s="1"/>
  <c r="E200" i="15"/>
  <c r="F200" i="15" s="1"/>
  <c r="M205" i="15"/>
  <c r="F22" i="15"/>
  <c r="K205" i="15"/>
  <c r="L205" i="15"/>
  <c r="F24" i="15"/>
  <c r="F17" i="15"/>
  <c r="F20" i="15"/>
  <c r="F102" i="15"/>
  <c r="D103" i="15"/>
  <c r="F103" i="15" s="1"/>
  <c r="D94" i="15"/>
  <c r="F94" i="15" s="1"/>
  <c r="F45" i="15"/>
  <c r="E93" i="15"/>
  <c r="F93" i="15" s="1"/>
  <c r="F92" i="15"/>
  <c r="L19" i="15" l="1"/>
  <c r="K20" i="15"/>
  <c r="J20" i="15"/>
  <c r="K17" i="15"/>
  <c r="J17" i="15"/>
  <c r="J24" i="15"/>
  <c r="K24" i="15"/>
  <c r="L24" i="15" s="1"/>
  <c r="K22" i="15"/>
  <c r="J22" i="15"/>
  <c r="AA243" i="1"/>
  <c r="Z242" i="1"/>
  <c r="L25" i="15"/>
  <c r="L18" i="15"/>
  <c r="G17" i="15"/>
  <c r="H17" i="15" s="1"/>
  <c r="G24" i="15"/>
  <c r="H24" i="15" s="1"/>
  <c r="F15" i="22"/>
  <c r="F3" i="22" s="1"/>
  <c r="G20" i="15"/>
  <c r="G22" i="15"/>
  <c r="E205" i="15"/>
  <c r="F205" i="15" s="1"/>
  <c r="E32" i="15"/>
  <c r="F32" i="15" s="1"/>
  <c r="E11" i="15"/>
  <c r="E31" i="15"/>
  <c r="F31" i="15" s="1"/>
  <c r="E5" i="15"/>
  <c r="E8" i="15"/>
  <c r="E9" i="15"/>
  <c r="E10" i="15"/>
  <c r="E6" i="15"/>
  <c r="E12" i="15"/>
  <c r="E7" i="15"/>
  <c r="F23" i="15"/>
  <c r="F16" i="15"/>
  <c r="F26" i="15"/>
  <c r="J23" i="15" l="1"/>
  <c r="K23" i="15"/>
  <c r="K16" i="15"/>
  <c r="J16" i="15"/>
  <c r="J31" i="15"/>
  <c r="K31" i="15"/>
  <c r="J32" i="15"/>
  <c r="K32" i="15"/>
  <c r="J26" i="15"/>
  <c r="K26" i="15"/>
  <c r="AB243" i="1"/>
  <c r="AA242" i="1"/>
  <c r="F28" i="5"/>
  <c r="F28" i="26" s="1"/>
  <c r="F30" i="26" s="1"/>
  <c r="K3" i="22"/>
  <c r="J3" i="22"/>
  <c r="L22" i="15"/>
  <c r="L17" i="15"/>
  <c r="L20" i="15"/>
  <c r="I121" i="27"/>
  <c r="G31" i="15"/>
  <c r="G26" i="15"/>
  <c r="H26" i="15" s="1"/>
  <c r="G32" i="15"/>
  <c r="H32" i="15" s="1"/>
  <c r="G15" i="22"/>
  <c r="G3" i="22" s="1"/>
  <c r="H20" i="15"/>
  <c r="G16" i="15"/>
  <c r="H22" i="15"/>
  <c r="P32" i="15"/>
  <c r="G23" i="15"/>
  <c r="P31" i="15"/>
  <c r="F106" i="15"/>
  <c r="F27" i="15" s="1"/>
  <c r="F30" i="5" l="1"/>
  <c r="F41" i="5" s="1"/>
  <c r="J27" i="15"/>
  <c r="K27" i="15"/>
  <c r="AC243" i="1"/>
  <c r="AB242" i="1"/>
  <c r="L31" i="15"/>
  <c r="L26" i="15"/>
  <c r="L23" i="15"/>
  <c r="L32" i="15"/>
  <c r="L16" i="15"/>
  <c r="G28" i="5"/>
  <c r="G28" i="26" s="1"/>
  <c r="G30" i="26" s="1"/>
  <c r="H121" i="27"/>
  <c r="G121" i="27"/>
  <c r="F121" i="27" s="1"/>
  <c r="I124" i="27"/>
  <c r="D252" i="27" s="1"/>
  <c r="F5" i="22"/>
  <c r="D267" i="1" s="1"/>
  <c r="H15" i="22"/>
  <c r="G5" i="22"/>
  <c r="G27" i="15"/>
  <c r="H16" i="15"/>
  <c r="H31" i="15"/>
  <c r="H23" i="15"/>
  <c r="F108" i="15"/>
  <c r="F107" i="15"/>
  <c r="AD243" i="1" l="1"/>
  <c r="AC242" i="1"/>
  <c r="J5" i="22"/>
  <c r="K5" i="22"/>
  <c r="L27" i="15"/>
  <c r="G30" i="5"/>
  <c r="G41" i="5" s="1"/>
  <c r="H28" i="5"/>
  <c r="H28" i="26" s="1"/>
  <c r="H30" i="26" s="1"/>
  <c r="F69" i="35"/>
  <c r="G69" i="35"/>
  <c r="H69" i="35"/>
  <c r="I69" i="35"/>
  <c r="J69" i="35"/>
  <c r="E69" i="35"/>
  <c r="I127" i="27"/>
  <c r="H124" i="27"/>
  <c r="H127" i="27" s="1"/>
  <c r="G124" i="27"/>
  <c r="G127" i="27" s="1"/>
  <c r="K121" i="27"/>
  <c r="K124" i="27" s="1"/>
  <c r="F252" i="27" s="1"/>
  <c r="J124" i="27"/>
  <c r="H3" i="22"/>
  <c r="H27" i="15"/>
  <c r="F28" i="15"/>
  <c r="F29" i="15" s="1"/>
  <c r="J127" i="27" l="1"/>
  <c r="E252" i="27"/>
  <c r="E29" i="15"/>
  <c r="F24" i="5"/>
  <c r="K127" i="27"/>
  <c r="AC12" i="27"/>
  <c r="K28" i="15"/>
  <c r="K29" i="15" s="1"/>
  <c r="J28" i="15"/>
  <c r="J29" i="15" s="1"/>
  <c r="AE243" i="1"/>
  <c r="AD242" i="1"/>
  <c r="D69" i="35"/>
  <c r="H30" i="5"/>
  <c r="H41" i="5" s="1"/>
  <c r="E75" i="35"/>
  <c r="J75" i="35"/>
  <c r="H75" i="35"/>
  <c r="I75" i="35"/>
  <c r="G75" i="35"/>
  <c r="F75" i="35"/>
  <c r="H5" i="22"/>
  <c r="G28" i="15"/>
  <c r="G29" i="15" s="1"/>
  <c r="G24" i="5" s="1"/>
  <c r="AC49" i="5" l="1"/>
  <c r="E49" i="5"/>
  <c r="F49" i="5"/>
  <c r="G49" i="5"/>
  <c r="H49" i="5"/>
  <c r="I49" i="5"/>
  <c r="J49" i="5"/>
  <c r="K49" i="5"/>
  <c r="L49" i="5"/>
  <c r="N49" i="5"/>
  <c r="M49" i="5"/>
  <c r="O49" i="5"/>
  <c r="P49" i="5"/>
  <c r="Q49" i="5"/>
  <c r="R49" i="5"/>
  <c r="S49" i="5"/>
  <c r="T49" i="5"/>
  <c r="U49" i="5"/>
  <c r="V49" i="5"/>
  <c r="W49" i="5"/>
  <c r="X49" i="5"/>
  <c r="Y49" i="5"/>
  <c r="Z49" i="5"/>
  <c r="AA49" i="5"/>
  <c r="AB49" i="5"/>
  <c r="AF243" i="1"/>
  <c r="AE242" i="1"/>
  <c r="AD49" i="5" s="1"/>
  <c r="D280" i="1"/>
  <c r="L28" i="15"/>
  <c r="F24" i="26"/>
  <c r="D24" i="5"/>
  <c r="D24" i="26" s="1"/>
  <c r="L15" i="13"/>
  <c r="H28" i="15"/>
  <c r="H29" i="15" s="1"/>
  <c r="H24" i="5" s="1"/>
  <c r="G24" i="26"/>
  <c r="AG243" i="1" l="1"/>
  <c r="AF242" i="1"/>
  <c r="AE49" i="5" s="1"/>
  <c r="L29" i="15"/>
  <c r="D292" i="1"/>
  <c r="E305" i="1"/>
  <c r="F305" i="1"/>
  <c r="F50" i="35" s="1"/>
  <c r="J305" i="1"/>
  <c r="I50" i="35" s="1"/>
  <c r="I305" i="1"/>
  <c r="H50" i="35" s="1"/>
  <c r="K305" i="1"/>
  <c r="J50" i="35" s="1"/>
  <c r="H305" i="1"/>
  <c r="G50" i="35" s="1"/>
  <c r="AH243" i="1" l="1"/>
  <c r="AG242" i="1"/>
  <c r="AF49" i="5" s="1"/>
  <c r="E50" i="35"/>
  <c r="D50" i="35" s="1"/>
  <c r="D305" i="1"/>
  <c r="F317" i="1"/>
  <c r="F62" i="35" s="1"/>
  <c r="E317" i="1"/>
  <c r="J317" i="1"/>
  <c r="I62" i="35" s="1"/>
  <c r="H317" i="1"/>
  <c r="G62" i="35" s="1"/>
  <c r="K317" i="1"/>
  <c r="J62" i="35" s="1"/>
  <c r="I317" i="1"/>
  <c r="H62" i="35" s="1"/>
  <c r="H24" i="26"/>
  <c r="D38" i="15"/>
  <c r="F38" i="15" s="1"/>
  <c r="G38" i="15" l="1"/>
  <c r="H38" i="15" s="1"/>
  <c r="AI243" i="1"/>
  <c r="AH242" i="1"/>
  <c r="AG49" i="5" s="1"/>
  <c r="J38" i="15"/>
  <c r="K38" i="15"/>
  <c r="E62" i="35"/>
  <c r="D62" i="35" s="1"/>
  <c r="D317" i="1"/>
  <c r="L20" i="13"/>
  <c r="AJ243" i="1" l="1"/>
  <c r="AI242" i="1"/>
  <c r="AH49" i="5" s="1"/>
  <c r="L38" i="15"/>
  <c r="E24" i="1"/>
  <c r="AK243" i="1" l="1"/>
  <c r="AJ242" i="1"/>
  <c r="AI49" i="5" s="1"/>
  <c r="E20" i="1"/>
  <c r="AK242" i="1" l="1"/>
  <c r="E27" i="21" l="1"/>
  <c r="D345" i="1"/>
  <c r="D340" i="1"/>
  <c r="D341" i="1"/>
  <c r="D337" i="1"/>
  <c r="C360" i="1"/>
  <c r="D352" i="1" s="1"/>
  <c r="D465" i="5" s="1"/>
  <c r="D359" i="1"/>
  <c r="D358" i="1"/>
  <c r="D26" i="13"/>
  <c r="B26" i="13"/>
  <c r="D25" i="13"/>
  <c r="B25" i="13"/>
  <c r="D24" i="13"/>
  <c r="B24" i="13"/>
  <c r="D23" i="13"/>
  <c r="B23" i="13"/>
  <c r="B20" i="13"/>
  <c r="D17" i="13"/>
  <c r="B17" i="13"/>
  <c r="D16" i="13"/>
  <c r="B16" i="13"/>
  <c r="B15" i="13"/>
  <c r="D12" i="13"/>
  <c r="D11" i="13"/>
  <c r="D8" i="13"/>
  <c r="C8" i="13"/>
  <c r="C7" i="13"/>
  <c r="C6" i="13"/>
  <c r="C5" i="13"/>
  <c r="D348" i="1"/>
  <c r="D461" i="5" s="1"/>
  <c r="H338" i="1"/>
  <c r="D338" i="1" s="1"/>
  <c r="F338" i="1"/>
  <c r="D331" i="1"/>
  <c r="D329" i="1"/>
  <c r="E248" i="1"/>
  <c r="D16" i="38" s="1"/>
  <c r="D17" i="38" s="1"/>
  <c r="F247" i="1"/>
  <c r="F57" i="5" s="1"/>
  <c r="F246" i="1"/>
  <c r="F56" i="5" s="1"/>
  <c r="F245" i="1"/>
  <c r="F55" i="5" s="1"/>
  <c r="D238" i="1"/>
  <c r="D2" i="5" s="1"/>
  <c r="E2" i="5" s="1"/>
  <c r="E224" i="1"/>
  <c r="N214" i="1"/>
  <c r="N213" i="1"/>
  <c r="H18" i="38"/>
  <c r="E178" i="1"/>
  <c r="D8" i="38" s="1"/>
  <c r="M2" i="1"/>
  <c r="K16" i="17"/>
  <c r="J6" i="17"/>
  <c r="E6" i="5" l="1"/>
  <c r="F2" i="5"/>
  <c r="E1" i="5"/>
  <c r="F1" i="5" s="1"/>
  <c r="G1" i="5" s="1"/>
  <c r="H1" i="5" s="1"/>
  <c r="I1" i="5" s="1"/>
  <c r="J1" i="5" s="1"/>
  <c r="K1" i="5" s="1"/>
  <c r="L1" i="5" s="1"/>
  <c r="M1" i="5" s="1"/>
  <c r="N1" i="5" s="1"/>
  <c r="O1" i="5" s="1"/>
  <c r="P1" i="5" s="1"/>
  <c r="Q1" i="5" s="1"/>
  <c r="R1" i="5" s="1"/>
  <c r="S1" i="5" s="1"/>
  <c r="T1" i="5" s="1"/>
  <c r="U1" i="5" s="1"/>
  <c r="V1" i="5" s="1"/>
  <c r="W1" i="5" s="1"/>
  <c r="X1" i="5" s="1"/>
  <c r="Y1" i="5" s="1"/>
  <c r="Z1" i="5" s="1"/>
  <c r="AA1" i="5" s="1"/>
  <c r="AB1" i="5" s="1"/>
  <c r="AC1" i="5" s="1"/>
  <c r="AD1" i="5" s="1"/>
  <c r="AE1" i="5" s="1"/>
  <c r="AF1" i="5" s="1"/>
  <c r="AG1" i="5" s="1"/>
  <c r="AH1" i="5" s="1"/>
  <c r="AI1" i="5" s="1"/>
  <c r="AJ1" i="5" s="1"/>
  <c r="E297" i="5"/>
  <c r="Q297" i="5"/>
  <c r="AC297" i="5"/>
  <c r="F297" i="5"/>
  <c r="R297" i="5"/>
  <c r="AD297" i="5"/>
  <c r="G297" i="5"/>
  <c r="S297" i="5"/>
  <c r="AE297" i="5"/>
  <c r="H297" i="5"/>
  <c r="T297" i="5"/>
  <c r="AF297" i="5"/>
  <c r="I297" i="5"/>
  <c r="U297" i="5"/>
  <c r="AG297" i="5"/>
  <c r="J297" i="5"/>
  <c r="V297" i="5"/>
  <c r="AH297" i="5"/>
  <c r="K297" i="5"/>
  <c r="W297" i="5"/>
  <c r="AI297" i="5"/>
  <c r="L297" i="5"/>
  <c r="X297" i="5"/>
  <c r="M297" i="5"/>
  <c r="Y297" i="5"/>
  <c r="N297" i="5"/>
  <c r="Z297" i="5"/>
  <c r="O297" i="5"/>
  <c r="AA297" i="5"/>
  <c r="P297" i="5"/>
  <c r="AB297" i="5"/>
  <c r="E58" i="5"/>
  <c r="D2" i="32"/>
  <c r="E2" i="32" s="1"/>
  <c r="C2" i="35"/>
  <c r="D2" i="34"/>
  <c r="E2" i="34" s="1"/>
  <c r="D2" i="33"/>
  <c r="E2" i="33" s="1"/>
  <c r="E58" i="26"/>
  <c r="E88" i="35" s="1"/>
  <c r="E181" i="1"/>
  <c r="E182" i="1" s="1"/>
  <c r="D11" i="38" s="1"/>
  <c r="D2" i="26"/>
  <c r="F19" i="34"/>
  <c r="F55" i="26"/>
  <c r="F86" i="35" s="1"/>
  <c r="F56" i="26"/>
  <c r="F57" i="26"/>
  <c r="F87" i="35" s="1"/>
  <c r="S16" i="21"/>
  <c r="S17" i="21"/>
  <c r="S15" i="21"/>
  <c r="S12" i="21"/>
  <c r="S13" i="21"/>
  <c r="S11" i="21"/>
  <c r="S8" i="21"/>
  <c r="S9" i="21"/>
  <c r="S10" i="21"/>
  <c r="S23" i="21"/>
  <c r="S3" i="21"/>
  <c r="D13" i="13"/>
  <c r="J7" i="17"/>
  <c r="L5" i="17"/>
  <c r="D24" i="1"/>
  <c r="L17" i="13"/>
  <c r="E238" i="1"/>
  <c r="F238" i="1" s="1"/>
  <c r="H238" i="1" s="1"/>
  <c r="N215" i="1"/>
  <c r="D360" i="1"/>
  <c r="D354" i="1" s="1"/>
  <c r="D467" i="5" s="1"/>
  <c r="H245" i="1"/>
  <c r="H246" i="1"/>
  <c r="E228" i="1"/>
  <c r="H26" i="38" s="1"/>
  <c r="F248" i="1"/>
  <c r="F58" i="5" s="1"/>
  <c r="H247" i="1"/>
  <c r="D7" i="13"/>
  <c r="E180" i="1"/>
  <c r="D9" i="38" s="1"/>
  <c r="E4" i="5" l="1"/>
  <c r="E158" i="5" s="1"/>
  <c r="F418" i="5"/>
  <c r="F417" i="5"/>
  <c r="F478" i="5" s="1"/>
  <c r="F435" i="5"/>
  <c r="F6" i="5"/>
  <c r="G2" i="5"/>
  <c r="F4" i="5"/>
  <c r="F434" i="5"/>
  <c r="E418" i="5"/>
  <c r="G57" i="26"/>
  <c r="G87" i="35" s="1"/>
  <c r="G57" i="5"/>
  <c r="G56" i="26"/>
  <c r="G56" i="5"/>
  <c r="E417" i="5"/>
  <c r="E478" i="5" s="1"/>
  <c r="G55" i="26"/>
  <c r="G86" i="35" s="1"/>
  <c r="G55" i="5"/>
  <c r="G19" i="34" s="1"/>
  <c r="E435" i="5"/>
  <c r="E434" i="5"/>
  <c r="E4" i="33"/>
  <c r="E8" i="33" s="1"/>
  <c r="E6" i="33"/>
  <c r="F2" i="33"/>
  <c r="E1" i="33"/>
  <c r="F1" i="33" s="1"/>
  <c r="G1" i="33" s="1"/>
  <c r="H1" i="33" s="1"/>
  <c r="I1" i="33" s="1"/>
  <c r="J1" i="33" s="1"/>
  <c r="K1" i="33" s="1"/>
  <c r="L1" i="33" s="1"/>
  <c r="M1" i="33" s="1"/>
  <c r="N1" i="33" s="1"/>
  <c r="O1" i="33" s="1"/>
  <c r="P1" i="33" s="1"/>
  <c r="Q1" i="33" s="1"/>
  <c r="R1" i="33" s="1"/>
  <c r="S1" i="33" s="1"/>
  <c r="T1" i="33" s="1"/>
  <c r="U1" i="33" s="1"/>
  <c r="V1" i="33" s="1"/>
  <c r="W1" i="33" s="1"/>
  <c r="X1" i="33" s="1"/>
  <c r="Y1" i="33" s="1"/>
  <c r="Z1" i="33" s="1"/>
  <c r="AA1" i="33" s="1"/>
  <c r="AB1" i="33" s="1"/>
  <c r="AC1" i="33" s="1"/>
  <c r="AD1" i="33" s="1"/>
  <c r="AE1" i="33" s="1"/>
  <c r="E4" i="34"/>
  <c r="E8" i="34" s="1"/>
  <c r="E1" i="34"/>
  <c r="F1" i="34" s="1"/>
  <c r="G1" i="34" s="1"/>
  <c r="H1" i="34" s="1"/>
  <c r="I1" i="34" s="1"/>
  <c r="J1" i="34" s="1"/>
  <c r="K1" i="34" s="1"/>
  <c r="L1" i="34" s="1"/>
  <c r="M1" i="34" s="1"/>
  <c r="N1" i="34" s="1"/>
  <c r="O1" i="34" s="1"/>
  <c r="P1" i="34" s="1"/>
  <c r="Q1" i="34" s="1"/>
  <c r="R1" i="34" s="1"/>
  <c r="S1" i="34" s="1"/>
  <c r="T1" i="34" s="1"/>
  <c r="U1" i="34" s="1"/>
  <c r="V1" i="34" s="1"/>
  <c r="W1" i="34" s="1"/>
  <c r="X1" i="34" s="1"/>
  <c r="Y1" i="34" s="1"/>
  <c r="Z1" i="34" s="1"/>
  <c r="AA1" i="34" s="1"/>
  <c r="AB1" i="34" s="1"/>
  <c r="AC1" i="34" s="1"/>
  <c r="AD1" i="34" s="1"/>
  <c r="AE1" i="34" s="1"/>
  <c r="E6" i="34"/>
  <c r="F2" i="34"/>
  <c r="E2" i="35"/>
  <c r="E1" i="35"/>
  <c r="E6" i="35" s="1"/>
  <c r="E4" i="32"/>
  <c r="E6" i="32"/>
  <c r="E1" i="32"/>
  <c r="F1" i="32" s="1"/>
  <c r="G1" i="32" s="1"/>
  <c r="H1" i="32" s="1"/>
  <c r="I1" i="32" s="1"/>
  <c r="J1" i="32" s="1"/>
  <c r="K1" i="32" s="1"/>
  <c r="L1" i="32" s="1"/>
  <c r="M1" i="32" s="1"/>
  <c r="N1" i="32" s="1"/>
  <c r="O1" i="32" s="1"/>
  <c r="P1" i="32" s="1"/>
  <c r="Q1" i="32" s="1"/>
  <c r="R1" i="32" s="1"/>
  <c r="S1" i="32" s="1"/>
  <c r="T1" i="32" s="1"/>
  <c r="U1" i="32" s="1"/>
  <c r="V1" i="32" s="1"/>
  <c r="W1" i="32" s="1"/>
  <c r="X1" i="32" s="1"/>
  <c r="Y1" i="32" s="1"/>
  <c r="Z1" i="32" s="1"/>
  <c r="AA1" i="32" s="1"/>
  <c r="AB1" i="32" s="1"/>
  <c r="AC1" i="32" s="1"/>
  <c r="AD1" i="32" s="1"/>
  <c r="AE1" i="32" s="1"/>
  <c r="F2" i="32"/>
  <c r="E2" i="26"/>
  <c r="F2" i="26" s="1"/>
  <c r="G1" i="26" s="1"/>
  <c r="E1" i="26"/>
  <c r="E6" i="26" s="1"/>
  <c r="F58" i="26"/>
  <c r="F88" i="35" s="1"/>
  <c r="I245" i="1"/>
  <c r="J245" i="1" s="1"/>
  <c r="H55" i="5" s="1"/>
  <c r="I247" i="1"/>
  <c r="J247" i="1" s="1"/>
  <c r="H57" i="5" s="1"/>
  <c r="I238" i="1"/>
  <c r="J238" i="1" s="1"/>
  <c r="K238" i="1" s="1"/>
  <c r="L238" i="1" s="1"/>
  <c r="M238" i="1" s="1"/>
  <c r="N238" i="1" s="1"/>
  <c r="O238" i="1" s="1"/>
  <c r="P238" i="1" s="1"/>
  <c r="Q238" i="1" s="1"/>
  <c r="R238" i="1" s="1"/>
  <c r="S238" i="1" s="1"/>
  <c r="T238" i="1" s="1"/>
  <c r="U238" i="1" s="1"/>
  <c r="V238" i="1" s="1"/>
  <c r="W238" i="1" s="1"/>
  <c r="X238" i="1" s="1"/>
  <c r="Y238" i="1" s="1"/>
  <c r="Z238" i="1" s="1"/>
  <c r="AA238" i="1" s="1"/>
  <c r="AB238" i="1" s="1"/>
  <c r="AC238" i="1" s="1"/>
  <c r="AD238" i="1" s="1"/>
  <c r="AE238" i="1" s="1"/>
  <c r="AF238" i="1" s="1"/>
  <c r="AG238" i="1" s="1"/>
  <c r="AH238" i="1" s="1"/>
  <c r="AI238" i="1" s="1"/>
  <c r="AJ238" i="1" s="1"/>
  <c r="AK238" i="1" s="1"/>
  <c r="I246" i="1"/>
  <c r="J8" i="17"/>
  <c r="L7" i="17"/>
  <c r="D20" i="1"/>
  <c r="E37" i="21"/>
  <c r="E6" i="27" s="1"/>
  <c r="E237" i="1"/>
  <c r="F237" i="1" s="1"/>
  <c r="H237" i="1" s="1"/>
  <c r="H27" i="13"/>
  <c r="D483" i="5" s="1"/>
  <c r="J5" i="1"/>
  <c r="D350" i="1"/>
  <c r="H248" i="1"/>
  <c r="G58" i="5" s="1"/>
  <c r="F459" i="5" l="1"/>
  <c r="F456" i="5"/>
  <c r="F251" i="5"/>
  <c r="G6" i="5"/>
  <c r="H2" i="5"/>
  <c r="G4" i="5"/>
  <c r="G418" i="5"/>
  <c r="G417" i="5"/>
  <c r="G478" i="5" s="1"/>
  <c r="G435" i="5"/>
  <c r="G434" i="5"/>
  <c r="F8" i="5"/>
  <c r="F9" i="5" s="1"/>
  <c r="E167" i="5"/>
  <c r="E456" i="5"/>
  <c r="E254" i="5"/>
  <c r="E465" i="5"/>
  <c r="E251" i="5"/>
  <c r="E5" i="5"/>
  <c r="E445" i="5"/>
  <c r="E171" i="5"/>
  <c r="F5" i="5"/>
  <c r="E169" i="5"/>
  <c r="E132" i="5"/>
  <c r="E172" i="5"/>
  <c r="E277" i="5"/>
  <c r="E447" i="5" s="1"/>
  <c r="E123" i="5"/>
  <c r="E170" i="5"/>
  <c r="E104" i="5"/>
  <c r="E42" i="34" s="1"/>
  <c r="E459" i="5"/>
  <c r="E165" i="5"/>
  <c r="E256" i="5" s="1"/>
  <c r="E461" i="5"/>
  <c r="E168" i="5"/>
  <c r="E467" i="5"/>
  <c r="E8" i="5"/>
  <c r="E156" i="5" s="1"/>
  <c r="E7" i="33"/>
  <c r="E8" i="32"/>
  <c r="E7" i="32" s="1"/>
  <c r="E5" i="32"/>
  <c r="E3" i="35"/>
  <c r="F2" i="35"/>
  <c r="E5" i="35"/>
  <c r="F1" i="35"/>
  <c r="F6" i="35" s="1"/>
  <c r="F4" i="34"/>
  <c r="F8" i="34" s="1"/>
  <c r="F6" i="34"/>
  <c r="G2" i="34"/>
  <c r="E7" i="34"/>
  <c r="E5" i="34"/>
  <c r="G2" i="33"/>
  <c r="F6" i="33"/>
  <c r="F4" i="33"/>
  <c r="F8" i="33" s="1"/>
  <c r="E5" i="33"/>
  <c r="F4" i="32"/>
  <c r="F5" i="32" s="1"/>
  <c r="F6" i="32"/>
  <c r="G2" i="32"/>
  <c r="F37" i="21"/>
  <c r="I6" i="27" s="1"/>
  <c r="E5" i="26"/>
  <c r="E3" i="26"/>
  <c r="E7" i="26" s="1"/>
  <c r="F1" i="26"/>
  <c r="F6" i="26" s="1"/>
  <c r="G6" i="26" s="1"/>
  <c r="F3" i="26"/>
  <c r="F7" i="26" s="1"/>
  <c r="K247" i="1"/>
  <c r="I57" i="5" s="1"/>
  <c r="H57" i="26"/>
  <c r="H87" i="35" s="1"/>
  <c r="G58" i="26"/>
  <c r="G88" i="35" s="1"/>
  <c r="H19" i="34"/>
  <c r="H55" i="26"/>
  <c r="H86" i="35" s="1"/>
  <c r="G2" i="26"/>
  <c r="H1" i="26" s="1"/>
  <c r="F5" i="26"/>
  <c r="I248" i="1"/>
  <c r="J246" i="1"/>
  <c r="I237" i="1"/>
  <c r="J237" i="1" s="1"/>
  <c r="K237" i="1" s="1"/>
  <c r="L237" i="1" s="1"/>
  <c r="M237" i="1" s="1"/>
  <c r="N237" i="1" s="1"/>
  <c r="O237" i="1" s="1"/>
  <c r="P237" i="1" s="1"/>
  <c r="Q237" i="1" s="1"/>
  <c r="R237" i="1" s="1"/>
  <c r="S237" i="1" s="1"/>
  <c r="T237" i="1" s="1"/>
  <c r="U237" i="1" s="1"/>
  <c r="V237" i="1" s="1"/>
  <c r="W237" i="1" s="1"/>
  <c r="X237" i="1" s="1"/>
  <c r="Y237" i="1" s="1"/>
  <c r="Z237" i="1" s="1"/>
  <c r="AA237" i="1" s="1"/>
  <c r="AB237" i="1" s="1"/>
  <c r="AC237" i="1" s="1"/>
  <c r="AD237" i="1" s="1"/>
  <c r="AE237" i="1" s="1"/>
  <c r="AF237" i="1" s="1"/>
  <c r="AG237" i="1" s="1"/>
  <c r="AH237" i="1" s="1"/>
  <c r="AI237" i="1" s="1"/>
  <c r="AJ237" i="1" s="1"/>
  <c r="AK237" i="1" s="1"/>
  <c r="K245" i="1"/>
  <c r="I55" i="5" s="1"/>
  <c r="J9" i="17"/>
  <c r="L8" i="17"/>
  <c r="F157" i="5" l="1"/>
  <c r="F154" i="5"/>
  <c r="F14" i="32" s="1"/>
  <c r="E154" i="5"/>
  <c r="E157" i="5"/>
  <c r="F209" i="5"/>
  <c r="G5" i="5"/>
  <c r="G6" i="27"/>
  <c r="H6" i="27"/>
  <c r="J6" i="27"/>
  <c r="K6" i="27" s="1"/>
  <c r="E469" i="5"/>
  <c r="E474" i="5" s="1"/>
  <c r="E450" i="5"/>
  <c r="G8" i="5"/>
  <c r="G9" i="5" s="1"/>
  <c r="F249" i="5"/>
  <c r="F165" i="5"/>
  <c r="F256" i="5" s="1"/>
  <c r="G461" i="5"/>
  <c r="G97" i="5"/>
  <c r="E319" i="5"/>
  <c r="E335" i="5" s="1"/>
  <c r="E97" i="5"/>
  <c r="F254" i="5"/>
  <c r="E9" i="5"/>
  <c r="E7" i="5"/>
  <c r="E116" i="5"/>
  <c r="E258" i="5" s="1"/>
  <c r="E105" i="5"/>
  <c r="E43" i="34" s="1"/>
  <c r="E111" i="5"/>
  <c r="E49" i="34" s="1"/>
  <c r="G251" i="5"/>
  <c r="G459" i="5"/>
  <c r="G467" i="5"/>
  <c r="G456" i="5"/>
  <c r="G465" i="5"/>
  <c r="H4" i="5"/>
  <c r="I2" i="5"/>
  <c r="H418" i="5"/>
  <c r="H417" i="5"/>
  <c r="H478" i="5" s="1"/>
  <c r="H435" i="5"/>
  <c r="H434" i="5"/>
  <c r="H6" i="5"/>
  <c r="F465" i="5"/>
  <c r="H56" i="26"/>
  <c r="H56" i="5"/>
  <c r="E124" i="5"/>
  <c r="E62" i="34" s="1"/>
  <c r="E281" i="5"/>
  <c r="E173" i="5"/>
  <c r="E257" i="5" s="1"/>
  <c r="F467" i="5"/>
  <c r="F7" i="5"/>
  <c r="F461" i="5"/>
  <c r="E139" i="5"/>
  <c r="E133" i="5"/>
  <c r="E71" i="34" s="1"/>
  <c r="E148" i="5"/>
  <c r="E150" i="5" s="1"/>
  <c r="E144" i="5"/>
  <c r="E145" i="5" s="1"/>
  <c r="F143" i="5" s="1"/>
  <c r="I9" i="27"/>
  <c r="D247" i="27" s="1"/>
  <c r="F8" i="32"/>
  <c r="F7" i="32" s="1"/>
  <c r="F7" i="33"/>
  <c r="E61" i="34"/>
  <c r="E70" i="34"/>
  <c r="H2" i="33"/>
  <c r="G6" i="33"/>
  <c r="G4" i="33"/>
  <c r="H2" i="32"/>
  <c r="G6" i="32"/>
  <c r="G4" i="32"/>
  <c r="G5" i="32" s="1"/>
  <c r="F5" i="35"/>
  <c r="F3" i="35"/>
  <c r="F7" i="35" s="1"/>
  <c r="G2" i="35"/>
  <c r="G1" i="35"/>
  <c r="G6" i="35" s="1"/>
  <c r="E4" i="35"/>
  <c r="F5" i="34"/>
  <c r="F5" i="33"/>
  <c r="G6" i="34"/>
  <c r="G4" i="34"/>
  <c r="G8" i="34" s="1"/>
  <c r="H2" i="34"/>
  <c r="F7" i="34"/>
  <c r="E9" i="32"/>
  <c r="E10" i="32" s="1"/>
  <c r="E7" i="35"/>
  <c r="E9" i="35" s="1"/>
  <c r="E10" i="35" s="1"/>
  <c r="F2" i="21"/>
  <c r="U37" i="21"/>
  <c r="N37" i="21"/>
  <c r="O37" i="21"/>
  <c r="J248" i="1"/>
  <c r="H58" i="5" s="1"/>
  <c r="V37" i="21"/>
  <c r="F8" i="26"/>
  <c r="H6" i="26"/>
  <c r="E8" i="26"/>
  <c r="E4" i="26"/>
  <c r="E9" i="26"/>
  <c r="E10" i="26" s="1"/>
  <c r="G3" i="26"/>
  <c r="G7" i="26" s="1"/>
  <c r="F4" i="26"/>
  <c r="F9" i="26"/>
  <c r="H2" i="26"/>
  <c r="I1" i="26" s="1"/>
  <c r="G5" i="26"/>
  <c r="I19" i="34"/>
  <c r="I55" i="26"/>
  <c r="I86" i="35" s="1"/>
  <c r="L247" i="1"/>
  <c r="J57" i="5" s="1"/>
  <c r="I57" i="26"/>
  <c r="I87" i="35" s="1"/>
  <c r="L245" i="1"/>
  <c r="J55" i="5" s="1"/>
  <c r="K246" i="1"/>
  <c r="J10" i="17"/>
  <c r="L9" i="17"/>
  <c r="G37" i="21"/>
  <c r="X37" i="21" s="1"/>
  <c r="E253" i="1"/>
  <c r="E250" i="1"/>
  <c r="G154" i="5" l="1"/>
  <c r="G157" i="5"/>
  <c r="G254" i="5"/>
  <c r="G209" i="5"/>
  <c r="G7" i="5"/>
  <c r="G249" i="5"/>
  <c r="G326" i="5" s="1"/>
  <c r="G469" i="5"/>
  <c r="G474" i="5" s="1"/>
  <c r="F469" i="5"/>
  <c r="F474" i="5" s="1"/>
  <c r="G165" i="5"/>
  <c r="E320" i="5"/>
  <c r="E336" i="5" s="1"/>
  <c r="E249" i="5"/>
  <c r="E10" i="5"/>
  <c r="E179" i="5"/>
  <c r="E180" i="5"/>
  <c r="E178" i="5"/>
  <c r="H5" i="5"/>
  <c r="O2" i="21"/>
  <c r="F16" i="5"/>
  <c r="G131" i="5"/>
  <c r="G103" i="5"/>
  <c r="G110" i="5" s="1"/>
  <c r="E131" i="5"/>
  <c r="E103" i="5"/>
  <c r="E35" i="34"/>
  <c r="I6" i="5"/>
  <c r="J2" i="5"/>
  <c r="I418" i="5"/>
  <c r="I417" i="5"/>
  <c r="I478" i="5" s="1"/>
  <c r="I435" i="5"/>
  <c r="I434" i="5"/>
  <c r="I4" i="5"/>
  <c r="H465" i="5"/>
  <c r="H251" i="5"/>
  <c r="H459" i="5"/>
  <c r="H467" i="5"/>
  <c r="H456" i="5"/>
  <c r="E175" i="5"/>
  <c r="E216" i="5" s="1"/>
  <c r="F319" i="5"/>
  <c r="F335" i="5" s="1"/>
  <c r="E20" i="32"/>
  <c r="I56" i="26"/>
  <c r="I56" i="5"/>
  <c r="H8" i="5"/>
  <c r="H9" i="5" s="1"/>
  <c r="E322" i="5"/>
  <c r="E117" i="5"/>
  <c r="F326" i="5"/>
  <c r="F233" i="5"/>
  <c r="F37" i="32"/>
  <c r="F9" i="32"/>
  <c r="F10" i="32" s="1"/>
  <c r="H250" i="1"/>
  <c r="H11" i="38" s="1"/>
  <c r="F20" i="32"/>
  <c r="G9" i="27"/>
  <c r="H9" i="27"/>
  <c r="K9" i="27"/>
  <c r="J9" i="27"/>
  <c r="E247" i="27" s="1"/>
  <c r="F250" i="1"/>
  <c r="F253" i="1"/>
  <c r="G7" i="34"/>
  <c r="G8" i="32"/>
  <c r="G9" i="32" s="1"/>
  <c r="V2" i="21"/>
  <c r="D285" i="1" s="1"/>
  <c r="D2" i="21"/>
  <c r="D16" i="5" s="1"/>
  <c r="D16" i="26" s="1"/>
  <c r="E22" i="32"/>
  <c r="E54" i="34"/>
  <c r="Q37" i="21"/>
  <c r="F4" i="35"/>
  <c r="E8" i="35"/>
  <c r="G3" i="35"/>
  <c r="G7" i="35" s="1"/>
  <c r="H1" i="35"/>
  <c r="H6" i="35" s="1"/>
  <c r="H2" i="35"/>
  <c r="G5" i="35"/>
  <c r="F8" i="35"/>
  <c r="F9" i="35"/>
  <c r="F10" i="35" s="1"/>
  <c r="H4" i="34"/>
  <c r="H5" i="34" s="1"/>
  <c r="I2" i="34"/>
  <c r="H6" i="34"/>
  <c r="E14" i="32"/>
  <c r="G5" i="34"/>
  <c r="I2" i="32"/>
  <c r="H6" i="32"/>
  <c r="H4" i="32"/>
  <c r="H8" i="32" s="1"/>
  <c r="E27" i="33"/>
  <c r="E14" i="33"/>
  <c r="G8" i="33"/>
  <c r="G7" i="33" s="1"/>
  <c r="G5" i="33"/>
  <c r="H6" i="33"/>
  <c r="H4" i="33"/>
  <c r="I2" i="33"/>
  <c r="N2" i="21"/>
  <c r="U2" i="21"/>
  <c r="D273" i="1" s="1"/>
  <c r="P37" i="21"/>
  <c r="H58" i="26"/>
  <c r="H88" i="35" s="1"/>
  <c r="I6" i="26"/>
  <c r="W37" i="21"/>
  <c r="G8" i="26"/>
  <c r="E76" i="26"/>
  <c r="E97" i="35" s="1"/>
  <c r="E86" i="26"/>
  <c r="F10" i="26"/>
  <c r="F86" i="26" s="1"/>
  <c r="G9" i="26"/>
  <c r="H3" i="26"/>
  <c r="H7" i="26" s="1"/>
  <c r="G4" i="26"/>
  <c r="I2" i="26"/>
  <c r="H5" i="26"/>
  <c r="M247" i="1"/>
  <c r="K57" i="5" s="1"/>
  <c r="J57" i="26"/>
  <c r="J87" i="35" s="1"/>
  <c r="J19" i="34"/>
  <c r="J55" i="26"/>
  <c r="J86" i="35" s="1"/>
  <c r="G2" i="21"/>
  <c r="L246" i="1"/>
  <c r="J56" i="5" s="1"/>
  <c r="K248" i="1"/>
  <c r="I58" i="5" s="1"/>
  <c r="M245" i="1"/>
  <c r="K55" i="5" s="1"/>
  <c r="J11" i="17"/>
  <c r="L10" i="17"/>
  <c r="H37" i="21"/>
  <c r="AC7" i="27" l="1"/>
  <c r="F247" i="27"/>
  <c r="H209" i="5"/>
  <c r="H154" i="5"/>
  <c r="H157" i="5"/>
  <c r="G233" i="5"/>
  <c r="I8" i="5"/>
  <c r="I9" i="5" s="1"/>
  <c r="I249" i="5" s="1"/>
  <c r="I233" i="5" s="1"/>
  <c r="H254" i="5"/>
  <c r="G319" i="5"/>
  <c r="G335" i="5" s="1"/>
  <c r="G256" i="5"/>
  <c r="G20" i="32" s="1"/>
  <c r="H461" i="5"/>
  <c r="H249" i="5"/>
  <c r="H165" i="5"/>
  <c r="H256" i="5" s="1"/>
  <c r="E181" i="5"/>
  <c r="E110" i="5"/>
  <c r="E112" i="5" s="1"/>
  <c r="F109" i="5" s="1"/>
  <c r="E106" i="5"/>
  <c r="E41" i="34"/>
  <c r="E272" i="5"/>
  <c r="E267" i="5"/>
  <c r="E274" i="5"/>
  <c r="E276" i="5"/>
  <c r="E268" i="5"/>
  <c r="E271" i="5"/>
  <c r="E275" i="5"/>
  <c r="E449" i="5"/>
  <c r="E269" i="5"/>
  <c r="E273" i="5"/>
  <c r="E270" i="5"/>
  <c r="E122" i="5"/>
  <c r="E125" i="5" s="1"/>
  <c r="E63" i="34" s="1"/>
  <c r="E138" i="5"/>
  <c r="E140" i="5" s="1"/>
  <c r="F137" i="5" s="1"/>
  <c r="E134" i="5"/>
  <c r="E69" i="34"/>
  <c r="F10" i="5"/>
  <c r="E76" i="5"/>
  <c r="E86" i="5"/>
  <c r="G122" i="5"/>
  <c r="G138" i="5"/>
  <c r="E233" i="5"/>
  <c r="E326" i="5"/>
  <c r="I251" i="5"/>
  <c r="I456" i="5"/>
  <c r="I459" i="5"/>
  <c r="I467" i="5"/>
  <c r="I465" i="5"/>
  <c r="F16" i="26"/>
  <c r="H7" i="5"/>
  <c r="F358" i="5"/>
  <c r="F414" i="5"/>
  <c r="E369" i="5"/>
  <c r="E56" i="33" s="1"/>
  <c r="F115" i="5"/>
  <c r="F53" i="34" s="1"/>
  <c r="X2" i="21"/>
  <c r="G16" i="5"/>
  <c r="E396" i="5"/>
  <c r="E280" i="5"/>
  <c r="E410" i="5"/>
  <c r="E426" i="5" s="1"/>
  <c r="H469" i="5"/>
  <c r="H474" i="5" s="1"/>
  <c r="G358" i="5"/>
  <c r="G414" i="5"/>
  <c r="E477" i="5"/>
  <c r="E21" i="32"/>
  <c r="J417" i="5"/>
  <c r="J478" i="5" s="1"/>
  <c r="J435" i="5"/>
  <c r="J434" i="5"/>
  <c r="J4" i="5"/>
  <c r="J6" i="5"/>
  <c r="K2" i="5"/>
  <c r="J418" i="5"/>
  <c r="I5" i="5"/>
  <c r="H97" i="5"/>
  <c r="H35" i="34" s="1"/>
  <c r="H253" i="1"/>
  <c r="G37" i="32"/>
  <c r="G14" i="32"/>
  <c r="G7" i="32"/>
  <c r="G10" i="32"/>
  <c r="R37" i="21"/>
  <c r="W2" i="21"/>
  <c r="F27" i="33"/>
  <c r="G8" i="35"/>
  <c r="H7" i="32"/>
  <c r="E55" i="34"/>
  <c r="E17" i="33"/>
  <c r="H8" i="34"/>
  <c r="H7" i="34" s="1"/>
  <c r="I4" i="33"/>
  <c r="I5" i="33" s="1"/>
  <c r="I6" i="33"/>
  <c r="J2" i="33"/>
  <c r="H5" i="32"/>
  <c r="I6" i="34"/>
  <c r="J2" i="34"/>
  <c r="I4" i="34"/>
  <c r="I5" i="34" s="1"/>
  <c r="H5" i="33"/>
  <c r="H9" i="32"/>
  <c r="I4" i="32"/>
  <c r="I8" i="32" s="1"/>
  <c r="J2" i="32"/>
  <c r="I6" i="32"/>
  <c r="H8" i="33"/>
  <c r="H7" i="33" s="1"/>
  <c r="E15" i="32"/>
  <c r="G9" i="35"/>
  <c r="G10" i="35" s="1"/>
  <c r="I1" i="35"/>
  <c r="I6" i="35" s="1"/>
  <c r="H5" i="35"/>
  <c r="H3" i="35"/>
  <c r="H4" i="35" s="1"/>
  <c r="I2" i="35"/>
  <c r="G4" i="35"/>
  <c r="E28" i="33"/>
  <c r="E15" i="33"/>
  <c r="F76" i="26"/>
  <c r="F97" i="35" s="1"/>
  <c r="H8" i="26"/>
  <c r="Y37" i="21"/>
  <c r="G10" i="26"/>
  <c r="G76" i="26" s="1"/>
  <c r="G97" i="35" s="1"/>
  <c r="I3" i="26"/>
  <c r="I7" i="26" s="1"/>
  <c r="J1" i="26"/>
  <c r="J6" i="26" s="1"/>
  <c r="H9" i="26"/>
  <c r="J2" i="26"/>
  <c r="I5" i="26"/>
  <c r="K19" i="34"/>
  <c r="K55" i="26"/>
  <c r="K86" i="35" s="1"/>
  <c r="I58" i="26"/>
  <c r="I88" i="35" s="1"/>
  <c r="H4" i="26"/>
  <c r="L248" i="1"/>
  <c r="J58" i="5" s="1"/>
  <c r="J56" i="26"/>
  <c r="N247" i="1"/>
  <c r="L57" i="5" s="1"/>
  <c r="K57" i="26"/>
  <c r="K87" i="35" s="1"/>
  <c r="H2" i="21"/>
  <c r="N245" i="1"/>
  <c r="L55" i="5" s="1"/>
  <c r="M246" i="1"/>
  <c r="I250" i="1"/>
  <c r="I253" i="1"/>
  <c r="J12" i="17"/>
  <c r="L11" i="17"/>
  <c r="I7" i="5" l="1"/>
  <c r="I209" i="5"/>
  <c r="I154" i="5"/>
  <c r="I157" i="5"/>
  <c r="F158" i="5"/>
  <c r="F156" i="5" s="1"/>
  <c r="F152" i="5" s="1"/>
  <c r="H16" i="5"/>
  <c r="H16" i="26" s="1"/>
  <c r="I165" i="5"/>
  <c r="I256" i="5" s="1"/>
  <c r="E454" i="5"/>
  <c r="E453" i="5"/>
  <c r="I326" i="5"/>
  <c r="I414" i="5" s="1"/>
  <c r="E48" i="34"/>
  <c r="E60" i="34"/>
  <c r="I469" i="5"/>
  <c r="I474" i="5" s="1"/>
  <c r="E191" i="5"/>
  <c r="E353" i="5"/>
  <c r="E107" i="5"/>
  <c r="E45" i="34" s="1"/>
  <c r="F102" i="5"/>
  <c r="F40" i="34" s="1"/>
  <c r="E368" i="5"/>
  <c r="E44" i="34"/>
  <c r="I97" i="5"/>
  <c r="I35" i="34" s="1"/>
  <c r="E352" i="5"/>
  <c r="E42" i="33" s="1"/>
  <c r="E229" i="5"/>
  <c r="E24" i="34"/>
  <c r="E457" i="5"/>
  <c r="E460" i="5" s="1"/>
  <c r="E462" i="5" s="1"/>
  <c r="E473" i="5" s="1"/>
  <c r="E451" i="5"/>
  <c r="G10" i="5"/>
  <c r="F445" i="5"/>
  <c r="F170" i="5"/>
  <c r="F169" i="5"/>
  <c r="F171" i="5"/>
  <c r="F168" i="5"/>
  <c r="F167" i="5"/>
  <c r="E183" i="5"/>
  <c r="E341" i="5"/>
  <c r="E33" i="33" s="1"/>
  <c r="E224" i="5"/>
  <c r="K56" i="26"/>
  <c r="K56" i="5"/>
  <c r="L2" i="5"/>
  <c r="K6" i="5"/>
  <c r="K435" i="5"/>
  <c r="K417" i="5"/>
  <c r="K478" i="5" s="1"/>
  <c r="K418" i="5"/>
  <c r="K434" i="5"/>
  <c r="K4" i="5"/>
  <c r="J8" i="5"/>
  <c r="J7" i="5" s="1"/>
  <c r="J251" i="5"/>
  <c r="J459" i="5"/>
  <c r="J456" i="5"/>
  <c r="J465" i="5"/>
  <c r="J467" i="5"/>
  <c r="E414" i="5"/>
  <c r="E358" i="5"/>
  <c r="F130" i="5"/>
  <c r="F68" i="34" s="1"/>
  <c r="E135" i="5"/>
  <c r="E72" i="34"/>
  <c r="H20" i="32"/>
  <c r="H319" i="5"/>
  <c r="H335" i="5" s="1"/>
  <c r="F121" i="5"/>
  <c r="F59" i="34" s="1"/>
  <c r="E126" i="5"/>
  <c r="E64" i="34" s="1"/>
  <c r="I254" i="5"/>
  <c r="I37" i="32" s="1"/>
  <c r="J5" i="5"/>
  <c r="H103" i="5"/>
  <c r="H110" i="5" s="1"/>
  <c r="H131" i="5"/>
  <c r="H69" i="34" s="1"/>
  <c r="G16" i="26"/>
  <c r="I461" i="5"/>
  <c r="H233" i="5"/>
  <c r="H326" i="5"/>
  <c r="H37" i="32"/>
  <c r="H10" i="32"/>
  <c r="F14" i="33"/>
  <c r="I8" i="33"/>
  <c r="I7" i="33" s="1"/>
  <c r="F47" i="34"/>
  <c r="E50" i="34"/>
  <c r="I8" i="34"/>
  <c r="I7" i="34" s="1"/>
  <c r="H7" i="35"/>
  <c r="H8" i="35" s="1"/>
  <c r="K2" i="34"/>
  <c r="J4" i="34"/>
  <c r="J8" i="34" s="1"/>
  <c r="J6" i="34"/>
  <c r="I5" i="32"/>
  <c r="G15" i="32"/>
  <c r="I7" i="32"/>
  <c r="I9" i="32"/>
  <c r="K2" i="32"/>
  <c r="J6" i="32"/>
  <c r="J4" i="32"/>
  <c r="J8" i="32" s="1"/>
  <c r="I5" i="35"/>
  <c r="J1" i="35"/>
  <c r="J6" i="35" s="1"/>
  <c r="I3" i="35"/>
  <c r="I7" i="35" s="1"/>
  <c r="J2" i="35"/>
  <c r="G27" i="33"/>
  <c r="G14" i="33"/>
  <c r="J4" i="33"/>
  <c r="K2" i="33"/>
  <c r="J6" i="33"/>
  <c r="H14" i="32"/>
  <c r="F15" i="32"/>
  <c r="E310" i="1"/>
  <c r="E55" i="35" s="1"/>
  <c r="K310" i="1"/>
  <c r="J55" i="35" s="1"/>
  <c r="J310" i="1"/>
  <c r="I55" i="35" s="1"/>
  <c r="F310" i="1"/>
  <c r="F55" i="35" s="1"/>
  <c r="H310" i="1"/>
  <c r="G55" i="35" s="1"/>
  <c r="I310" i="1"/>
  <c r="H55" i="35" s="1"/>
  <c r="I298" i="1"/>
  <c r="H43" i="35" s="1"/>
  <c r="H298" i="1"/>
  <c r="G43" i="35" s="1"/>
  <c r="F298" i="1"/>
  <c r="F43" i="35" s="1"/>
  <c r="E298" i="1"/>
  <c r="E43" i="35" s="1"/>
  <c r="J298" i="1"/>
  <c r="I43" i="35" s="1"/>
  <c r="K298" i="1"/>
  <c r="J43" i="35" s="1"/>
  <c r="G86" i="26"/>
  <c r="H10" i="26"/>
  <c r="H76" i="26" s="1"/>
  <c r="H97" i="35" s="1"/>
  <c r="I8" i="26"/>
  <c r="Y2" i="21"/>
  <c r="J3" i="26"/>
  <c r="J7" i="26" s="1"/>
  <c r="K1" i="26"/>
  <c r="K6" i="26" s="1"/>
  <c r="I9" i="26"/>
  <c r="I4" i="26"/>
  <c r="S2" i="21"/>
  <c r="O247" i="1"/>
  <c r="M57" i="5" s="1"/>
  <c r="L57" i="26"/>
  <c r="L87" i="35" s="1"/>
  <c r="K2" i="26"/>
  <c r="L1" i="26" s="1"/>
  <c r="J5" i="26"/>
  <c r="L19" i="34"/>
  <c r="L55" i="26"/>
  <c r="L86" i="35" s="1"/>
  <c r="J58" i="26"/>
  <c r="J88" i="35" s="1"/>
  <c r="P2" i="21"/>
  <c r="Q2" i="21"/>
  <c r="N246" i="1"/>
  <c r="L56" i="5" s="1"/>
  <c r="O245" i="1"/>
  <c r="M55" i="5" s="1"/>
  <c r="M248" i="1"/>
  <c r="K58" i="5" s="1"/>
  <c r="J250" i="1"/>
  <c r="J253" i="1"/>
  <c r="J13" i="17"/>
  <c r="L12" i="17"/>
  <c r="J209" i="5" l="1"/>
  <c r="J154" i="5"/>
  <c r="J157" i="5"/>
  <c r="F449" i="5"/>
  <c r="F457" i="5" s="1"/>
  <c r="F460" i="5" s="1"/>
  <c r="F462" i="5" s="1"/>
  <c r="F473" i="5" s="1"/>
  <c r="F267" i="5"/>
  <c r="F275" i="5"/>
  <c r="I358" i="5"/>
  <c r="G158" i="5"/>
  <c r="G156" i="5" s="1"/>
  <c r="I319" i="5"/>
  <c r="I335" i="5" s="1"/>
  <c r="K8" i="5"/>
  <c r="K7" i="5" s="1"/>
  <c r="J461" i="5"/>
  <c r="E472" i="5"/>
  <c r="E475" i="5" s="1"/>
  <c r="E452" i="5"/>
  <c r="D55" i="35"/>
  <c r="D43" i="35"/>
  <c r="K253" i="1"/>
  <c r="J469" i="5"/>
  <c r="J474" i="5" s="1"/>
  <c r="J9" i="5"/>
  <c r="H10" i="5"/>
  <c r="G445" i="5"/>
  <c r="G167" i="5"/>
  <c r="G170" i="5"/>
  <c r="G168" i="5"/>
  <c r="G171" i="5"/>
  <c r="G169" i="5"/>
  <c r="H122" i="5"/>
  <c r="H60" i="34" s="1"/>
  <c r="H138" i="5"/>
  <c r="E370" i="5"/>
  <c r="E57" i="33" s="1"/>
  <c r="E55" i="33"/>
  <c r="K251" i="5"/>
  <c r="K456" i="5"/>
  <c r="K465" i="5"/>
  <c r="K459" i="5"/>
  <c r="K467" i="5"/>
  <c r="K5" i="5"/>
  <c r="E415" i="5"/>
  <c r="E428" i="5" s="1"/>
  <c r="E373" i="5"/>
  <c r="E60" i="33" s="1"/>
  <c r="J97" i="5"/>
  <c r="E225" i="5"/>
  <c r="E186" i="5"/>
  <c r="E260" i="5" s="1"/>
  <c r="E355" i="5"/>
  <c r="E43" i="33" s="1"/>
  <c r="H414" i="5"/>
  <c r="H358" i="5"/>
  <c r="E401" i="5"/>
  <c r="E427" i="5"/>
  <c r="J254" i="5"/>
  <c r="J37" i="32" s="1"/>
  <c r="L4" i="5"/>
  <c r="L6" i="5"/>
  <c r="L417" i="5"/>
  <c r="L478" i="5" s="1"/>
  <c r="M2" i="5"/>
  <c r="L418" i="5"/>
  <c r="L434" i="5"/>
  <c r="L435" i="5"/>
  <c r="I103" i="5"/>
  <c r="I110" i="5" s="1"/>
  <c r="I131" i="5"/>
  <c r="I69" i="34" s="1"/>
  <c r="I10" i="32"/>
  <c r="J7" i="34"/>
  <c r="H9" i="35"/>
  <c r="H10" i="35" s="1"/>
  <c r="H48" i="34"/>
  <c r="H41" i="34"/>
  <c r="I4" i="35"/>
  <c r="I8" i="35"/>
  <c r="K6" i="33"/>
  <c r="K4" i="33"/>
  <c r="K8" i="33" s="1"/>
  <c r="L2" i="33"/>
  <c r="H27" i="33"/>
  <c r="H14" i="33"/>
  <c r="J5" i="33"/>
  <c r="J9" i="32"/>
  <c r="J7" i="32"/>
  <c r="K4" i="32"/>
  <c r="K8" i="32" s="1"/>
  <c r="K6" i="32"/>
  <c r="L2" i="32"/>
  <c r="D310" i="1"/>
  <c r="J5" i="32"/>
  <c r="I14" i="32"/>
  <c r="H15" i="32"/>
  <c r="D298" i="1"/>
  <c r="I9" i="35"/>
  <c r="J5" i="35"/>
  <c r="J3" i="35"/>
  <c r="J7" i="35" s="1"/>
  <c r="K2" i="35"/>
  <c r="K1" i="35"/>
  <c r="K6" i="35" s="1"/>
  <c r="J5" i="34"/>
  <c r="J8" i="33"/>
  <c r="J7" i="33" s="1"/>
  <c r="K4" i="34"/>
  <c r="K8" i="34" s="1"/>
  <c r="K6" i="34"/>
  <c r="L2" i="34"/>
  <c r="H86" i="26"/>
  <c r="I10" i="26"/>
  <c r="I86" i="26" s="1"/>
  <c r="J8" i="26"/>
  <c r="L9" i="13"/>
  <c r="L6" i="26"/>
  <c r="K3" i="26"/>
  <c r="K7" i="26" s="1"/>
  <c r="J4" i="26"/>
  <c r="J9" i="26"/>
  <c r="L2" i="26"/>
  <c r="M1" i="26" s="1"/>
  <c r="K5" i="26"/>
  <c r="M19" i="34"/>
  <c r="M55" i="26"/>
  <c r="N248" i="1"/>
  <c r="L58" i="5" s="1"/>
  <c r="L56" i="26"/>
  <c r="K58" i="26"/>
  <c r="K88" i="35" s="1"/>
  <c r="P247" i="1"/>
  <c r="N57" i="5" s="1"/>
  <c r="M57" i="26"/>
  <c r="R2" i="21"/>
  <c r="K250" i="1"/>
  <c r="P245" i="1"/>
  <c r="N55" i="5" s="1"/>
  <c r="O246" i="1"/>
  <c r="M56" i="5" s="1"/>
  <c r="J14" i="17"/>
  <c r="L13" i="17"/>
  <c r="F453" i="5" l="1"/>
  <c r="G275" i="5"/>
  <c r="G449" i="5"/>
  <c r="G453" i="5" s="1"/>
  <c r="K209" i="5"/>
  <c r="K157" i="5"/>
  <c r="K154" i="5"/>
  <c r="G267" i="5"/>
  <c r="K9" i="5"/>
  <c r="K249" i="5" s="1"/>
  <c r="K233" i="5" s="1"/>
  <c r="H158" i="5"/>
  <c r="H156" i="5" s="1"/>
  <c r="J249" i="5"/>
  <c r="J233" i="5" s="1"/>
  <c r="J165" i="5"/>
  <c r="J256" i="5" s="1"/>
  <c r="J20" i="32" s="1"/>
  <c r="K461" i="5"/>
  <c r="L8" i="5"/>
  <c r="L9" i="5" s="1"/>
  <c r="J10" i="32"/>
  <c r="K254" i="5"/>
  <c r="K37" i="32" s="1"/>
  <c r="K469" i="5"/>
  <c r="K474" i="5" s="1"/>
  <c r="L5" i="5"/>
  <c r="K97" i="5"/>
  <c r="I138" i="5"/>
  <c r="I122" i="5"/>
  <c r="I60" i="34" s="1"/>
  <c r="E387" i="5"/>
  <c r="E71" i="33" s="1"/>
  <c r="E433" i="5"/>
  <c r="N2" i="5"/>
  <c r="M4" i="5"/>
  <c r="M6" i="5"/>
  <c r="M434" i="5"/>
  <c r="M418" i="5"/>
  <c r="M417" i="5"/>
  <c r="M478" i="5" s="1"/>
  <c r="M435" i="5"/>
  <c r="E325" i="5"/>
  <c r="E20" i="33" s="1"/>
  <c r="E219" i="5"/>
  <c r="I10" i="5"/>
  <c r="H445" i="5"/>
  <c r="H167" i="5"/>
  <c r="H170" i="5"/>
  <c r="H168" i="5"/>
  <c r="H171" i="5"/>
  <c r="H169" i="5"/>
  <c r="L467" i="5"/>
  <c r="L251" i="5"/>
  <c r="L459" i="5"/>
  <c r="L456" i="5"/>
  <c r="L465" i="5"/>
  <c r="J131" i="5"/>
  <c r="J103" i="5"/>
  <c r="J110" i="5" s="1"/>
  <c r="I20" i="32"/>
  <c r="I10" i="35"/>
  <c r="K5" i="32"/>
  <c r="K5" i="33"/>
  <c r="J9" i="35"/>
  <c r="I48" i="34"/>
  <c r="I41" i="34"/>
  <c r="J35" i="34"/>
  <c r="K7" i="34"/>
  <c r="K5" i="34"/>
  <c r="J14" i="32"/>
  <c r="I27" i="33"/>
  <c r="I14" i="33"/>
  <c r="I15" i="32"/>
  <c r="L6" i="34"/>
  <c r="L4" i="34"/>
  <c r="L5" i="34" s="1"/>
  <c r="M2" i="34"/>
  <c r="L1" i="35"/>
  <c r="L6" i="35" s="1"/>
  <c r="K5" i="35"/>
  <c r="K3" i="35"/>
  <c r="K4" i="35" s="1"/>
  <c r="L2" i="35"/>
  <c r="L6" i="33"/>
  <c r="L4" i="33"/>
  <c r="M2" i="33"/>
  <c r="J4" i="35"/>
  <c r="J8" i="35"/>
  <c r="L6" i="32"/>
  <c r="L4" i="32"/>
  <c r="M2" i="32"/>
  <c r="K9" i="32"/>
  <c r="K7" i="32"/>
  <c r="K7" i="33"/>
  <c r="J10" i="26"/>
  <c r="J76" i="26" s="1"/>
  <c r="J97" i="35" s="1"/>
  <c r="I76" i="26"/>
  <c r="I97" i="35" s="1"/>
  <c r="M6" i="26"/>
  <c r="K8" i="26"/>
  <c r="K9" i="26"/>
  <c r="L3" i="26"/>
  <c r="L7" i="26" s="1"/>
  <c r="Q247" i="1"/>
  <c r="O57" i="5" s="1"/>
  <c r="N57" i="26"/>
  <c r="O248" i="1"/>
  <c r="M58" i="5" s="1"/>
  <c r="M56" i="26"/>
  <c r="L58" i="26"/>
  <c r="L88" i="35" s="1"/>
  <c r="N19" i="34"/>
  <c r="N55" i="26"/>
  <c r="K4" i="26"/>
  <c r="M2" i="26"/>
  <c r="N1" i="26" s="1"/>
  <c r="L5" i="26"/>
  <c r="L253" i="1"/>
  <c r="P246" i="1"/>
  <c r="N56" i="5" s="1"/>
  <c r="Q245" i="1"/>
  <c r="O55" i="5" s="1"/>
  <c r="L250" i="1"/>
  <c r="J15" i="17"/>
  <c r="L14" i="17"/>
  <c r="H275" i="5" l="1"/>
  <c r="G457" i="5"/>
  <c r="G460" i="5" s="1"/>
  <c r="G462" i="5" s="1"/>
  <c r="G473" i="5" s="1"/>
  <c r="J326" i="5"/>
  <c r="J358" i="5" s="1"/>
  <c r="K326" i="5"/>
  <c r="K165" i="5"/>
  <c r="K256" i="5" s="1"/>
  <c r="K20" i="32" s="1"/>
  <c r="L209" i="5"/>
  <c r="L154" i="5"/>
  <c r="L157" i="5"/>
  <c r="H267" i="5"/>
  <c r="H449" i="5"/>
  <c r="H457" i="5" s="1"/>
  <c r="H460" i="5" s="1"/>
  <c r="H462" i="5" s="1"/>
  <c r="H473" i="5" s="1"/>
  <c r="I158" i="5"/>
  <c r="I267" i="5" s="1"/>
  <c r="L249" i="5"/>
  <c r="L326" i="5" s="1"/>
  <c r="L7" i="5"/>
  <c r="K10" i="32"/>
  <c r="L461" i="5"/>
  <c r="J319" i="5"/>
  <c r="J335" i="5" s="1"/>
  <c r="J27" i="33" s="1"/>
  <c r="M8" i="5"/>
  <c r="M9" i="5" s="1"/>
  <c r="M249" i="5" s="1"/>
  <c r="M5" i="5"/>
  <c r="L254" i="5"/>
  <c r="L37" i="32" s="1"/>
  <c r="J414" i="5"/>
  <c r="L469" i="5"/>
  <c r="L474" i="5" s="1"/>
  <c r="L97" i="5"/>
  <c r="L35" i="34" s="1"/>
  <c r="I171" i="5"/>
  <c r="J10" i="5"/>
  <c r="I170" i="5"/>
  <c r="I445" i="5"/>
  <c r="I168" i="5"/>
  <c r="I167" i="5"/>
  <c r="I169" i="5"/>
  <c r="M467" i="5"/>
  <c r="M465" i="5"/>
  <c r="M456" i="5"/>
  <c r="M459" i="5"/>
  <c r="M251" i="5"/>
  <c r="N418" i="5"/>
  <c r="N435" i="5"/>
  <c r="N434" i="5"/>
  <c r="O2" i="5"/>
  <c r="N4" i="5"/>
  <c r="N6" i="5"/>
  <c r="N417" i="5"/>
  <c r="N478" i="5" s="1"/>
  <c r="J10" i="35"/>
  <c r="J138" i="5"/>
  <c r="J122" i="5"/>
  <c r="J60" i="34" s="1"/>
  <c r="L165" i="5"/>
  <c r="L256" i="5" s="1"/>
  <c r="E357" i="5"/>
  <c r="E45" i="33" s="1"/>
  <c r="E413" i="5"/>
  <c r="K103" i="5"/>
  <c r="K110" i="5" s="1"/>
  <c r="K48" i="34" s="1"/>
  <c r="K131" i="5"/>
  <c r="K35" i="34"/>
  <c r="K358" i="5"/>
  <c r="K414" i="5"/>
  <c r="N6" i="26"/>
  <c r="J69" i="34"/>
  <c r="J48" i="34"/>
  <c r="J41" i="34"/>
  <c r="L8" i="34"/>
  <c r="L7" i="34" s="1"/>
  <c r="M6" i="34"/>
  <c r="M4" i="34"/>
  <c r="M5" i="34" s="1"/>
  <c r="N2" i="34"/>
  <c r="M6" i="33"/>
  <c r="N2" i="33"/>
  <c r="M4" i="33"/>
  <c r="M5" i="33" s="1"/>
  <c r="L8" i="33"/>
  <c r="L7" i="33" s="1"/>
  <c r="L5" i="33"/>
  <c r="K14" i="32"/>
  <c r="K7" i="35"/>
  <c r="K9" i="35" s="1"/>
  <c r="J15" i="32"/>
  <c r="L5" i="35"/>
  <c r="L3" i="35"/>
  <c r="L7" i="35" s="1"/>
  <c r="N2" i="32"/>
  <c r="M4" i="32"/>
  <c r="M5" i="32" s="1"/>
  <c r="M6" i="32"/>
  <c r="L8" i="32"/>
  <c r="L7" i="32" s="1"/>
  <c r="L5" i="32"/>
  <c r="K10" i="26"/>
  <c r="J86" i="26"/>
  <c r="L8" i="26"/>
  <c r="M3" i="26"/>
  <c r="M7" i="26" s="1"/>
  <c r="L4" i="26"/>
  <c r="M58" i="26"/>
  <c r="R247" i="1"/>
  <c r="P57" i="5" s="1"/>
  <c r="O57" i="26"/>
  <c r="N2" i="26"/>
  <c r="O1" i="26" s="1"/>
  <c r="M5" i="26"/>
  <c r="O19" i="34"/>
  <c r="O55" i="26"/>
  <c r="P248" i="1"/>
  <c r="N58" i="5" s="1"/>
  <c r="N56" i="26"/>
  <c r="L9" i="26"/>
  <c r="R245" i="1"/>
  <c r="P55" i="5" s="1"/>
  <c r="Q246" i="1"/>
  <c r="M253" i="1"/>
  <c r="M250" i="1"/>
  <c r="J16" i="17"/>
  <c r="L15" i="17"/>
  <c r="K319" i="5" l="1"/>
  <c r="K335" i="5" s="1"/>
  <c r="K27" i="33" s="1"/>
  <c r="L233" i="5"/>
  <c r="M157" i="5"/>
  <c r="M154" i="5"/>
  <c r="M209" i="5"/>
  <c r="H453" i="5"/>
  <c r="J14" i="33"/>
  <c r="I449" i="5"/>
  <c r="I453" i="5" s="1"/>
  <c r="J158" i="5"/>
  <c r="J156" i="5" s="1"/>
  <c r="I156" i="5"/>
  <c r="I275" i="5"/>
  <c r="M97" i="5"/>
  <c r="M103" i="5" s="1"/>
  <c r="M110" i="5" s="1"/>
  <c r="M461" i="5"/>
  <c r="N8" i="5"/>
  <c r="N9" i="5" s="1"/>
  <c r="N249" i="5" s="1"/>
  <c r="M254" i="5"/>
  <c r="M37" i="32" s="1"/>
  <c r="K41" i="34"/>
  <c r="M165" i="5"/>
  <c r="M256" i="5" s="1"/>
  <c r="M469" i="5"/>
  <c r="M474" i="5" s="1"/>
  <c r="P2" i="5"/>
  <c r="O6" i="5"/>
  <c r="O434" i="5"/>
  <c r="O4" i="5"/>
  <c r="O418" i="5"/>
  <c r="O417" i="5"/>
  <c r="O478" i="5" s="1"/>
  <c r="O435" i="5"/>
  <c r="L319" i="5"/>
  <c r="L335" i="5" s="1"/>
  <c r="L358" i="5"/>
  <c r="L414" i="5"/>
  <c r="K10" i="5"/>
  <c r="J171" i="5"/>
  <c r="J445" i="5"/>
  <c r="J167" i="5"/>
  <c r="J170" i="5"/>
  <c r="J169" i="5"/>
  <c r="J168" i="5"/>
  <c r="K10" i="35"/>
  <c r="K138" i="5"/>
  <c r="K122" i="5"/>
  <c r="K60" i="34" s="1"/>
  <c r="K69" i="34"/>
  <c r="O56" i="26"/>
  <c r="O56" i="5"/>
  <c r="M233" i="5"/>
  <c r="M326" i="5"/>
  <c r="N251" i="5"/>
  <c r="N467" i="5"/>
  <c r="N465" i="5"/>
  <c r="N456" i="5"/>
  <c r="N459" i="5"/>
  <c r="N5" i="5"/>
  <c r="L103" i="5"/>
  <c r="L110" i="5" s="1"/>
  <c r="L131" i="5"/>
  <c r="L69" i="34" s="1"/>
  <c r="O6" i="26"/>
  <c r="L9" i="35"/>
  <c r="M8" i="32"/>
  <c r="M9" i="32" s="1"/>
  <c r="M8" i="34"/>
  <c r="L9" i="32"/>
  <c r="L10" i="32" s="1"/>
  <c r="L10" i="26"/>
  <c r="L4" i="35"/>
  <c r="L8" i="35"/>
  <c r="M8" i="33"/>
  <c r="N6" i="33"/>
  <c r="O2" i="33"/>
  <c r="N4" i="33"/>
  <c r="N5" i="33" s="1"/>
  <c r="K8" i="35"/>
  <c r="L14" i="32"/>
  <c r="K15" i="32"/>
  <c r="N4" i="34"/>
  <c r="N5" i="34" s="1"/>
  <c r="O2" i="34"/>
  <c r="N6" i="34"/>
  <c r="N6" i="32"/>
  <c r="N4" i="32"/>
  <c r="N5" i="32" s="1"/>
  <c r="O2" i="32"/>
  <c r="M8" i="26"/>
  <c r="M4" i="26"/>
  <c r="N3" i="26"/>
  <c r="N7" i="26" s="1"/>
  <c r="M9" i="26"/>
  <c r="N58" i="26"/>
  <c r="O2" i="26"/>
  <c r="P1" i="26" s="1"/>
  <c r="N5" i="26"/>
  <c r="S247" i="1"/>
  <c r="Q57" i="5" s="1"/>
  <c r="P57" i="26"/>
  <c r="P19" i="34"/>
  <c r="P55" i="26"/>
  <c r="R246" i="1"/>
  <c r="P56" i="5" s="1"/>
  <c r="S245" i="1"/>
  <c r="Q55" i="5" s="1"/>
  <c r="Q248" i="1"/>
  <c r="O58" i="5" s="1"/>
  <c r="N253" i="1"/>
  <c r="N250" i="1"/>
  <c r="D6" i="13"/>
  <c r="I457" i="5" l="1"/>
  <c r="I460" i="5" s="1"/>
  <c r="I462" i="5" s="1"/>
  <c r="I473" i="5" s="1"/>
  <c r="K14" i="33"/>
  <c r="M35" i="34"/>
  <c r="J449" i="5"/>
  <c r="J457" i="5" s="1"/>
  <c r="J460" i="5" s="1"/>
  <c r="J462" i="5" s="1"/>
  <c r="J473" i="5" s="1"/>
  <c r="N154" i="5"/>
  <c r="N157" i="5"/>
  <c r="J267" i="5"/>
  <c r="J275" i="5"/>
  <c r="N209" i="5"/>
  <c r="M131" i="5"/>
  <c r="M138" i="5" s="1"/>
  <c r="K158" i="5"/>
  <c r="K156" i="5" s="1"/>
  <c r="K16" i="32" s="1"/>
  <c r="J453" i="5"/>
  <c r="O8" i="5"/>
  <c r="O9" i="5" s="1"/>
  <c r="O249" i="5" s="1"/>
  <c r="M319" i="5"/>
  <c r="M335" i="5" s="1"/>
  <c r="N165" i="5"/>
  <c r="N256" i="5" s="1"/>
  <c r="P6" i="26"/>
  <c r="L20" i="32"/>
  <c r="N469" i="5"/>
  <c r="N474" i="5" s="1"/>
  <c r="L138" i="5"/>
  <c r="L122" i="5"/>
  <c r="L60" i="34" s="1"/>
  <c r="N461" i="5"/>
  <c r="N233" i="5"/>
  <c r="N326" i="5"/>
  <c r="N254" i="5"/>
  <c r="N37" i="32" s="1"/>
  <c r="K168" i="5"/>
  <c r="L10" i="5"/>
  <c r="K445" i="5"/>
  <c r="K169" i="5"/>
  <c r="K171" i="5"/>
  <c r="K170" i="5"/>
  <c r="K167" i="5"/>
  <c r="N97" i="5"/>
  <c r="N35" i="34" s="1"/>
  <c r="O251" i="5"/>
  <c r="O467" i="5"/>
  <c r="O465" i="5"/>
  <c r="O456" i="5"/>
  <c r="O459" i="5"/>
  <c r="O5" i="5"/>
  <c r="L10" i="35"/>
  <c r="M358" i="5"/>
  <c r="M414" i="5"/>
  <c r="P4" i="5"/>
  <c r="P418" i="5"/>
  <c r="Q2" i="5"/>
  <c r="P6" i="5"/>
  <c r="P417" i="5"/>
  <c r="P478" i="5" s="1"/>
  <c r="P434" i="5"/>
  <c r="P435" i="5"/>
  <c r="M10" i="26"/>
  <c r="M10" i="32"/>
  <c r="N8" i="32"/>
  <c r="N9" i="32" s="1"/>
  <c r="L48" i="34"/>
  <c r="L41" i="34"/>
  <c r="N8" i="34"/>
  <c r="O6" i="32"/>
  <c r="O4" i="32"/>
  <c r="O5" i="32" s="1"/>
  <c r="P2" i="32"/>
  <c r="O6" i="33"/>
  <c r="P2" i="33"/>
  <c r="O4" i="33"/>
  <c r="O5" i="33" s="1"/>
  <c r="I17" i="32"/>
  <c r="I16" i="32"/>
  <c r="E17" i="32"/>
  <c r="E16" i="32"/>
  <c r="F17" i="32"/>
  <c r="F16" i="32"/>
  <c r="M20" i="32"/>
  <c r="H17" i="32"/>
  <c r="H16" i="32"/>
  <c r="M14" i="32"/>
  <c r="O4" i="34"/>
  <c r="O5" i="34" s="1"/>
  <c r="P2" i="34"/>
  <c r="O6" i="34"/>
  <c r="L27" i="33"/>
  <c r="L14" i="33"/>
  <c r="G17" i="32"/>
  <c r="G16" i="32"/>
  <c r="J17" i="32"/>
  <c r="J16" i="32"/>
  <c r="L15" i="32"/>
  <c r="N8" i="33"/>
  <c r="N4" i="26"/>
  <c r="N8" i="26"/>
  <c r="O3" i="26"/>
  <c r="O7" i="26" s="1"/>
  <c r="N9" i="26"/>
  <c r="Q19" i="34"/>
  <c r="Q55" i="26"/>
  <c r="R248" i="1"/>
  <c r="P58" i="5" s="1"/>
  <c r="P56" i="26"/>
  <c r="T247" i="1"/>
  <c r="R57" i="5" s="1"/>
  <c r="Q57" i="26"/>
  <c r="P2" i="26"/>
  <c r="Q1" i="26" s="1"/>
  <c r="O5" i="26"/>
  <c r="O58" i="26"/>
  <c r="T245" i="1"/>
  <c r="R55" i="5" s="1"/>
  <c r="S246" i="1"/>
  <c r="Q56" i="5" s="1"/>
  <c r="O250" i="1"/>
  <c r="O253" i="1"/>
  <c r="K449" i="5" l="1"/>
  <c r="K275" i="5"/>
  <c r="K17" i="32"/>
  <c r="M69" i="34"/>
  <c r="M122" i="5"/>
  <c r="O209" i="5"/>
  <c r="O154" i="5"/>
  <c r="O157" i="5"/>
  <c r="K267" i="5"/>
  <c r="K30" i="32" s="1"/>
  <c r="Q6" i="26"/>
  <c r="L158" i="5"/>
  <c r="L156" i="5" s="1"/>
  <c r="L16" i="32" s="1"/>
  <c r="O233" i="5"/>
  <c r="O326" i="5"/>
  <c r="O358" i="5" s="1"/>
  <c r="O165" i="5"/>
  <c r="O256" i="5" s="1"/>
  <c r="N319" i="5"/>
  <c r="N335" i="5" s="1"/>
  <c r="P8" i="5"/>
  <c r="P9" i="5" s="1"/>
  <c r="P249" i="5" s="1"/>
  <c r="P456" i="5"/>
  <c r="P459" i="5"/>
  <c r="P467" i="5"/>
  <c r="P465" i="5"/>
  <c r="P251" i="5"/>
  <c r="P5" i="5"/>
  <c r="O254" i="5"/>
  <c r="O37" i="32" s="1"/>
  <c r="N103" i="5"/>
  <c r="N110" i="5" s="1"/>
  <c r="N131" i="5"/>
  <c r="N69" i="34" s="1"/>
  <c r="K453" i="5"/>
  <c r="K457" i="5"/>
  <c r="K460" i="5" s="1"/>
  <c r="K462" i="5" s="1"/>
  <c r="K473" i="5" s="1"/>
  <c r="N358" i="5"/>
  <c r="N414" i="5"/>
  <c r="O97" i="5"/>
  <c r="O35" i="34" s="1"/>
  <c r="O469" i="5"/>
  <c r="O474" i="5" s="1"/>
  <c r="O461" i="5"/>
  <c r="Q435" i="5"/>
  <c r="Q6" i="5"/>
  <c r="Q4" i="5"/>
  <c r="R2" i="5"/>
  <c r="Q417" i="5"/>
  <c r="Q478" i="5" s="1"/>
  <c r="Q418" i="5"/>
  <c r="Q434" i="5"/>
  <c r="M10" i="5"/>
  <c r="L167" i="5"/>
  <c r="L168" i="5"/>
  <c r="L171" i="5"/>
  <c r="L445" i="5"/>
  <c r="L169" i="5"/>
  <c r="L170" i="5"/>
  <c r="N10" i="26"/>
  <c r="N10" i="32"/>
  <c r="M48" i="34"/>
  <c r="M41" i="34"/>
  <c r="O8" i="32"/>
  <c r="O9" i="32" s="1"/>
  <c r="H30" i="32"/>
  <c r="I30" i="32"/>
  <c r="O8" i="34"/>
  <c r="O4" i="26"/>
  <c r="P6" i="34"/>
  <c r="P4" i="34"/>
  <c r="P5" i="34" s="1"/>
  <c r="Q2" i="34"/>
  <c r="O8" i="33"/>
  <c r="Q2" i="33"/>
  <c r="P6" i="33"/>
  <c r="P4" i="33"/>
  <c r="P5" i="33" s="1"/>
  <c r="M15" i="32"/>
  <c r="N14" i="32"/>
  <c r="P4" i="32"/>
  <c r="P5" i="32" s="1"/>
  <c r="P6" i="32"/>
  <c r="Q2" i="32"/>
  <c r="M27" i="33"/>
  <c r="M14" i="33"/>
  <c r="N20" i="32"/>
  <c r="O8" i="26"/>
  <c r="P3" i="26"/>
  <c r="P7" i="26" s="1"/>
  <c r="O9" i="26"/>
  <c r="S248" i="1"/>
  <c r="Q58" i="5" s="1"/>
  <c r="Q56" i="26"/>
  <c r="R19" i="34"/>
  <c r="R55" i="26"/>
  <c r="Q2" i="26"/>
  <c r="P5" i="26"/>
  <c r="U247" i="1"/>
  <c r="S57" i="5" s="1"/>
  <c r="R57" i="26"/>
  <c r="P58" i="26"/>
  <c r="T246" i="1"/>
  <c r="R56" i="5" s="1"/>
  <c r="U245" i="1"/>
  <c r="S55" i="5" s="1"/>
  <c r="P250" i="1"/>
  <c r="P253" i="1"/>
  <c r="M60" i="34"/>
  <c r="L17" i="32" l="1"/>
  <c r="L275" i="5"/>
  <c r="L267" i="5"/>
  <c r="L30" i="32" s="1"/>
  <c r="P154" i="5"/>
  <c r="P157" i="5"/>
  <c r="O414" i="5"/>
  <c r="L449" i="5"/>
  <c r="L457" i="5" s="1"/>
  <c r="L460" i="5" s="1"/>
  <c r="L462" i="5" s="1"/>
  <c r="L473" i="5" s="1"/>
  <c r="P209" i="5"/>
  <c r="O319" i="5"/>
  <c r="O335" i="5" s="1"/>
  <c r="M158" i="5"/>
  <c r="M156" i="5" s="1"/>
  <c r="M16" i="32" s="1"/>
  <c r="N15" i="32"/>
  <c r="O10" i="26"/>
  <c r="P254" i="5"/>
  <c r="P37" i="32" s="1"/>
  <c r="P469" i="5"/>
  <c r="P474" i="5" s="1"/>
  <c r="N10" i="5"/>
  <c r="M170" i="5"/>
  <c r="M169" i="5"/>
  <c r="M168" i="5"/>
  <c r="M167" i="5"/>
  <c r="M445" i="5"/>
  <c r="M171" i="5"/>
  <c r="P165" i="5"/>
  <c r="P256" i="5" s="1"/>
  <c r="O103" i="5"/>
  <c r="O110" i="5" s="1"/>
  <c r="O131" i="5"/>
  <c r="O69" i="34" s="1"/>
  <c r="N138" i="5"/>
  <c r="N122" i="5"/>
  <c r="N60" i="34" s="1"/>
  <c r="R417" i="5"/>
  <c r="R478" i="5" s="1"/>
  <c r="R435" i="5"/>
  <c r="S2" i="5"/>
  <c r="R434" i="5"/>
  <c r="R6" i="5"/>
  <c r="R4" i="5"/>
  <c r="R418" i="5"/>
  <c r="P97" i="5"/>
  <c r="P35" i="34" s="1"/>
  <c r="Q8" i="5"/>
  <c r="Q9" i="5" s="1"/>
  <c r="Q249" i="5" s="1"/>
  <c r="Q251" i="5"/>
  <c r="Q456" i="5"/>
  <c r="Q459" i="5"/>
  <c r="Q467" i="5"/>
  <c r="Q465" i="5"/>
  <c r="Q5" i="5"/>
  <c r="P461" i="5"/>
  <c r="P233" i="5"/>
  <c r="P326" i="5"/>
  <c r="O10" i="32"/>
  <c r="N48" i="34"/>
  <c r="N41" i="34"/>
  <c r="G30" i="32"/>
  <c r="F30" i="32"/>
  <c r="P8" i="34"/>
  <c r="O14" i="32"/>
  <c r="P8" i="33"/>
  <c r="N27" i="33"/>
  <c r="N14" i="33"/>
  <c r="Q6" i="33"/>
  <c r="Q4" i="33"/>
  <c r="Q5" i="33" s="1"/>
  <c r="R2" i="33"/>
  <c r="J30" i="32"/>
  <c r="Q4" i="34"/>
  <c r="Q5" i="34" s="1"/>
  <c r="R2" i="34"/>
  <c r="Q6" i="34"/>
  <c r="O20" i="32"/>
  <c r="P8" i="32"/>
  <c r="P9" i="32" s="1"/>
  <c r="Q6" i="32"/>
  <c r="Q4" i="32"/>
  <c r="Q5" i="32" s="1"/>
  <c r="R2" i="32"/>
  <c r="P8" i="26"/>
  <c r="Q3" i="26"/>
  <c r="Q7" i="26" s="1"/>
  <c r="R1" i="26"/>
  <c r="R6" i="26" s="1"/>
  <c r="V247" i="1"/>
  <c r="T57" i="5" s="1"/>
  <c r="S57" i="26"/>
  <c r="S19" i="34"/>
  <c r="S55" i="26"/>
  <c r="P9" i="26"/>
  <c r="P4" i="26"/>
  <c r="R2" i="26"/>
  <c r="Q5" i="26"/>
  <c r="T248" i="1"/>
  <c r="R58" i="5" s="1"/>
  <c r="R56" i="26"/>
  <c r="Q58" i="26"/>
  <c r="V245" i="1"/>
  <c r="T55" i="5" s="1"/>
  <c r="U246" i="1"/>
  <c r="Q250" i="1"/>
  <c r="Q253" i="1"/>
  <c r="L453" i="5" l="1"/>
  <c r="M17" i="32"/>
  <c r="M267" i="5"/>
  <c r="M30" i="32" s="1"/>
  <c r="M275" i="5"/>
  <c r="M449" i="5"/>
  <c r="M457" i="5" s="1"/>
  <c r="M460" i="5" s="1"/>
  <c r="M462" i="5" s="1"/>
  <c r="M473" i="5" s="1"/>
  <c r="Q209" i="5"/>
  <c r="Q157" i="5"/>
  <c r="Q154" i="5"/>
  <c r="P10" i="26"/>
  <c r="N158" i="5"/>
  <c r="N156" i="5" s="1"/>
  <c r="N16" i="32" s="1"/>
  <c r="Q461" i="5"/>
  <c r="O15" i="32"/>
  <c r="P10" i="32"/>
  <c r="Q254" i="5"/>
  <c r="Q37" i="32" s="1"/>
  <c r="P131" i="5"/>
  <c r="P69" i="34" s="1"/>
  <c r="P103" i="5"/>
  <c r="P110" i="5" s="1"/>
  <c r="O138" i="5"/>
  <c r="O122" i="5"/>
  <c r="O60" i="34" s="1"/>
  <c r="S56" i="26"/>
  <c r="S56" i="5"/>
  <c r="P319" i="5"/>
  <c r="P335" i="5" s="1"/>
  <c r="Q233" i="5"/>
  <c r="Q326" i="5"/>
  <c r="Q165" i="5"/>
  <c r="Q256" i="5" s="1"/>
  <c r="R251" i="5"/>
  <c r="R456" i="5"/>
  <c r="R459" i="5"/>
  <c r="R465" i="5"/>
  <c r="R467" i="5"/>
  <c r="R5" i="5"/>
  <c r="R8" i="5"/>
  <c r="R9" i="5" s="1"/>
  <c r="P358" i="5"/>
  <c r="P414" i="5"/>
  <c r="Q97" i="5"/>
  <c r="Q35" i="34" s="1"/>
  <c r="Q469" i="5"/>
  <c r="Q474" i="5" s="1"/>
  <c r="S6" i="5"/>
  <c r="T2" i="5"/>
  <c r="S4" i="5"/>
  <c r="S418" i="5"/>
  <c r="S417" i="5"/>
  <c r="S478" i="5" s="1"/>
  <c r="S435" i="5"/>
  <c r="S434" i="5"/>
  <c r="N171" i="5"/>
  <c r="O10" i="5"/>
  <c r="N168" i="5"/>
  <c r="N169" i="5"/>
  <c r="N445" i="5"/>
  <c r="N170" i="5"/>
  <c r="N167" i="5"/>
  <c r="O48" i="34"/>
  <c r="O41" i="34"/>
  <c r="Q8" i="33"/>
  <c r="R6" i="33"/>
  <c r="R4" i="33"/>
  <c r="R5" i="33" s="1"/>
  <c r="S2" i="33"/>
  <c r="P14" i="32"/>
  <c r="O27" i="33"/>
  <c r="O14" i="33"/>
  <c r="Q8" i="32"/>
  <c r="Q9" i="32" s="1"/>
  <c r="Q8" i="34"/>
  <c r="R4" i="32"/>
  <c r="R5" i="32" s="1"/>
  <c r="S2" i="32"/>
  <c r="R6" i="32"/>
  <c r="R6" i="34"/>
  <c r="R4" i="34"/>
  <c r="R5" i="34" s="1"/>
  <c r="S2" i="34"/>
  <c r="Q4" i="26"/>
  <c r="Q8" i="26"/>
  <c r="R3" i="26"/>
  <c r="R7" i="26" s="1"/>
  <c r="S1" i="26"/>
  <c r="S6" i="26" s="1"/>
  <c r="R58" i="26"/>
  <c r="T19" i="34"/>
  <c r="T55" i="26"/>
  <c r="Q9" i="26"/>
  <c r="Q10" i="26" s="1"/>
  <c r="S2" i="26"/>
  <c r="R5" i="26"/>
  <c r="W247" i="1"/>
  <c r="U57" i="5" s="1"/>
  <c r="T57" i="26"/>
  <c r="V246" i="1"/>
  <c r="T56" i="5" s="1"/>
  <c r="W245" i="1"/>
  <c r="U248" i="1"/>
  <c r="S58" i="5" s="1"/>
  <c r="R250" i="1"/>
  <c r="R253" i="1"/>
  <c r="M453" i="5" l="1"/>
  <c r="N267" i="5"/>
  <c r="N30" i="32" s="1"/>
  <c r="N449" i="5"/>
  <c r="N457" i="5" s="1"/>
  <c r="N460" i="5" s="1"/>
  <c r="N462" i="5" s="1"/>
  <c r="N473" i="5" s="1"/>
  <c r="N17" i="32"/>
  <c r="N275" i="5"/>
  <c r="R154" i="5"/>
  <c r="R157" i="5"/>
  <c r="R209" i="5"/>
  <c r="O158" i="5"/>
  <c r="O156" i="5" s="1"/>
  <c r="O16" i="32" s="1"/>
  <c r="Q10" i="32"/>
  <c r="P15" i="32"/>
  <c r="R254" i="5"/>
  <c r="R37" i="32" s="1"/>
  <c r="P20" i="32"/>
  <c r="R469" i="5"/>
  <c r="R474" i="5" s="1"/>
  <c r="R249" i="5"/>
  <c r="R165" i="5"/>
  <c r="R256" i="5" s="1"/>
  <c r="P10" i="5"/>
  <c r="O445" i="5"/>
  <c r="O167" i="5"/>
  <c r="O170" i="5"/>
  <c r="O169" i="5"/>
  <c r="O168" i="5"/>
  <c r="O171" i="5"/>
  <c r="S456" i="5"/>
  <c r="S251" i="5"/>
  <c r="S467" i="5"/>
  <c r="S459" i="5"/>
  <c r="S465" i="5"/>
  <c r="S5" i="5"/>
  <c r="R97" i="5"/>
  <c r="R35" i="34" s="1"/>
  <c r="R461" i="5"/>
  <c r="U55" i="26"/>
  <c r="U55" i="5"/>
  <c r="U19" i="34" s="1"/>
  <c r="U2" i="5"/>
  <c r="T418" i="5"/>
  <c r="T435" i="5"/>
  <c r="T434" i="5"/>
  <c r="T4" i="5"/>
  <c r="T6" i="5"/>
  <c r="T417" i="5"/>
  <c r="T478" i="5" s="1"/>
  <c r="Q20" i="32"/>
  <c r="Q319" i="5"/>
  <c r="Q335" i="5" s="1"/>
  <c r="Q414" i="5"/>
  <c r="Q358" i="5"/>
  <c r="P138" i="5"/>
  <c r="P122" i="5"/>
  <c r="P60" i="34" s="1"/>
  <c r="S8" i="5"/>
  <c r="S9" i="5" s="1"/>
  <c r="S249" i="5" s="1"/>
  <c r="Q131" i="5"/>
  <c r="Q69" i="34" s="1"/>
  <c r="Q103" i="5"/>
  <c r="Q110" i="5" s="1"/>
  <c r="R8" i="32"/>
  <c r="R9" i="32" s="1"/>
  <c r="P48" i="34"/>
  <c r="P41" i="34"/>
  <c r="R8" i="33"/>
  <c r="R8" i="34"/>
  <c r="Q14" i="32"/>
  <c r="S4" i="34"/>
  <c r="S5" i="34" s="1"/>
  <c r="S6" i="34"/>
  <c r="T2" i="34"/>
  <c r="P27" i="33"/>
  <c r="P14" i="33"/>
  <c r="S4" i="32"/>
  <c r="S5" i="32" s="1"/>
  <c r="T2" i="32"/>
  <c r="S6" i="32"/>
  <c r="S4" i="33"/>
  <c r="S5" i="33" s="1"/>
  <c r="T2" i="33"/>
  <c r="S6" i="33"/>
  <c r="R8" i="26"/>
  <c r="S3" i="26"/>
  <c r="S7" i="26" s="1"/>
  <c r="T1" i="26"/>
  <c r="T6" i="26" s="1"/>
  <c r="X247" i="1"/>
  <c r="V57" i="5" s="1"/>
  <c r="U57" i="26"/>
  <c r="R9" i="26"/>
  <c r="R10" i="26" s="1"/>
  <c r="R4" i="26"/>
  <c r="T2" i="26"/>
  <c r="S5" i="26"/>
  <c r="S58" i="26"/>
  <c r="V248" i="1"/>
  <c r="T58" i="5" s="1"/>
  <c r="T56" i="26"/>
  <c r="X245" i="1"/>
  <c r="W246" i="1"/>
  <c r="S250" i="1"/>
  <c r="S253" i="1"/>
  <c r="N453" i="5" l="1"/>
  <c r="O275" i="5"/>
  <c r="O449" i="5"/>
  <c r="O457" i="5" s="1"/>
  <c r="O460" i="5" s="1"/>
  <c r="O462" i="5" s="1"/>
  <c r="O473" i="5" s="1"/>
  <c r="O267" i="5"/>
  <c r="O30" i="32" s="1"/>
  <c r="S209" i="5"/>
  <c r="S154" i="5"/>
  <c r="S157" i="5"/>
  <c r="O17" i="32"/>
  <c r="P158" i="5"/>
  <c r="P156" i="5" s="1"/>
  <c r="P16" i="32" s="1"/>
  <c r="R10" i="32"/>
  <c r="S461" i="5"/>
  <c r="T8" i="5"/>
  <c r="T9" i="5" s="1"/>
  <c r="T249" i="5" s="1"/>
  <c r="T233" i="5" s="1"/>
  <c r="Q15" i="32"/>
  <c r="S165" i="5"/>
  <c r="U434" i="5"/>
  <c r="U6" i="5"/>
  <c r="V2" i="5"/>
  <c r="U4" i="5"/>
  <c r="U418" i="5"/>
  <c r="U417" i="5"/>
  <c r="U478" i="5" s="1"/>
  <c r="U435" i="5"/>
  <c r="Q10" i="5"/>
  <c r="P445" i="5"/>
  <c r="P167" i="5"/>
  <c r="P171" i="5"/>
  <c r="P169" i="5"/>
  <c r="P168" i="5"/>
  <c r="P170" i="5"/>
  <c r="R20" i="32"/>
  <c r="R319" i="5"/>
  <c r="R335" i="5" s="1"/>
  <c r="U56" i="26"/>
  <c r="U56" i="5"/>
  <c r="R103" i="5"/>
  <c r="R110" i="5" s="1"/>
  <c r="R131" i="5"/>
  <c r="R69" i="34" s="1"/>
  <c r="S469" i="5"/>
  <c r="S474" i="5" s="1"/>
  <c r="Q138" i="5"/>
  <c r="Q122" i="5"/>
  <c r="Q60" i="34" s="1"/>
  <c r="S254" i="5"/>
  <c r="S37" i="32" s="1"/>
  <c r="S97" i="5"/>
  <c r="S35" i="34" s="1"/>
  <c r="V55" i="26"/>
  <c r="V55" i="5"/>
  <c r="V19" i="34" s="1"/>
  <c r="T459" i="5"/>
  <c r="T467" i="5"/>
  <c r="T465" i="5"/>
  <c r="T251" i="5"/>
  <c r="T456" i="5"/>
  <c r="T5" i="5"/>
  <c r="S233" i="5"/>
  <c r="S326" i="5"/>
  <c r="R233" i="5"/>
  <c r="R326" i="5"/>
  <c r="Q48" i="34"/>
  <c r="Q41" i="34"/>
  <c r="S8" i="34"/>
  <c r="R14" i="32"/>
  <c r="Q27" i="33"/>
  <c r="Q14" i="33"/>
  <c r="S8" i="33"/>
  <c r="U2" i="33"/>
  <c r="T6" i="33"/>
  <c r="T4" i="33"/>
  <c r="T5" i="33" s="1"/>
  <c r="U2" i="34"/>
  <c r="T4" i="34"/>
  <c r="T5" i="34" s="1"/>
  <c r="T6" i="34"/>
  <c r="S8" i="32"/>
  <c r="S9" i="32" s="1"/>
  <c r="T6" i="32"/>
  <c r="T4" i="32"/>
  <c r="T5" i="32" s="1"/>
  <c r="U2" i="32"/>
  <c r="S8" i="26"/>
  <c r="S4" i="26"/>
  <c r="T3" i="26"/>
  <c r="T7" i="26" s="1"/>
  <c r="U1" i="26"/>
  <c r="U6" i="26" s="1"/>
  <c r="S9" i="26"/>
  <c r="S10" i="26" s="1"/>
  <c r="U2" i="26"/>
  <c r="T5" i="26"/>
  <c r="T58" i="26"/>
  <c r="Y247" i="1"/>
  <c r="W57" i="5" s="1"/>
  <c r="V57" i="26"/>
  <c r="X246" i="1"/>
  <c r="V56" i="5" s="1"/>
  <c r="W248" i="1"/>
  <c r="U58" i="5" s="1"/>
  <c r="Y245" i="1"/>
  <c r="T253" i="1"/>
  <c r="T250" i="1"/>
  <c r="O453" i="5" l="1"/>
  <c r="P17" i="32"/>
  <c r="P449" i="5"/>
  <c r="P457" i="5" s="1"/>
  <c r="P460" i="5" s="1"/>
  <c r="P462" i="5" s="1"/>
  <c r="P473" i="5" s="1"/>
  <c r="P267" i="5"/>
  <c r="P30" i="32" s="1"/>
  <c r="T209" i="5"/>
  <c r="T154" i="5"/>
  <c r="T157" i="5"/>
  <c r="P275" i="5"/>
  <c r="S10" i="32"/>
  <c r="Q158" i="5"/>
  <c r="Q156" i="5" s="1"/>
  <c r="Q16" i="32" s="1"/>
  <c r="T165" i="5"/>
  <c r="T256" i="5" s="1"/>
  <c r="R15" i="32"/>
  <c r="T326" i="5"/>
  <c r="T358" i="5" s="1"/>
  <c r="S319" i="5"/>
  <c r="S335" i="5" s="1"/>
  <c r="S256" i="5"/>
  <c r="S20" i="32" s="1"/>
  <c r="S131" i="5"/>
  <c r="S69" i="34" s="1"/>
  <c r="S103" i="5"/>
  <c r="S110" i="5" s="1"/>
  <c r="W55" i="26"/>
  <c r="W55" i="5"/>
  <c r="W19" i="34" s="1"/>
  <c r="R10" i="5"/>
  <c r="Q445" i="5"/>
  <c r="Q170" i="5"/>
  <c r="Q169" i="5"/>
  <c r="Q168" i="5"/>
  <c r="Q171" i="5"/>
  <c r="Q167" i="5"/>
  <c r="T254" i="5"/>
  <c r="T37" i="32" s="1"/>
  <c r="T97" i="5"/>
  <c r="T35" i="34" s="1"/>
  <c r="T469" i="5"/>
  <c r="T474" i="5" s="1"/>
  <c r="R358" i="5"/>
  <c r="R414" i="5"/>
  <c r="R122" i="5"/>
  <c r="R60" i="34" s="1"/>
  <c r="R138" i="5"/>
  <c r="U8" i="5"/>
  <c r="U9" i="5" s="1"/>
  <c r="U249" i="5" s="1"/>
  <c r="U467" i="5"/>
  <c r="U251" i="5"/>
  <c r="U456" i="5"/>
  <c r="U459" i="5"/>
  <c r="U465" i="5"/>
  <c r="U5" i="5"/>
  <c r="S358" i="5"/>
  <c r="S414" i="5"/>
  <c r="V435" i="5"/>
  <c r="V434" i="5"/>
  <c r="V418" i="5"/>
  <c r="V6" i="5"/>
  <c r="W2" i="5"/>
  <c r="V4" i="5"/>
  <c r="V417" i="5"/>
  <c r="V478" i="5" s="1"/>
  <c r="T461" i="5"/>
  <c r="T8" i="32"/>
  <c r="T9" i="32" s="1"/>
  <c r="R48" i="34"/>
  <c r="R41" i="34"/>
  <c r="R27" i="33"/>
  <c r="R14" i="33"/>
  <c r="U4" i="32"/>
  <c r="U5" i="32" s="1"/>
  <c r="V2" i="32"/>
  <c r="U6" i="32"/>
  <c r="T8" i="34"/>
  <c r="U6" i="34"/>
  <c r="V2" i="34"/>
  <c r="U4" i="34"/>
  <c r="U5" i="34" s="1"/>
  <c r="T8" i="33"/>
  <c r="S15" i="32"/>
  <c r="S14" i="32"/>
  <c r="V2" i="33"/>
  <c r="U6" i="33"/>
  <c r="U4" i="33"/>
  <c r="U5" i="33" s="1"/>
  <c r="T8" i="26"/>
  <c r="T4" i="26"/>
  <c r="U3" i="26"/>
  <c r="U7" i="26" s="1"/>
  <c r="V1" i="26"/>
  <c r="V6" i="26" s="1"/>
  <c r="T9" i="26"/>
  <c r="T10" i="26" s="1"/>
  <c r="Z247" i="1"/>
  <c r="X57" i="5" s="1"/>
  <c r="W57" i="26"/>
  <c r="U58" i="26"/>
  <c r="V2" i="26"/>
  <c r="W1" i="26" s="1"/>
  <c r="U5" i="26"/>
  <c r="X248" i="1"/>
  <c r="V58" i="5" s="1"/>
  <c r="V56" i="26"/>
  <c r="Z245" i="1"/>
  <c r="Y246" i="1"/>
  <c r="U253" i="1"/>
  <c r="U250" i="1"/>
  <c r="Q449" i="5" l="1"/>
  <c r="Q457" i="5" s="1"/>
  <c r="Q460" i="5" s="1"/>
  <c r="Q462" i="5" s="1"/>
  <c r="Q473" i="5" s="1"/>
  <c r="P453" i="5"/>
  <c r="T10" i="32"/>
  <c r="U209" i="5"/>
  <c r="U157" i="5"/>
  <c r="U154" i="5"/>
  <c r="Q17" i="32"/>
  <c r="Q275" i="5"/>
  <c r="Q267" i="5"/>
  <c r="Q30" i="32" s="1"/>
  <c r="R158" i="5"/>
  <c r="R156" i="5" s="1"/>
  <c r="R16" i="32" s="1"/>
  <c r="Q453" i="5"/>
  <c r="T414" i="5"/>
  <c r="T319" i="5"/>
  <c r="T335" i="5" s="1"/>
  <c r="U461" i="5"/>
  <c r="S10" i="5"/>
  <c r="S158" i="5" s="1"/>
  <c r="R445" i="5"/>
  <c r="R167" i="5"/>
  <c r="R168" i="5"/>
  <c r="R170" i="5"/>
  <c r="R171" i="5"/>
  <c r="R169" i="5"/>
  <c r="U254" i="5"/>
  <c r="U37" i="32" s="1"/>
  <c r="U97" i="5"/>
  <c r="U35" i="34" s="1"/>
  <c r="T103" i="5"/>
  <c r="T110" i="5" s="1"/>
  <c r="T131" i="5"/>
  <c r="T69" i="34" s="1"/>
  <c r="U233" i="5"/>
  <c r="U326" i="5"/>
  <c r="U469" i="5"/>
  <c r="U474" i="5" s="1"/>
  <c r="X55" i="26"/>
  <c r="X55" i="5"/>
  <c r="X19" i="34" s="1"/>
  <c r="V251" i="5"/>
  <c r="V456" i="5"/>
  <c r="V465" i="5"/>
  <c r="V467" i="5"/>
  <c r="V459" i="5"/>
  <c r="V5" i="5"/>
  <c r="S138" i="5"/>
  <c r="S122" i="5"/>
  <c r="S60" i="34" s="1"/>
  <c r="W56" i="26"/>
  <c r="W56" i="5"/>
  <c r="W6" i="5"/>
  <c r="W435" i="5"/>
  <c r="W418" i="5"/>
  <c r="W417" i="5"/>
  <c r="W478" i="5" s="1"/>
  <c r="W434" i="5"/>
  <c r="W4" i="5"/>
  <c r="X2" i="5"/>
  <c r="V8" i="5"/>
  <c r="V9" i="5" s="1"/>
  <c r="U165" i="5"/>
  <c r="U256" i="5" s="1"/>
  <c r="U8" i="33"/>
  <c r="U8" i="32"/>
  <c r="U9" i="32" s="1"/>
  <c r="U10" i="32" s="1"/>
  <c r="U8" i="34"/>
  <c r="S48" i="34"/>
  <c r="S41" i="34"/>
  <c r="T20" i="32"/>
  <c r="V6" i="32"/>
  <c r="V4" i="32"/>
  <c r="V5" i="32" s="1"/>
  <c r="W2" i="32"/>
  <c r="W2" i="34"/>
  <c r="V4" i="34"/>
  <c r="V5" i="34" s="1"/>
  <c r="V6" i="34"/>
  <c r="S27" i="33"/>
  <c r="S14" i="33"/>
  <c r="T15" i="32"/>
  <c r="T14" i="32"/>
  <c r="V6" i="33"/>
  <c r="W2" i="33"/>
  <c r="V4" i="33"/>
  <c r="V5" i="33" s="1"/>
  <c r="U8" i="26"/>
  <c r="U4" i="26"/>
  <c r="W6" i="26"/>
  <c r="V3" i="26"/>
  <c r="V7" i="26" s="1"/>
  <c r="U9" i="26"/>
  <c r="U10" i="26" s="1"/>
  <c r="V58" i="26"/>
  <c r="W2" i="26"/>
  <c r="X1" i="26" s="1"/>
  <c r="V5" i="26"/>
  <c r="AA247" i="1"/>
  <c r="Y57" i="5" s="1"/>
  <c r="X57" i="26"/>
  <c r="Z246" i="1"/>
  <c r="X56" i="5" s="1"/>
  <c r="Y248" i="1"/>
  <c r="W58" i="5" s="1"/>
  <c r="AA245" i="1"/>
  <c r="V253" i="1"/>
  <c r="V250" i="1"/>
  <c r="R17" i="32" l="1"/>
  <c r="V209" i="5"/>
  <c r="V157" i="5"/>
  <c r="V154" i="5"/>
  <c r="R275" i="5"/>
  <c r="R267" i="5"/>
  <c r="R30" i="32" s="1"/>
  <c r="R449" i="5"/>
  <c r="R457" i="5" s="1"/>
  <c r="R460" i="5" s="1"/>
  <c r="R462" i="5" s="1"/>
  <c r="R473" i="5" s="1"/>
  <c r="W8" i="5"/>
  <c r="W9" i="5" s="1"/>
  <c r="V461" i="5"/>
  <c r="S275" i="5"/>
  <c r="S267" i="5"/>
  <c r="S449" i="5"/>
  <c r="S457" i="5" s="1"/>
  <c r="S460" i="5" s="1"/>
  <c r="S462" i="5" s="1"/>
  <c r="S473" i="5" s="1"/>
  <c r="S156" i="5"/>
  <c r="S16" i="32" s="1"/>
  <c r="V469" i="5"/>
  <c r="V474" i="5" s="1"/>
  <c r="V249" i="5"/>
  <c r="V165" i="5"/>
  <c r="V256" i="5" s="1"/>
  <c r="Y55" i="26"/>
  <c r="Y55" i="5"/>
  <c r="Y19" i="34" s="1"/>
  <c r="U358" i="5"/>
  <c r="U414" i="5"/>
  <c r="T122" i="5"/>
  <c r="T60" i="34" s="1"/>
  <c r="T138" i="5"/>
  <c r="X418" i="5"/>
  <c r="X434" i="5"/>
  <c r="X435" i="5"/>
  <c r="Y2" i="5"/>
  <c r="X4" i="5"/>
  <c r="X6" i="5"/>
  <c r="X417" i="5"/>
  <c r="X478" i="5" s="1"/>
  <c r="S170" i="5"/>
  <c r="T10" i="5"/>
  <c r="T158" i="5" s="1"/>
  <c r="S445" i="5"/>
  <c r="S167" i="5"/>
  <c r="S169" i="5"/>
  <c r="S171" i="5"/>
  <c r="S168" i="5"/>
  <c r="U319" i="5"/>
  <c r="U335" i="5" s="1"/>
  <c r="W456" i="5"/>
  <c r="W465" i="5"/>
  <c r="W251" i="5"/>
  <c r="W467" i="5"/>
  <c r="W459" i="5"/>
  <c r="W5" i="5"/>
  <c r="V254" i="5"/>
  <c r="V37" i="32" s="1"/>
  <c r="V97" i="5"/>
  <c r="V35" i="34" s="1"/>
  <c r="U103" i="5"/>
  <c r="U110" i="5" s="1"/>
  <c r="U131" i="5"/>
  <c r="U69" i="34" s="1"/>
  <c r="V8" i="33"/>
  <c r="T48" i="34"/>
  <c r="T41" i="34"/>
  <c r="U15" i="32"/>
  <c r="U14" i="32"/>
  <c r="X2" i="33"/>
  <c r="W6" i="33"/>
  <c r="W4" i="33"/>
  <c r="W5" i="33" s="1"/>
  <c r="T27" i="33"/>
  <c r="T14" i="33"/>
  <c r="V8" i="34"/>
  <c r="S17" i="32"/>
  <c r="W6" i="34"/>
  <c r="W4" i="34"/>
  <c r="W5" i="34" s="1"/>
  <c r="X2" i="34"/>
  <c r="V8" i="32"/>
  <c r="V9" i="32" s="1"/>
  <c r="V10" i="32" s="1"/>
  <c r="W6" i="32"/>
  <c r="W4" i="32"/>
  <c r="W5" i="32" s="1"/>
  <c r="X2" i="32"/>
  <c r="V8" i="26"/>
  <c r="X6" i="26"/>
  <c r="W3" i="26"/>
  <c r="W7" i="26" s="1"/>
  <c r="AB247" i="1"/>
  <c r="Z57" i="5" s="1"/>
  <c r="Y57" i="26"/>
  <c r="Z248" i="1"/>
  <c r="X58" i="5" s="1"/>
  <c r="X56" i="26"/>
  <c r="V9" i="26"/>
  <c r="V10" i="26" s="1"/>
  <c r="V4" i="26"/>
  <c r="X2" i="26"/>
  <c r="Y1" i="26" s="1"/>
  <c r="W5" i="26"/>
  <c r="W58" i="26"/>
  <c r="AB245" i="1"/>
  <c r="AA246" i="1"/>
  <c r="Y56" i="5" s="1"/>
  <c r="W250" i="1"/>
  <c r="W253" i="1"/>
  <c r="S453" i="5" l="1"/>
  <c r="W209" i="5"/>
  <c r="W154" i="5"/>
  <c r="W157" i="5"/>
  <c r="R453" i="5"/>
  <c r="W249" i="5"/>
  <c r="W326" i="5" s="1"/>
  <c r="X8" i="5"/>
  <c r="X9" i="5" s="1"/>
  <c r="X249" i="5" s="1"/>
  <c r="T156" i="5"/>
  <c r="T16" i="32" s="1"/>
  <c r="T449" i="5"/>
  <c r="T457" i="5" s="1"/>
  <c r="T460" i="5" s="1"/>
  <c r="T462" i="5" s="1"/>
  <c r="T473" i="5" s="1"/>
  <c r="T267" i="5"/>
  <c r="T275" i="5"/>
  <c r="W461" i="5"/>
  <c r="U20" i="32"/>
  <c r="W165" i="5"/>
  <c r="W254" i="5"/>
  <c r="W37" i="32" s="1"/>
  <c r="W469" i="5"/>
  <c r="W474" i="5" s="1"/>
  <c r="U138" i="5"/>
  <c r="U122" i="5"/>
  <c r="U60" i="34" s="1"/>
  <c r="Z55" i="26"/>
  <c r="Z55" i="5"/>
  <c r="Z19" i="34" s="1"/>
  <c r="Z2" i="5"/>
  <c r="Y4" i="5"/>
  <c r="Y6" i="5"/>
  <c r="Y417" i="5"/>
  <c r="Y478" i="5" s="1"/>
  <c r="Y418" i="5"/>
  <c r="Y435" i="5"/>
  <c r="Y434" i="5"/>
  <c r="V103" i="5"/>
  <c r="V110" i="5" s="1"/>
  <c r="V131" i="5"/>
  <c r="X251" i="5"/>
  <c r="X456" i="5"/>
  <c r="X465" i="5"/>
  <c r="X459" i="5"/>
  <c r="X467" i="5"/>
  <c r="X5" i="5"/>
  <c r="U10" i="5"/>
  <c r="U158" i="5" s="1"/>
  <c r="T167" i="5"/>
  <c r="T445" i="5"/>
  <c r="T171" i="5"/>
  <c r="T168" i="5"/>
  <c r="T170" i="5"/>
  <c r="T169" i="5"/>
  <c r="V20" i="32"/>
  <c r="V319" i="5"/>
  <c r="V335" i="5" s="1"/>
  <c r="W97" i="5"/>
  <c r="W35" i="34" s="1"/>
  <c r="V233" i="5"/>
  <c r="V326" i="5"/>
  <c r="S30" i="32"/>
  <c r="U48" i="34"/>
  <c r="U41" i="34"/>
  <c r="W8" i="34"/>
  <c r="U27" i="33"/>
  <c r="U14" i="33"/>
  <c r="T17" i="32"/>
  <c r="X6" i="34"/>
  <c r="X4" i="34"/>
  <c r="X5" i="34" s="1"/>
  <c r="Y2" i="34"/>
  <c r="W8" i="33"/>
  <c r="X6" i="33"/>
  <c r="X4" i="33"/>
  <c r="X5" i="33" s="1"/>
  <c r="Y2" i="33"/>
  <c r="W8" i="32"/>
  <c r="W9" i="32" s="1"/>
  <c r="W10" i="32" s="1"/>
  <c r="V15" i="32"/>
  <c r="V14" i="32"/>
  <c r="Y2" i="32"/>
  <c r="X6" i="32"/>
  <c r="X4" i="32"/>
  <c r="X5" i="32" s="1"/>
  <c r="W4" i="26"/>
  <c r="W8" i="26"/>
  <c r="Y6" i="26"/>
  <c r="X3" i="26"/>
  <c r="X7" i="26" s="1"/>
  <c r="W9" i="26"/>
  <c r="W10" i="26" s="1"/>
  <c r="Y2" i="26"/>
  <c r="Z1" i="26" s="1"/>
  <c r="X5" i="26"/>
  <c r="X58" i="26"/>
  <c r="AA248" i="1"/>
  <c r="Y58" i="5" s="1"/>
  <c r="Y56" i="26"/>
  <c r="AC247" i="1"/>
  <c r="AA57" i="5" s="1"/>
  <c r="Z57" i="26"/>
  <c r="AB246" i="1"/>
  <c r="Z56" i="5" s="1"/>
  <c r="AC245" i="1"/>
  <c r="X250" i="1"/>
  <c r="H12" i="38" s="1"/>
  <c r="X253" i="1"/>
  <c r="W233" i="5" l="1"/>
  <c r="X209" i="5"/>
  <c r="X154" i="5"/>
  <c r="X157" i="5"/>
  <c r="T453" i="5"/>
  <c r="X461" i="5"/>
  <c r="Y8" i="5"/>
  <c r="Y9" i="5" s="1"/>
  <c r="Y249" i="5" s="1"/>
  <c r="U156" i="5"/>
  <c r="U16" i="32" s="1"/>
  <c r="U275" i="5"/>
  <c r="U449" i="5"/>
  <c r="U457" i="5" s="1"/>
  <c r="U460" i="5" s="1"/>
  <c r="U462" i="5" s="1"/>
  <c r="U473" i="5" s="1"/>
  <c r="U267" i="5"/>
  <c r="W319" i="5"/>
  <c r="W335" i="5" s="1"/>
  <c r="W256" i="5"/>
  <c r="W20" i="32" s="1"/>
  <c r="X469" i="5"/>
  <c r="X474" i="5" s="1"/>
  <c r="AA55" i="26"/>
  <c r="AA55" i="5"/>
  <c r="AA19" i="34" s="1"/>
  <c r="Z4" i="5"/>
  <c r="Z6" i="5"/>
  <c r="Z417" i="5"/>
  <c r="Z478" i="5" s="1"/>
  <c r="AA2" i="5"/>
  <c r="Z418" i="5"/>
  <c r="Z435" i="5"/>
  <c r="Z434" i="5"/>
  <c r="X165" i="5"/>
  <c r="X256" i="5" s="1"/>
  <c r="V414" i="5"/>
  <c r="V358" i="5"/>
  <c r="X233" i="5"/>
  <c r="X326" i="5"/>
  <c r="U170" i="5"/>
  <c r="V10" i="5"/>
  <c r="V158" i="5" s="1"/>
  <c r="U445" i="5"/>
  <c r="U171" i="5"/>
  <c r="U167" i="5"/>
  <c r="U168" i="5"/>
  <c r="U169" i="5"/>
  <c r="V122" i="5"/>
  <c r="V60" i="34" s="1"/>
  <c r="V138" i="5"/>
  <c r="V69" i="34"/>
  <c r="X97" i="5"/>
  <c r="X35" i="34" s="1"/>
  <c r="W358" i="5"/>
  <c r="W414" i="5"/>
  <c r="W131" i="5"/>
  <c r="W69" i="34" s="1"/>
  <c r="W103" i="5"/>
  <c r="W110" i="5" s="1"/>
  <c r="Y251" i="5"/>
  <c r="Y467" i="5"/>
  <c r="Y465" i="5"/>
  <c r="Y459" i="5"/>
  <c r="Y456" i="5"/>
  <c r="Y5" i="5"/>
  <c r="X254" i="5"/>
  <c r="X37" i="32" s="1"/>
  <c r="U17" i="32"/>
  <c r="X8" i="33"/>
  <c r="V48" i="34"/>
  <c r="V41" i="34"/>
  <c r="X8" i="34"/>
  <c r="Y4" i="33"/>
  <c r="Y5" i="33" s="1"/>
  <c r="Z2" i="33"/>
  <c r="Y6" i="33"/>
  <c r="T30" i="32"/>
  <c r="X8" i="32"/>
  <c r="X9" i="32" s="1"/>
  <c r="X10" i="32" s="1"/>
  <c r="W15" i="32"/>
  <c r="W14" i="32"/>
  <c r="Y4" i="32"/>
  <c r="Y5" i="32" s="1"/>
  <c r="Z2" i="32"/>
  <c r="Y6" i="32"/>
  <c r="Y4" i="34"/>
  <c r="Y5" i="34" s="1"/>
  <c r="Y6" i="34"/>
  <c r="Z2" i="34"/>
  <c r="V27" i="33"/>
  <c r="V14" i="33"/>
  <c r="X8" i="26"/>
  <c r="X4" i="26"/>
  <c r="Z6" i="26"/>
  <c r="Y3" i="26"/>
  <c r="Y7" i="26" s="1"/>
  <c r="AD247" i="1"/>
  <c r="AB57" i="5" s="1"/>
  <c r="AA57" i="26"/>
  <c r="Y58" i="26"/>
  <c r="X9" i="26"/>
  <c r="X10" i="26" s="1"/>
  <c r="AB248" i="1"/>
  <c r="Z58" i="5" s="1"/>
  <c r="Z56" i="26"/>
  <c r="Z2" i="26"/>
  <c r="Y5" i="26"/>
  <c r="AD245" i="1"/>
  <c r="AC246" i="1"/>
  <c r="Y250" i="1"/>
  <c r="Y253" i="1"/>
  <c r="Y154" i="5" l="1"/>
  <c r="Y157" i="5"/>
  <c r="Y209" i="5"/>
  <c r="U453" i="5"/>
  <c r="V156" i="5"/>
  <c r="V16" i="32" s="1"/>
  <c r="V449" i="5"/>
  <c r="V457" i="5" s="1"/>
  <c r="V460" i="5" s="1"/>
  <c r="V462" i="5" s="1"/>
  <c r="V473" i="5" s="1"/>
  <c r="V275" i="5"/>
  <c r="V267" i="5"/>
  <c r="X103" i="5"/>
  <c r="X110" i="5" s="1"/>
  <c r="X131" i="5"/>
  <c r="X69" i="34" s="1"/>
  <c r="AA56" i="26"/>
  <c r="AA56" i="5"/>
  <c r="Y233" i="5"/>
  <c r="Y326" i="5"/>
  <c r="W10" i="5"/>
  <c r="W158" i="5" s="1"/>
  <c r="V445" i="5"/>
  <c r="V167" i="5"/>
  <c r="V170" i="5"/>
  <c r="V171" i="5"/>
  <c r="V168" i="5"/>
  <c r="V169" i="5"/>
  <c r="AB55" i="26"/>
  <c r="AB55" i="5"/>
  <c r="AB19" i="34" s="1"/>
  <c r="Y254" i="5"/>
  <c r="Y37" i="32" s="1"/>
  <c r="Y97" i="5"/>
  <c r="Y35" i="34" s="1"/>
  <c r="X358" i="5"/>
  <c r="X414" i="5"/>
  <c r="AA435" i="5"/>
  <c r="AB2" i="5"/>
  <c r="AA6" i="5"/>
  <c r="AA4" i="5"/>
  <c r="AA417" i="5"/>
  <c r="AA478" i="5" s="1"/>
  <c r="AA434" i="5"/>
  <c r="AA418" i="5"/>
  <c r="Y469" i="5"/>
  <c r="Y474" i="5" s="1"/>
  <c r="Z465" i="5"/>
  <c r="Z456" i="5"/>
  <c r="Z459" i="5"/>
  <c r="Z251" i="5"/>
  <c r="Z467" i="5"/>
  <c r="Z5" i="5"/>
  <c r="W122" i="5"/>
  <c r="W60" i="34" s="1"/>
  <c r="W138" i="5"/>
  <c r="Y461" i="5"/>
  <c r="X319" i="5"/>
  <c r="X335" i="5" s="1"/>
  <c r="Y165" i="5"/>
  <c r="Y256" i="5" s="1"/>
  <c r="Z8" i="5"/>
  <c r="Z9" i="5" s="1"/>
  <c r="U30" i="32"/>
  <c r="Y8" i="33"/>
  <c r="W48" i="34"/>
  <c r="W41" i="34"/>
  <c r="Y8" i="34"/>
  <c r="Z6" i="34"/>
  <c r="Z4" i="34"/>
  <c r="Z5" i="34" s="1"/>
  <c r="AA2" i="34"/>
  <c r="X15" i="32"/>
  <c r="X14" i="32"/>
  <c r="Y8" i="32"/>
  <c r="Y9" i="32" s="1"/>
  <c r="Y10" i="32" s="1"/>
  <c r="W27" i="33"/>
  <c r="W14" i="33"/>
  <c r="V17" i="32"/>
  <c r="Z6" i="32"/>
  <c r="Z4" i="32"/>
  <c r="Z5" i="32" s="1"/>
  <c r="AA2" i="32"/>
  <c r="AA2" i="33"/>
  <c r="Z4" i="33"/>
  <c r="Z5" i="33" s="1"/>
  <c r="Z6" i="33"/>
  <c r="Y4" i="26"/>
  <c r="Y8" i="26"/>
  <c r="Z3" i="26"/>
  <c r="Z7" i="26" s="1"/>
  <c r="AA1" i="26"/>
  <c r="AA6" i="26" s="1"/>
  <c r="Y9" i="26"/>
  <c r="Y10" i="26" s="1"/>
  <c r="AA2" i="26"/>
  <c r="AB1" i="26" s="1"/>
  <c r="Z5" i="26"/>
  <c r="Z58" i="26"/>
  <c r="AE247" i="1"/>
  <c r="AC57" i="5" s="1"/>
  <c r="AB57" i="26"/>
  <c r="AD246" i="1"/>
  <c r="AB56" i="5" s="1"/>
  <c r="AE245" i="1"/>
  <c r="AC248" i="1"/>
  <c r="AA58" i="5" s="1"/>
  <c r="Z250" i="1"/>
  <c r="Z253" i="1"/>
  <c r="V453" i="5" l="1"/>
  <c r="Z209" i="5"/>
  <c r="Z154" i="5"/>
  <c r="Z157" i="5"/>
  <c r="Z461" i="5"/>
  <c r="AA8" i="5"/>
  <c r="AA9" i="5" s="1"/>
  <c r="AA249" i="5" s="1"/>
  <c r="AA233" i="5" s="1"/>
  <c r="W156" i="5"/>
  <c r="W16" i="32" s="1"/>
  <c r="W275" i="5"/>
  <c r="W449" i="5"/>
  <c r="W457" i="5" s="1"/>
  <c r="W460" i="5" s="1"/>
  <c r="W462" i="5" s="1"/>
  <c r="W473" i="5" s="1"/>
  <c r="W267" i="5"/>
  <c r="W30" i="32" s="1"/>
  <c r="X20" i="32"/>
  <c r="Z254" i="5"/>
  <c r="Z37" i="32" s="1"/>
  <c r="Z249" i="5"/>
  <c r="Z165" i="5"/>
  <c r="Z256" i="5" s="1"/>
  <c r="Z97" i="5"/>
  <c r="Z35" i="34" s="1"/>
  <c r="AB418" i="5"/>
  <c r="AB435" i="5"/>
  <c r="AB4" i="5"/>
  <c r="AC2" i="5"/>
  <c r="AB6" i="5"/>
  <c r="AB417" i="5"/>
  <c r="AB478" i="5" s="1"/>
  <c r="AB434" i="5"/>
  <c r="Y131" i="5"/>
  <c r="Y69" i="34" s="1"/>
  <c r="Y103" i="5"/>
  <c r="Y110" i="5" s="1"/>
  <c r="Y319" i="5"/>
  <c r="Y335" i="5" s="1"/>
  <c r="X10" i="5"/>
  <c r="X158" i="5" s="1"/>
  <c r="W445" i="5"/>
  <c r="W168" i="5"/>
  <c r="W170" i="5"/>
  <c r="W171" i="5"/>
  <c r="W167" i="5"/>
  <c r="W169" i="5"/>
  <c r="Y358" i="5"/>
  <c r="Y414" i="5"/>
  <c r="Z469" i="5"/>
  <c r="Z474" i="5" s="1"/>
  <c r="AA251" i="5"/>
  <c r="AA465" i="5"/>
  <c r="AA467" i="5"/>
  <c r="AA456" i="5"/>
  <c r="AA459" i="5"/>
  <c r="AA5" i="5"/>
  <c r="X138" i="5"/>
  <c r="X122" i="5"/>
  <c r="X60" i="34" s="1"/>
  <c r="AC55" i="26"/>
  <c r="AC55" i="5"/>
  <c r="AC19" i="34" s="1"/>
  <c r="V30" i="32"/>
  <c r="Z8" i="34"/>
  <c r="Z8" i="33"/>
  <c r="X48" i="34"/>
  <c r="X41" i="34"/>
  <c r="W17" i="32"/>
  <c r="AB2" i="33"/>
  <c r="AA4" i="33"/>
  <c r="AA5" i="33" s="1"/>
  <c r="AA6" i="33"/>
  <c r="X27" i="33"/>
  <c r="X14" i="33"/>
  <c r="AB2" i="34"/>
  <c r="AA4" i="34"/>
  <c r="AA5" i="34" s="1"/>
  <c r="AA6" i="34"/>
  <c r="Y15" i="32"/>
  <c r="Y14" i="32"/>
  <c r="Z8" i="32"/>
  <c r="Z9" i="32" s="1"/>
  <c r="Z10" i="32" s="1"/>
  <c r="AA6" i="32"/>
  <c r="AA4" i="32"/>
  <c r="AA5" i="32" s="1"/>
  <c r="AB2" i="32"/>
  <c r="Z8" i="26"/>
  <c r="AB6" i="26"/>
  <c r="Z4" i="26"/>
  <c r="AA3" i="26"/>
  <c r="AA7" i="26" s="1"/>
  <c r="AF247" i="1"/>
  <c r="AD57" i="5" s="1"/>
  <c r="AC57" i="26"/>
  <c r="Z9" i="26"/>
  <c r="Z10" i="26" s="1"/>
  <c r="AA58" i="26"/>
  <c r="AB2" i="26"/>
  <c r="AC1" i="26" s="1"/>
  <c r="AA5" i="26"/>
  <c r="AD248" i="1"/>
  <c r="AB58" i="5" s="1"/>
  <c r="AB56" i="26"/>
  <c r="AF245" i="1"/>
  <c r="AE246" i="1"/>
  <c r="AA250" i="1"/>
  <c r="AA253" i="1"/>
  <c r="AA154" i="5" l="1"/>
  <c r="AA157" i="5"/>
  <c r="AA209" i="5"/>
  <c r="W453" i="5"/>
  <c r="X156" i="5"/>
  <c r="X16" i="32" s="1"/>
  <c r="X275" i="5"/>
  <c r="X449" i="5"/>
  <c r="X457" i="5" s="1"/>
  <c r="X460" i="5" s="1"/>
  <c r="X462" i="5" s="1"/>
  <c r="X473" i="5" s="1"/>
  <c r="X267" i="5"/>
  <c r="AA254" i="5"/>
  <c r="AA37" i="32" s="1"/>
  <c r="AA326" i="5"/>
  <c r="AA358" i="5" s="1"/>
  <c r="AA461" i="5"/>
  <c r="AA165" i="5"/>
  <c r="AA256" i="5" s="1"/>
  <c r="AA469" i="5"/>
  <c r="AA474" i="5" s="1"/>
  <c r="AD55" i="26"/>
  <c r="AD55" i="5"/>
  <c r="AD19" i="34" s="1"/>
  <c r="AB251" i="5"/>
  <c r="AB459" i="5"/>
  <c r="AB467" i="5"/>
  <c r="AB465" i="5"/>
  <c r="AB456" i="5"/>
  <c r="AB5" i="5"/>
  <c r="Z103" i="5"/>
  <c r="Z110" i="5" s="1"/>
  <c r="Z131" i="5"/>
  <c r="Z69" i="34" s="1"/>
  <c r="Z319" i="5"/>
  <c r="Z335" i="5" s="1"/>
  <c r="Y138" i="5"/>
  <c r="Y122" i="5"/>
  <c r="Y60" i="34" s="1"/>
  <c r="Y20" i="32"/>
  <c r="AA97" i="5"/>
  <c r="AA35" i="34" s="1"/>
  <c r="AB8" i="5"/>
  <c r="AB9" i="5" s="1"/>
  <c r="AC56" i="26"/>
  <c r="AC56" i="5"/>
  <c r="Y10" i="5"/>
  <c r="X445" i="5"/>
  <c r="X167" i="5"/>
  <c r="X168" i="5"/>
  <c r="X171" i="5"/>
  <c r="X169" i="5"/>
  <c r="X170" i="5"/>
  <c r="AC434" i="5"/>
  <c r="AD2" i="5"/>
  <c r="AC435" i="5"/>
  <c r="AC6" i="5"/>
  <c r="AC4" i="5"/>
  <c r="AC417" i="5"/>
  <c r="AC478" i="5" s="1"/>
  <c r="AC418" i="5"/>
  <c r="Z233" i="5"/>
  <c r="Z326" i="5"/>
  <c r="X17" i="32"/>
  <c r="Y48" i="34"/>
  <c r="Y41" i="34"/>
  <c r="Y27" i="33"/>
  <c r="Y14" i="33"/>
  <c r="AA8" i="33"/>
  <c r="AC2" i="33"/>
  <c r="AB4" i="33"/>
  <c r="AB5" i="33" s="1"/>
  <c r="AB6" i="33"/>
  <c r="AA8" i="34"/>
  <c r="AC2" i="34"/>
  <c r="AB4" i="34"/>
  <c r="AB5" i="34" s="1"/>
  <c r="AB6" i="34"/>
  <c r="Z15" i="32"/>
  <c r="Z14" i="32"/>
  <c r="AA8" i="32"/>
  <c r="AA9" i="32" s="1"/>
  <c r="AA10" i="32" s="1"/>
  <c r="AB6" i="32"/>
  <c r="AB4" i="32"/>
  <c r="AB5" i="32" s="1"/>
  <c r="AC2" i="32"/>
  <c r="AC6" i="26"/>
  <c r="AA8" i="26"/>
  <c r="AB3" i="26"/>
  <c r="AB7" i="26" s="1"/>
  <c r="AB58" i="26"/>
  <c r="AA9" i="26"/>
  <c r="AA10" i="26" s="1"/>
  <c r="AA4" i="26"/>
  <c r="AC2" i="26"/>
  <c r="AD1" i="26" s="1"/>
  <c r="AB5" i="26"/>
  <c r="AG247" i="1"/>
  <c r="AE57" i="5" s="1"/>
  <c r="AD57" i="26"/>
  <c r="AF246" i="1"/>
  <c r="AD56" i="5" s="1"/>
  <c r="AE248" i="1"/>
  <c r="AC58" i="5" s="1"/>
  <c r="AG245" i="1"/>
  <c r="AB253" i="1"/>
  <c r="AB250" i="1"/>
  <c r="AB209" i="5" l="1"/>
  <c r="AB157" i="5"/>
  <c r="AB154" i="5"/>
  <c r="AA414" i="5"/>
  <c r="X453" i="5"/>
  <c r="Y158" i="5"/>
  <c r="Y275" i="5" s="1"/>
  <c r="AB461" i="5"/>
  <c r="AA319" i="5"/>
  <c r="AA335" i="5" s="1"/>
  <c r="AB254" i="5"/>
  <c r="AB37" i="32" s="1"/>
  <c r="Z20" i="32"/>
  <c r="AB249" i="5"/>
  <c r="AB165" i="5"/>
  <c r="AB256" i="5" s="1"/>
  <c r="Z358" i="5"/>
  <c r="Z414" i="5"/>
  <c r="AB97" i="5"/>
  <c r="AB35" i="34" s="1"/>
  <c r="AB469" i="5"/>
  <c r="AB474" i="5" s="1"/>
  <c r="Z10" i="5"/>
  <c r="Z158" i="5" s="1"/>
  <c r="Y167" i="5"/>
  <c r="Y445" i="5"/>
  <c r="Y168" i="5"/>
  <c r="Y169" i="5"/>
  <c r="Y170" i="5"/>
  <c r="Y171" i="5"/>
  <c r="AC8" i="5"/>
  <c r="AC9" i="5" s="1"/>
  <c r="AC251" i="5"/>
  <c r="AC459" i="5"/>
  <c r="AC467" i="5"/>
  <c r="AC465" i="5"/>
  <c r="AC456" i="5"/>
  <c r="AC5" i="5"/>
  <c r="AD6" i="5"/>
  <c r="AE2" i="5"/>
  <c r="AD4" i="5"/>
  <c r="AD434" i="5"/>
  <c r="AD418" i="5"/>
  <c r="AD417" i="5"/>
  <c r="AD478" i="5" s="1"/>
  <c r="AD435" i="5"/>
  <c r="AE55" i="26"/>
  <c r="AE55" i="5"/>
  <c r="AE19" i="34" s="1"/>
  <c r="AA103" i="5"/>
  <c r="AA110" i="5" s="1"/>
  <c r="AA131" i="5"/>
  <c r="AA69" i="34" s="1"/>
  <c r="Z122" i="5"/>
  <c r="Z60" i="34" s="1"/>
  <c r="Z138" i="5"/>
  <c r="X30" i="32"/>
  <c r="AD6" i="26"/>
  <c r="Z48" i="34"/>
  <c r="Z41" i="34"/>
  <c r="AB8" i="34"/>
  <c r="AA20" i="32"/>
  <c r="AD2" i="32"/>
  <c r="AC6" i="32"/>
  <c r="AC4" i="32"/>
  <c r="AC5" i="32" s="1"/>
  <c r="Z27" i="33"/>
  <c r="Z14" i="33"/>
  <c r="AC6" i="34"/>
  <c r="AC4" i="34"/>
  <c r="AC5" i="34" s="1"/>
  <c r="AD2" i="34"/>
  <c r="AB8" i="33"/>
  <c r="AD2" i="33"/>
  <c r="AC4" i="33"/>
  <c r="AC5" i="33" s="1"/>
  <c r="AC6" i="33"/>
  <c r="AA15" i="32"/>
  <c r="AA14" i="32"/>
  <c r="AB8" i="32"/>
  <c r="AB9" i="32" s="1"/>
  <c r="AB10" i="32" s="1"/>
  <c r="AB8" i="26"/>
  <c r="AB4" i="26"/>
  <c r="AC3" i="26"/>
  <c r="AC7" i="26" s="1"/>
  <c r="AH247" i="1"/>
  <c r="AF57" i="5" s="1"/>
  <c r="AE57" i="26"/>
  <c r="AB9" i="26"/>
  <c r="AB10" i="26" s="1"/>
  <c r="AD2" i="26"/>
  <c r="AE1" i="26" s="1"/>
  <c r="AC5" i="26"/>
  <c r="AC58" i="26"/>
  <c r="AF248" i="1"/>
  <c r="AD58" i="5" s="1"/>
  <c r="AD56" i="26"/>
  <c r="AH245" i="1"/>
  <c r="AG246" i="1"/>
  <c r="AC253" i="1"/>
  <c r="AC250" i="1"/>
  <c r="Y17" i="32" l="1"/>
  <c r="AC154" i="5"/>
  <c r="AC157" i="5"/>
  <c r="Y449" i="5"/>
  <c r="Y457" i="5" s="1"/>
  <c r="Y460" i="5" s="1"/>
  <c r="Y462" i="5" s="1"/>
  <c r="Y473" i="5" s="1"/>
  <c r="Y156" i="5"/>
  <c r="Y16" i="32" s="1"/>
  <c r="AC209" i="5"/>
  <c r="Y267" i="5"/>
  <c r="Y30" i="32" s="1"/>
  <c r="Z156" i="5"/>
  <c r="Z16" i="32" s="1"/>
  <c r="Z275" i="5"/>
  <c r="Z449" i="5"/>
  <c r="Z457" i="5" s="1"/>
  <c r="Z460" i="5" s="1"/>
  <c r="Z462" i="5" s="1"/>
  <c r="Z473" i="5" s="1"/>
  <c r="Z267" i="5"/>
  <c r="AC254" i="5"/>
  <c r="AC37" i="32" s="1"/>
  <c r="AC249" i="5"/>
  <c r="AC165" i="5"/>
  <c r="AC256" i="5" s="1"/>
  <c r="AE56" i="26"/>
  <c r="AE56" i="5"/>
  <c r="AF55" i="26"/>
  <c r="AF55" i="5"/>
  <c r="AD8" i="5"/>
  <c r="AD9" i="5" s="1"/>
  <c r="AD251" i="5"/>
  <c r="AD459" i="5"/>
  <c r="AD467" i="5"/>
  <c r="AD465" i="5"/>
  <c r="AD456" i="5"/>
  <c r="AD5" i="5"/>
  <c r="AE6" i="5"/>
  <c r="AF2" i="5"/>
  <c r="AE4" i="5"/>
  <c r="AB319" i="5"/>
  <c r="AB335" i="5" s="1"/>
  <c r="AA10" i="5"/>
  <c r="AA158" i="5" s="1"/>
  <c r="Z445" i="5"/>
  <c r="Z168" i="5"/>
  <c r="Z170" i="5"/>
  <c r="Z171" i="5"/>
  <c r="Z167" i="5"/>
  <c r="Z169" i="5"/>
  <c r="AA138" i="5"/>
  <c r="AA122" i="5"/>
  <c r="AA60" i="34" s="1"/>
  <c r="AC97" i="5"/>
  <c r="AC469" i="5"/>
  <c r="AC474" i="5" s="1"/>
  <c r="AC461" i="5"/>
  <c r="AB103" i="5"/>
  <c r="AB110" i="5" s="1"/>
  <c r="AB131" i="5"/>
  <c r="AB69" i="34" s="1"/>
  <c r="AB233" i="5"/>
  <c r="AB326" i="5"/>
  <c r="AE6" i="26"/>
  <c r="Z17" i="32"/>
  <c r="AC8" i="33"/>
  <c r="AC8" i="32"/>
  <c r="AC9" i="32" s="1"/>
  <c r="AC10" i="32" s="1"/>
  <c r="AA48" i="34"/>
  <c r="AA41" i="34"/>
  <c r="AB15" i="32"/>
  <c r="AB14" i="32"/>
  <c r="AC8" i="34"/>
  <c r="AD6" i="34"/>
  <c r="AE2" i="34"/>
  <c r="AD4" i="34"/>
  <c r="AD5" i="34" s="1"/>
  <c r="AD6" i="33"/>
  <c r="AD4" i="33"/>
  <c r="AD5" i="33" s="1"/>
  <c r="AE2" i="33"/>
  <c r="AA27" i="33"/>
  <c r="AA14" i="33"/>
  <c r="AD6" i="32"/>
  <c r="AD4" i="32"/>
  <c r="AD5" i="32" s="1"/>
  <c r="AE2" i="32"/>
  <c r="AC8" i="26"/>
  <c r="AC4" i="26"/>
  <c r="AD3" i="26"/>
  <c r="AD7" i="26" s="1"/>
  <c r="AD58" i="26"/>
  <c r="AC9" i="26"/>
  <c r="AC10" i="26" s="1"/>
  <c r="AE2" i="26"/>
  <c r="AF1" i="26" s="1"/>
  <c r="AD5" i="26"/>
  <c r="AI247" i="1"/>
  <c r="AG57" i="5" s="1"/>
  <c r="AF57" i="26"/>
  <c r="AH246" i="1"/>
  <c r="AF56" i="5" s="1"/>
  <c r="AI245" i="1"/>
  <c r="AG248" i="1"/>
  <c r="AE58" i="5" s="1"/>
  <c r="AD253" i="1"/>
  <c r="AD250" i="1"/>
  <c r="Z453" i="5" l="1"/>
  <c r="Y453" i="5"/>
  <c r="AD209" i="5"/>
  <c r="AD157" i="5"/>
  <c r="AD154" i="5"/>
  <c r="AA156" i="5"/>
  <c r="AA16" i="32" s="1"/>
  <c r="AA449" i="5"/>
  <c r="AA457" i="5" s="1"/>
  <c r="AA460" i="5" s="1"/>
  <c r="AA462" i="5" s="1"/>
  <c r="AA473" i="5" s="1"/>
  <c r="AA275" i="5"/>
  <c r="AA267" i="5"/>
  <c r="AD461" i="5"/>
  <c r="AE8" i="5"/>
  <c r="AE9" i="5" s="1"/>
  <c r="AF6" i="26"/>
  <c r="AD469" i="5"/>
  <c r="AD474" i="5" s="1"/>
  <c r="AB20" i="32"/>
  <c r="AD249" i="5"/>
  <c r="AD165" i="5"/>
  <c r="AD256" i="5" s="1"/>
  <c r="AC103" i="5"/>
  <c r="AC110" i="5" s="1"/>
  <c r="AC131" i="5"/>
  <c r="AC69" i="34" s="1"/>
  <c r="AB358" i="5"/>
  <c r="AB414" i="5"/>
  <c r="AE251" i="5"/>
  <c r="AE459" i="5"/>
  <c r="AE467" i="5"/>
  <c r="AE465" i="5"/>
  <c r="AE456" i="5"/>
  <c r="AE5" i="5"/>
  <c r="AF419" i="5"/>
  <c r="AF435" i="5"/>
  <c r="AF436" i="5"/>
  <c r="AF434" i="5"/>
  <c r="AF6" i="5"/>
  <c r="AG2" i="5"/>
  <c r="AF4" i="5"/>
  <c r="AF158" i="5" s="1"/>
  <c r="AF418" i="5"/>
  <c r="AF417" i="5"/>
  <c r="AF478" i="5" s="1"/>
  <c r="AB122" i="5"/>
  <c r="AB60" i="34" s="1"/>
  <c r="AB138" i="5"/>
  <c r="AG55" i="26"/>
  <c r="AG55" i="5"/>
  <c r="AD97" i="5"/>
  <c r="AD35" i="34" s="1"/>
  <c r="AC319" i="5"/>
  <c r="AC335" i="5" s="1"/>
  <c r="AA171" i="5"/>
  <c r="AB10" i="5"/>
  <c r="AB158" i="5" s="1"/>
  <c r="AA170" i="5"/>
  <c r="AA169" i="5"/>
  <c r="AA445" i="5"/>
  <c r="AA168" i="5"/>
  <c r="AA167" i="5"/>
  <c r="AC35" i="34"/>
  <c r="AD254" i="5"/>
  <c r="AD37" i="32" s="1"/>
  <c r="AC233" i="5"/>
  <c r="AC326" i="5"/>
  <c r="Z30" i="32"/>
  <c r="AD8" i="32"/>
  <c r="AD9" i="32" s="1"/>
  <c r="AD10" i="32" s="1"/>
  <c r="AD8" i="33"/>
  <c r="AA17" i="32"/>
  <c r="AB48" i="34"/>
  <c r="AB41" i="34"/>
  <c r="AD8" i="34"/>
  <c r="AE4" i="32"/>
  <c r="AE8" i="32" s="1"/>
  <c r="AE6" i="32"/>
  <c r="AE6" i="33"/>
  <c r="AE4" i="33"/>
  <c r="AE4" i="34"/>
  <c r="AE8" i="34" s="1"/>
  <c r="AE6" i="34"/>
  <c r="AB27" i="33"/>
  <c r="AB14" i="33"/>
  <c r="AC15" i="32"/>
  <c r="AC14" i="32"/>
  <c r="AD4" i="26"/>
  <c r="AD8" i="26"/>
  <c r="AE3" i="26"/>
  <c r="AE7" i="26" s="1"/>
  <c r="AD9" i="26"/>
  <c r="AD10" i="26" s="1"/>
  <c r="AJ247" i="1"/>
  <c r="AH57" i="5" s="1"/>
  <c r="AG57" i="26"/>
  <c r="AF2" i="26"/>
  <c r="AG1" i="26" s="1"/>
  <c r="AE5" i="26"/>
  <c r="AE58" i="26"/>
  <c r="AH248" i="1"/>
  <c r="AF58" i="5" s="1"/>
  <c r="AF56" i="26"/>
  <c r="AJ245" i="1"/>
  <c r="AI246" i="1"/>
  <c r="AG56" i="5" s="1"/>
  <c r="AE250" i="1"/>
  <c r="AE253" i="1"/>
  <c r="AA453" i="5" l="1"/>
  <c r="AE154" i="5"/>
  <c r="AE157" i="5"/>
  <c r="AE209" i="5"/>
  <c r="AG6" i="26"/>
  <c r="AE249" i="5"/>
  <c r="AE233" i="5" s="1"/>
  <c r="AF8" i="5"/>
  <c r="AF9" i="5" s="1"/>
  <c r="AB156" i="5"/>
  <c r="AB16" i="32" s="1"/>
  <c r="AB275" i="5"/>
  <c r="AB267" i="5"/>
  <c r="AB30" i="32" s="1"/>
  <c r="AB449" i="5"/>
  <c r="AB457" i="5" s="1"/>
  <c r="AB460" i="5" s="1"/>
  <c r="AB462" i="5" s="1"/>
  <c r="AB473" i="5" s="1"/>
  <c r="AC20" i="32"/>
  <c r="AE254" i="5"/>
  <c r="AE37" i="32" s="1"/>
  <c r="AC414" i="5"/>
  <c r="AC358" i="5"/>
  <c r="AC10" i="5"/>
  <c r="AC158" i="5" s="1"/>
  <c r="AB445" i="5"/>
  <c r="AB171" i="5"/>
  <c r="AB167" i="5"/>
  <c r="AB170" i="5"/>
  <c r="AB169" i="5"/>
  <c r="AB168" i="5"/>
  <c r="AF171" i="5"/>
  <c r="AF467" i="5"/>
  <c r="AF167" i="5"/>
  <c r="AF465" i="5"/>
  <c r="AF168" i="5"/>
  <c r="AF172" i="5"/>
  <c r="AF254" i="5"/>
  <c r="AF420" i="5" s="1"/>
  <c r="AF132" i="5"/>
  <c r="AF251" i="5"/>
  <c r="AF165" i="5"/>
  <c r="AF256" i="5" s="1"/>
  <c r="AF277" i="5"/>
  <c r="AF447" i="5" s="1"/>
  <c r="AF123" i="5"/>
  <c r="AF281" i="5" s="1"/>
  <c r="AF456" i="5"/>
  <c r="AF459" i="5"/>
  <c r="AF169" i="5"/>
  <c r="AF445" i="5"/>
  <c r="AF104" i="5"/>
  <c r="AF170" i="5"/>
  <c r="AF461" i="5"/>
  <c r="AF5" i="5"/>
  <c r="AG435" i="5"/>
  <c r="AG436" i="5"/>
  <c r="AG434" i="5"/>
  <c r="AG4" i="5"/>
  <c r="AG158" i="5" s="1"/>
  <c r="AH2" i="5"/>
  <c r="AG6" i="5"/>
  <c r="AG418" i="5"/>
  <c r="AG417" i="5"/>
  <c r="AG478" i="5" s="1"/>
  <c r="AG419" i="5"/>
  <c r="AC138" i="5"/>
  <c r="AC122" i="5"/>
  <c r="AC60" i="34" s="1"/>
  <c r="AD103" i="5"/>
  <c r="AD110" i="5" s="1"/>
  <c r="AD131" i="5"/>
  <c r="AD69" i="34" s="1"/>
  <c r="AE165" i="5"/>
  <c r="AE256" i="5" s="1"/>
  <c r="AD319" i="5"/>
  <c r="AD335" i="5" s="1"/>
  <c r="AE469" i="5"/>
  <c r="AE474" i="5" s="1"/>
  <c r="AH55" i="26"/>
  <c r="AH55" i="5"/>
  <c r="AE97" i="5"/>
  <c r="AE461" i="5"/>
  <c r="AD233" i="5"/>
  <c r="AD326" i="5"/>
  <c r="AB17" i="32"/>
  <c r="AA30" i="32"/>
  <c r="AE9" i="32"/>
  <c r="AE10" i="32" s="1"/>
  <c r="AC48" i="34"/>
  <c r="AC41" i="34"/>
  <c r="AE8" i="33"/>
  <c r="AE5" i="33"/>
  <c r="C4" i="33"/>
  <c r="AD15" i="32"/>
  <c r="AD14" i="32"/>
  <c r="AE5" i="32"/>
  <c r="C4" i="32"/>
  <c r="AE5" i="34"/>
  <c r="C4" i="34"/>
  <c r="AC27" i="33"/>
  <c r="AC14" i="33"/>
  <c r="AE4" i="26"/>
  <c r="AE8" i="26"/>
  <c r="AF3" i="26"/>
  <c r="AF7" i="26" s="1"/>
  <c r="AE9" i="26"/>
  <c r="AE10" i="26" s="1"/>
  <c r="AF58" i="26"/>
  <c r="AG2" i="26"/>
  <c r="AH1" i="26" s="1"/>
  <c r="AH6" i="26" s="1"/>
  <c r="AF5" i="26"/>
  <c r="AI248" i="1"/>
  <c r="AG58" i="5" s="1"/>
  <c r="AG56" i="26"/>
  <c r="AK247" i="1"/>
  <c r="AH57" i="26"/>
  <c r="AJ246" i="1"/>
  <c r="AH56" i="5" s="1"/>
  <c r="AK245" i="1"/>
  <c r="AF250" i="1"/>
  <c r="AF253" i="1"/>
  <c r="AB453" i="5" l="1"/>
  <c r="AE326" i="5"/>
  <c r="AF157" i="5"/>
  <c r="AF154" i="5"/>
  <c r="AF209" i="5"/>
  <c r="AG8" i="5"/>
  <c r="AC156" i="5"/>
  <c r="AC16" i="32" s="1"/>
  <c r="AC267" i="5"/>
  <c r="AC30" i="32" s="1"/>
  <c r="AC275" i="5"/>
  <c r="AC449" i="5"/>
  <c r="AC457" i="5" s="1"/>
  <c r="AC460" i="5" s="1"/>
  <c r="AC462" i="5" s="1"/>
  <c r="AC473" i="5" s="1"/>
  <c r="AF469" i="5"/>
  <c r="AF474" i="5" s="1"/>
  <c r="AD20" i="32"/>
  <c r="AD122" i="5"/>
  <c r="AD60" i="34" s="1"/>
  <c r="AD138" i="5"/>
  <c r="AG9" i="5"/>
  <c r="AF173" i="5"/>
  <c r="AI57" i="26"/>
  <c r="AI57" i="5"/>
  <c r="AI2" i="5"/>
  <c r="AH418" i="5"/>
  <c r="AH417" i="5"/>
  <c r="AH478" i="5" s="1"/>
  <c r="AH419" i="5"/>
  <c r="AH435" i="5"/>
  <c r="AH436" i="5"/>
  <c r="AH434" i="5"/>
  <c r="AH4" i="5"/>
  <c r="AH158" i="5" s="1"/>
  <c r="AH6" i="5"/>
  <c r="AE131" i="5"/>
  <c r="AE69" i="34" s="1"/>
  <c r="AE103" i="5"/>
  <c r="AE110" i="5" s="1"/>
  <c r="AF319" i="5"/>
  <c r="AF335" i="5" s="1"/>
  <c r="AE35" i="34"/>
  <c r="AF156" i="5"/>
  <c r="AF97" i="5"/>
  <c r="AD10" i="5"/>
  <c r="AC445" i="5"/>
  <c r="AC171" i="5"/>
  <c r="AC169" i="5"/>
  <c r="AC168" i="5"/>
  <c r="AC167" i="5"/>
  <c r="AC170" i="5"/>
  <c r="AF249" i="5"/>
  <c r="AF180" i="5"/>
  <c r="AF179" i="5"/>
  <c r="AF178" i="5"/>
  <c r="AE414" i="5"/>
  <c r="AE358" i="5"/>
  <c r="AF144" i="5"/>
  <c r="AF148" i="5"/>
  <c r="AF150" i="5" s="1"/>
  <c r="AF139" i="5"/>
  <c r="AI55" i="26"/>
  <c r="AI55" i="5"/>
  <c r="AF116" i="5"/>
  <c r="AF258" i="5" s="1"/>
  <c r="AF111" i="5"/>
  <c r="AG172" i="5"/>
  <c r="AG459" i="5"/>
  <c r="AG171" i="5"/>
  <c r="AG461" i="5"/>
  <c r="AG168" i="5"/>
  <c r="AG467" i="5"/>
  <c r="AG277" i="5"/>
  <c r="AG447" i="5" s="1"/>
  <c r="AG251" i="5"/>
  <c r="AG465" i="5"/>
  <c r="AG132" i="5"/>
  <c r="AG165" i="5"/>
  <c r="AG256" i="5" s="1"/>
  <c r="AG254" i="5"/>
  <c r="AG420" i="5" s="1"/>
  <c r="AG123" i="5"/>
  <c r="AG281" i="5" s="1"/>
  <c r="AG167" i="5"/>
  <c r="AG169" i="5"/>
  <c r="AG445" i="5"/>
  <c r="AG170" i="5"/>
  <c r="AG456" i="5"/>
  <c r="AG104" i="5"/>
  <c r="AG5" i="5"/>
  <c r="AD358" i="5"/>
  <c r="AD414" i="5"/>
  <c r="AE20" i="32"/>
  <c r="AE319" i="5"/>
  <c r="AE335" i="5" s="1"/>
  <c r="AF450" i="5"/>
  <c r="AD48" i="34"/>
  <c r="AD41" i="34"/>
  <c r="AC17" i="32"/>
  <c r="AE14" i="32"/>
  <c r="AD27" i="33"/>
  <c r="AD14" i="33"/>
  <c r="AF8" i="26"/>
  <c r="AG3" i="26"/>
  <c r="AG7" i="26" s="1"/>
  <c r="AG58" i="26"/>
  <c r="AF9" i="26"/>
  <c r="AF10" i="26" s="1"/>
  <c r="AF4" i="26"/>
  <c r="AJ248" i="1"/>
  <c r="AH58" i="5" s="1"/>
  <c r="AH56" i="26"/>
  <c r="AH2" i="26"/>
  <c r="AI1" i="26" s="1"/>
  <c r="AI6" i="26" s="1"/>
  <c r="AG5" i="26"/>
  <c r="AK246" i="1"/>
  <c r="AI56" i="5" s="1"/>
  <c r="AG250" i="1"/>
  <c r="AG253" i="1"/>
  <c r="AG157" i="5" l="1"/>
  <c r="AG154" i="5"/>
  <c r="AG209" i="5"/>
  <c r="AD158" i="5"/>
  <c r="AD17" i="32" s="1"/>
  <c r="AH8" i="5"/>
  <c r="AH9" i="5" s="1"/>
  <c r="AH249" i="5" s="1"/>
  <c r="AC453" i="5"/>
  <c r="AF175" i="5"/>
  <c r="AF216" i="5" s="1"/>
  <c r="AF257" i="5"/>
  <c r="AF477" i="5" s="1"/>
  <c r="AG173" i="5"/>
  <c r="AG257" i="5" s="1"/>
  <c r="AG148" i="5"/>
  <c r="AG150" i="5" s="1"/>
  <c r="AG144" i="5"/>
  <c r="AG139" i="5"/>
  <c r="AG97" i="5"/>
  <c r="AG156" i="5"/>
  <c r="AG116" i="5"/>
  <c r="AG258" i="5" s="1"/>
  <c r="AG111" i="5"/>
  <c r="AG469" i="5"/>
  <c r="AG474" i="5" s="1"/>
  <c r="AE10" i="5"/>
  <c r="AD445" i="5"/>
  <c r="AD171" i="5"/>
  <c r="AD168" i="5"/>
  <c r="AD169" i="5"/>
  <c r="AD170" i="5"/>
  <c r="AD167" i="5"/>
  <c r="AG450" i="5"/>
  <c r="AI4" i="5"/>
  <c r="AI158" i="5" s="1"/>
  <c r="AI6" i="5"/>
  <c r="AJ2" i="5"/>
  <c r="AI435" i="5"/>
  <c r="AI418" i="5"/>
  <c r="AI417" i="5"/>
  <c r="AI478" i="5" s="1"/>
  <c r="AI419" i="5"/>
  <c r="AI436" i="5"/>
  <c r="AI434" i="5"/>
  <c r="AF181" i="5"/>
  <c r="AF103" i="5"/>
  <c r="AF110" i="5" s="1"/>
  <c r="AF131" i="5"/>
  <c r="AF273" i="5"/>
  <c r="AF275" i="5"/>
  <c r="AF267" i="5"/>
  <c r="AF449" i="5"/>
  <c r="AF270" i="5"/>
  <c r="AF274" i="5"/>
  <c r="AF276" i="5"/>
  <c r="AF272" i="5"/>
  <c r="AF269" i="5"/>
  <c r="AF271" i="5"/>
  <c r="AF268" i="5"/>
  <c r="AE138" i="5"/>
  <c r="AE122" i="5"/>
  <c r="AE60" i="34" s="1"/>
  <c r="AF320" i="5"/>
  <c r="AF336" i="5" s="1"/>
  <c r="AF233" i="5"/>
  <c r="AF326" i="5"/>
  <c r="AG249" i="5"/>
  <c r="AG180" i="5"/>
  <c r="AG179" i="5"/>
  <c r="AG178" i="5"/>
  <c r="AG319" i="5"/>
  <c r="AG335" i="5" s="1"/>
  <c r="AF322" i="5"/>
  <c r="AH251" i="5"/>
  <c r="AH467" i="5"/>
  <c r="AH104" i="5"/>
  <c r="AH254" i="5"/>
  <c r="AH420" i="5" s="1"/>
  <c r="AH170" i="5"/>
  <c r="AH165" i="5"/>
  <c r="AH256" i="5" s="1"/>
  <c r="AH277" i="5"/>
  <c r="AH447" i="5" s="1"/>
  <c r="AH123" i="5"/>
  <c r="AH281" i="5" s="1"/>
  <c r="AH456" i="5"/>
  <c r="AH169" i="5"/>
  <c r="AH132" i="5"/>
  <c r="AH168" i="5"/>
  <c r="AH465" i="5"/>
  <c r="AH171" i="5"/>
  <c r="AH445" i="5"/>
  <c r="AH172" i="5"/>
  <c r="AH459" i="5"/>
  <c r="AH167" i="5"/>
  <c r="AH461" i="5"/>
  <c r="AH5" i="5"/>
  <c r="AE48" i="34"/>
  <c r="AE41" i="34"/>
  <c r="AE27" i="33"/>
  <c r="AE14" i="33"/>
  <c r="AE15" i="32"/>
  <c r="AG8" i="26"/>
  <c r="AH3" i="26"/>
  <c r="AH7" i="26" s="1"/>
  <c r="AI56" i="26"/>
  <c r="AG9" i="26"/>
  <c r="AG10" i="26" s="1"/>
  <c r="AG4" i="26"/>
  <c r="AI2" i="26"/>
  <c r="AJ1" i="26" s="1"/>
  <c r="AJ6" i="26" s="1"/>
  <c r="AH5" i="26"/>
  <c r="AH58" i="26"/>
  <c r="AK248" i="1"/>
  <c r="AI58" i="5" s="1"/>
  <c r="AH250" i="1"/>
  <c r="AH253" i="1"/>
  <c r="AD267" i="5" l="1"/>
  <c r="AD449" i="5"/>
  <c r="AD457" i="5" s="1"/>
  <c r="AD460" i="5" s="1"/>
  <c r="AD462" i="5" s="1"/>
  <c r="AD473" i="5" s="1"/>
  <c r="AD275" i="5"/>
  <c r="AH154" i="5"/>
  <c r="AH157" i="5"/>
  <c r="AD156" i="5"/>
  <c r="AD16" i="32" s="1"/>
  <c r="AH209" i="5"/>
  <c r="AE158" i="5"/>
  <c r="AE267" i="5" s="1"/>
  <c r="AE30" i="32" s="1"/>
  <c r="AH179" i="5"/>
  <c r="AH178" i="5"/>
  <c r="AI8" i="5"/>
  <c r="AI9" i="5" s="1"/>
  <c r="AG175" i="5"/>
  <c r="AG216" i="5" s="1"/>
  <c r="AH180" i="5"/>
  <c r="AG320" i="5"/>
  <c r="AG336" i="5" s="1"/>
  <c r="AG477" i="5"/>
  <c r="AH469" i="5"/>
  <c r="AH474" i="5" s="1"/>
  <c r="AH173" i="5"/>
  <c r="AH257" i="5" s="1"/>
  <c r="AH319" i="5"/>
  <c r="AH335" i="5" s="1"/>
  <c r="AJ6" i="5"/>
  <c r="AJ4" i="5"/>
  <c r="AJ5" i="5" s="1"/>
  <c r="AF10" i="5"/>
  <c r="AG10" i="5" s="1"/>
  <c r="AH10" i="5" s="1"/>
  <c r="AE169" i="5"/>
  <c r="AE168" i="5"/>
  <c r="AE167" i="5"/>
  <c r="AE170" i="5"/>
  <c r="AE445" i="5"/>
  <c r="AE171" i="5"/>
  <c r="AH233" i="5"/>
  <c r="AH326" i="5"/>
  <c r="AG181" i="5"/>
  <c r="AG341" i="5" s="1"/>
  <c r="AG415" i="5" s="1"/>
  <c r="AG428" i="5" s="1"/>
  <c r="AG233" i="5"/>
  <c r="AG326" i="5"/>
  <c r="AF183" i="5"/>
  <c r="AF186" i="5" s="1"/>
  <c r="AF260" i="5" s="1"/>
  <c r="AH111" i="5"/>
  <c r="AH116" i="5"/>
  <c r="AH258" i="5" s="1"/>
  <c r="AF358" i="5"/>
  <c r="AF414" i="5"/>
  <c r="AG322" i="5"/>
  <c r="AH148" i="5"/>
  <c r="AH150" i="5" s="1"/>
  <c r="AH139" i="5"/>
  <c r="AH144" i="5"/>
  <c r="AF396" i="5"/>
  <c r="AF280" i="5"/>
  <c r="AF410" i="5"/>
  <c r="AF426" i="5" s="1"/>
  <c r="AG449" i="5"/>
  <c r="AG272" i="5"/>
  <c r="AG274" i="5"/>
  <c r="AG276" i="5"/>
  <c r="AG269" i="5"/>
  <c r="AG267" i="5"/>
  <c r="AG270" i="5"/>
  <c r="AG275" i="5"/>
  <c r="AG268" i="5"/>
  <c r="AG271" i="5"/>
  <c r="AG273" i="5"/>
  <c r="AI254" i="5"/>
  <c r="AI420" i="5" s="1"/>
  <c r="AI169" i="5"/>
  <c r="AI123" i="5"/>
  <c r="AI281" i="5" s="1"/>
  <c r="AI445" i="5"/>
  <c r="AI171" i="5"/>
  <c r="AI167" i="5"/>
  <c r="AI277" i="5"/>
  <c r="AI447" i="5" s="1"/>
  <c r="AI170" i="5"/>
  <c r="AI456" i="5"/>
  <c r="AI132" i="5"/>
  <c r="AI465" i="5"/>
  <c r="AI172" i="5"/>
  <c r="AI459" i="5"/>
  <c r="AI104" i="5"/>
  <c r="AI461" i="5"/>
  <c r="AI251" i="5"/>
  <c r="AI467" i="5"/>
  <c r="AI168" i="5"/>
  <c r="AI165" i="5"/>
  <c r="AI256" i="5" s="1"/>
  <c r="D256" i="5" s="1"/>
  <c r="AI5" i="5"/>
  <c r="C4" i="5"/>
  <c r="AG131" i="5"/>
  <c r="AG103" i="5"/>
  <c r="AG110" i="5" s="1"/>
  <c r="AH450" i="5"/>
  <c r="AH97" i="5"/>
  <c r="AH156" i="5"/>
  <c r="AF122" i="5"/>
  <c r="AF138" i="5"/>
  <c r="AF451" i="5"/>
  <c r="AF457" i="5"/>
  <c r="AF460" i="5" s="1"/>
  <c r="AF462" i="5" s="1"/>
  <c r="AF473" i="5" s="1"/>
  <c r="AF453" i="5"/>
  <c r="AF454" i="5"/>
  <c r="AD30" i="32"/>
  <c r="AH4" i="26"/>
  <c r="AH8" i="26"/>
  <c r="AI3" i="26"/>
  <c r="AI7" i="26" s="1"/>
  <c r="AI58" i="26"/>
  <c r="AH9" i="26"/>
  <c r="AH10" i="26" s="1"/>
  <c r="AJ2" i="26"/>
  <c r="AI5" i="26"/>
  <c r="AI250" i="1"/>
  <c r="AI253" i="1"/>
  <c r="AE449" i="5" l="1"/>
  <c r="AE275" i="5"/>
  <c r="AD453" i="5"/>
  <c r="AI157" i="5"/>
  <c r="AI154" i="5"/>
  <c r="AE156" i="5"/>
  <c r="AE16" i="32" s="1"/>
  <c r="AE17" i="32"/>
  <c r="AI209" i="5"/>
  <c r="AH181" i="5"/>
  <c r="AH183" i="5" s="1"/>
  <c r="AE453" i="5"/>
  <c r="AE457" i="5"/>
  <c r="AE460" i="5" s="1"/>
  <c r="AE462" i="5" s="1"/>
  <c r="AE473" i="5" s="1"/>
  <c r="D174" i="27" a="1"/>
  <c r="D174" i="27" s="1"/>
  <c r="D169" i="5"/>
  <c r="D171" i="5"/>
  <c r="D170" i="5"/>
  <c r="D168" i="5"/>
  <c r="AH273" i="5"/>
  <c r="AH276" i="5"/>
  <c r="AH275" i="5"/>
  <c r="AH274" i="5"/>
  <c r="AH272" i="5"/>
  <c r="AH268" i="5"/>
  <c r="AH271" i="5"/>
  <c r="AH449" i="5"/>
  <c r="AH270" i="5"/>
  <c r="AH267" i="5"/>
  <c r="AH269" i="5"/>
  <c r="AH322" i="5"/>
  <c r="AH131" i="5"/>
  <c r="AH103" i="5"/>
  <c r="AH110" i="5" s="1"/>
  <c r="AI111" i="5"/>
  <c r="AI116" i="5"/>
  <c r="AI258" i="5" s="1"/>
  <c r="AG451" i="5"/>
  <c r="AG457" i="5"/>
  <c r="AG460" i="5" s="1"/>
  <c r="AG462" i="5" s="1"/>
  <c r="AG473" i="5" s="1"/>
  <c r="AG454" i="5"/>
  <c r="AG453" i="5"/>
  <c r="AF219" i="5"/>
  <c r="AF325" i="5"/>
  <c r="AG358" i="5"/>
  <c r="AG414" i="5"/>
  <c r="AI10" i="5"/>
  <c r="AG138" i="5"/>
  <c r="AG122" i="5"/>
  <c r="AI144" i="5"/>
  <c r="AI148" i="5"/>
  <c r="AI150" i="5" s="1"/>
  <c r="AI139" i="5"/>
  <c r="AG224" i="5"/>
  <c r="AG183" i="5"/>
  <c r="AJ8" i="5"/>
  <c r="AJ9" i="5" s="1"/>
  <c r="AF452" i="5"/>
  <c r="AF472" i="5"/>
  <c r="AF475" i="5" s="1"/>
  <c r="AI97" i="5"/>
  <c r="AI156" i="5"/>
  <c r="AI249" i="5"/>
  <c r="AI180" i="5"/>
  <c r="AI179" i="5"/>
  <c r="AI178" i="5"/>
  <c r="AI319" i="5"/>
  <c r="AI335" i="5" s="1"/>
  <c r="D165" i="5"/>
  <c r="AG280" i="5"/>
  <c r="AG410" i="5"/>
  <c r="AG426" i="5" s="1"/>
  <c r="AG396" i="5"/>
  <c r="AH358" i="5"/>
  <c r="AH414" i="5"/>
  <c r="AI173" i="5"/>
  <c r="AI257" i="5" s="1"/>
  <c r="D167" i="5"/>
  <c r="AI469" i="5"/>
  <c r="AI474" i="5" s="1"/>
  <c r="D474" i="5" s="1"/>
  <c r="AI450" i="5"/>
  <c r="AH175" i="5"/>
  <c r="AH216" i="5" s="1"/>
  <c r="AH477" i="5"/>
  <c r="AH320" i="5"/>
  <c r="AH336" i="5" s="1"/>
  <c r="AI8" i="26"/>
  <c r="AJ3" i="26"/>
  <c r="AJ7" i="26" s="1"/>
  <c r="AK1" i="26"/>
  <c r="AI9" i="26"/>
  <c r="AI10" i="26" s="1"/>
  <c r="AI4" i="26"/>
  <c r="C3" i="26"/>
  <c r="AJ5" i="26"/>
  <c r="AK253" i="1"/>
  <c r="AK250" i="1"/>
  <c r="AJ253" i="1"/>
  <c r="AJ250" i="1"/>
  <c r="E174" i="27" l="1" a="1"/>
  <c r="E174" i="27" s="1"/>
  <c r="AH341" i="5"/>
  <c r="AH415" i="5" s="1"/>
  <c r="AH428" i="5" s="1"/>
  <c r="AH224" i="5"/>
  <c r="AJ10" i="5"/>
  <c r="AI181" i="5"/>
  <c r="AI341" i="5" s="1"/>
  <c r="AI415" i="5" s="1"/>
  <c r="AI428" i="5" s="1"/>
  <c r="AI320" i="5"/>
  <c r="AI336" i="5" s="1"/>
  <c r="AG186" i="5"/>
  <c r="AG260" i="5" s="1"/>
  <c r="AG225" i="5"/>
  <c r="AG355" i="5"/>
  <c r="AG433" i="5" s="1"/>
  <c r="AH186" i="5"/>
  <c r="AH260" i="5" s="1"/>
  <c r="AH355" i="5"/>
  <c r="AH433" i="5" s="1"/>
  <c r="AH225" i="5"/>
  <c r="AH451" i="5"/>
  <c r="AH457" i="5"/>
  <c r="AH460" i="5" s="1"/>
  <c r="AH462" i="5" s="1"/>
  <c r="AH473" i="5" s="1"/>
  <c r="AH454" i="5"/>
  <c r="AH453" i="5"/>
  <c r="AI233" i="5"/>
  <c r="AI326" i="5"/>
  <c r="AG452" i="5"/>
  <c r="AG472" i="5"/>
  <c r="AG475" i="5" s="1"/>
  <c r="AI267" i="5"/>
  <c r="D267" i="5" s="1"/>
  <c r="AI271" i="5"/>
  <c r="AI275" i="5"/>
  <c r="D275" i="5" s="1"/>
  <c r="AI268" i="5"/>
  <c r="AI272" i="5"/>
  <c r="AI273" i="5"/>
  <c r="AI276" i="5"/>
  <c r="AI269" i="5"/>
  <c r="AI274" i="5"/>
  <c r="AI270" i="5"/>
  <c r="AI449" i="5"/>
  <c r="AI322" i="5"/>
  <c r="AI103" i="5"/>
  <c r="AI110" i="5" s="1"/>
  <c r="AI131" i="5"/>
  <c r="AI175" i="5"/>
  <c r="AI216" i="5" s="1"/>
  <c r="AH138" i="5"/>
  <c r="AH122" i="5"/>
  <c r="AI477" i="5"/>
  <c r="AF357" i="5"/>
  <c r="AF413" i="5"/>
  <c r="AH410" i="5"/>
  <c r="AH426" i="5" s="1"/>
  <c r="AH396" i="5"/>
  <c r="AH280" i="5"/>
  <c r="C3" i="35"/>
  <c r="AJ4" i="26"/>
  <c r="AJ8" i="26"/>
  <c r="AJ9" i="26"/>
  <c r="AJ10" i="26" s="1"/>
  <c r="E107" i="1"/>
  <c r="E25" i="22" s="1"/>
  <c r="F25" i="22" s="1"/>
  <c r="E108" i="1"/>
  <c r="E26" i="22" s="1"/>
  <c r="F26" i="22" s="1"/>
  <c r="E213" i="1"/>
  <c r="M215" i="1"/>
  <c r="U260" i="1"/>
  <c r="D5" i="13"/>
  <c r="F29" i="22" l="1"/>
  <c r="F6" i="22" s="1"/>
  <c r="AI183" i="5"/>
  <c r="AI186" i="5" s="1"/>
  <c r="AI260" i="5" s="1"/>
  <c r="AI224" i="5"/>
  <c r="AH452" i="5"/>
  <c r="AH472" i="5"/>
  <c r="AH475" i="5" s="1"/>
  <c r="AI410" i="5"/>
  <c r="AI426" i="5" s="1"/>
  <c r="AI396" i="5"/>
  <c r="AI280" i="5"/>
  <c r="AI122" i="5"/>
  <c r="AI138" i="5"/>
  <c r="AH325" i="5"/>
  <c r="AH219" i="5"/>
  <c r="AI451" i="5"/>
  <c r="AI457" i="5"/>
  <c r="AI460" i="5" s="1"/>
  <c r="AI462" i="5" s="1"/>
  <c r="AI473" i="5" s="1"/>
  <c r="D473" i="5" s="1"/>
  <c r="AI453" i="5"/>
  <c r="AI454" i="5"/>
  <c r="AI358" i="5"/>
  <c r="AI414" i="5"/>
  <c r="AG219" i="5"/>
  <c r="AG325" i="5"/>
  <c r="F172" i="5"/>
  <c r="G172" i="5"/>
  <c r="H172" i="5"/>
  <c r="I172" i="5"/>
  <c r="J172" i="5"/>
  <c r="K172" i="5"/>
  <c r="L172" i="5"/>
  <c r="M172" i="5"/>
  <c r="N172" i="5"/>
  <c r="O172" i="5"/>
  <c r="P172" i="5"/>
  <c r="Q172" i="5"/>
  <c r="R172" i="5"/>
  <c r="S172" i="5"/>
  <c r="U172" i="5"/>
  <c r="V172" i="5"/>
  <c r="W172" i="5"/>
  <c r="X172" i="5"/>
  <c r="T172" i="5"/>
  <c r="Y172" i="5"/>
  <c r="Z172" i="5"/>
  <c r="AA172" i="5"/>
  <c r="AB172" i="5"/>
  <c r="AC172" i="5"/>
  <c r="AD172" i="5"/>
  <c r="AE172" i="5"/>
  <c r="M11" i="13"/>
  <c r="M15" i="13"/>
  <c r="G25" i="22"/>
  <c r="H25" i="22" s="1"/>
  <c r="M16" i="13"/>
  <c r="N16" i="13" s="1"/>
  <c r="M20" i="13"/>
  <c r="N20" i="13" s="1"/>
  <c r="M10" i="13"/>
  <c r="N10" i="13" s="1"/>
  <c r="M9" i="13"/>
  <c r="AI355" i="5" l="1"/>
  <c r="AI433" i="5" s="1"/>
  <c r="AI225" i="5"/>
  <c r="J6" i="22"/>
  <c r="K6" i="22"/>
  <c r="AH357" i="5"/>
  <c r="AH413" i="5"/>
  <c r="D172" i="5"/>
  <c r="AG413" i="5"/>
  <c r="AG357" i="5"/>
  <c r="AI325" i="5"/>
  <c r="AI219" i="5"/>
  <c r="AI452" i="5"/>
  <c r="AI472" i="5"/>
  <c r="AI475" i="5" s="1"/>
  <c r="F34" i="5"/>
  <c r="F34" i="26" s="1"/>
  <c r="F7" i="22"/>
  <c r="G26" i="22"/>
  <c r="M17" i="13"/>
  <c r="N9" i="13"/>
  <c r="N15" i="13"/>
  <c r="N17" i="13" s="1"/>
  <c r="N11" i="13"/>
  <c r="K7" i="22" l="1"/>
  <c r="J7" i="22"/>
  <c r="AI357" i="5"/>
  <c r="AI413" i="5"/>
  <c r="H26" i="22"/>
  <c r="G29" i="22"/>
  <c r="G6" i="22" s="1"/>
  <c r="G34" i="5" l="1"/>
  <c r="G34" i="26" s="1"/>
  <c r="G7" i="22"/>
  <c r="H29" i="22"/>
  <c r="H6" i="22" s="1"/>
  <c r="H34" i="5" l="1"/>
  <c r="H7" i="22"/>
  <c r="H34" i="26" l="1"/>
  <c r="E266" i="27"/>
  <c r="G29" i="27"/>
  <c r="F29" i="27" s="1"/>
  <c r="H28" i="27"/>
  <c r="O56" i="21"/>
  <c r="N56" i="21"/>
  <c r="G56" i="21"/>
  <c r="X56" i="21" s="1"/>
  <c r="U56" i="21"/>
  <c r="V56" i="21"/>
  <c r="F58" i="21"/>
  <c r="I40" i="27" s="1"/>
  <c r="F47" i="21"/>
  <c r="I25" i="27" s="1"/>
  <c r="J29" i="27" l="1"/>
  <c r="K29" i="27" s="1"/>
  <c r="G28" i="27"/>
  <c r="F28" i="27" s="1"/>
  <c r="J28" i="27"/>
  <c r="K28" i="27" s="1"/>
  <c r="H29" i="27"/>
  <c r="H40" i="27"/>
  <c r="J40" i="27"/>
  <c r="K40" i="27" s="1"/>
  <c r="G40" i="27"/>
  <c r="F40" i="27" s="1"/>
  <c r="H56" i="21"/>
  <c r="P56" i="21"/>
  <c r="H25" i="27"/>
  <c r="G25" i="27"/>
  <c r="F25" i="27" s="1"/>
  <c r="J25" i="27"/>
  <c r="K25" i="27" s="1"/>
  <c r="W56" i="21"/>
  <c r="Q56" i="21"/>
  <c r="U47" i="21"/>
  <c r="V47" i="21"/>
  <c r="U58" i="21"/>
  <c r="V58" i="21"/>
  <c r="O58" i="21"/>
  <c r="N58" i="21"/>
  <c r="G58" i="21"/>
  <c r="G47" i="21"/>
  <c r="O47" i="21"/>
  <c r="N47" i="21"/>
  <c r="F60" i="21"/>
  <c r="I42" i="27" s="1"/>
  <c r="Y56" i="21" l="1"/>
  <c r="R56" i="21"/>
  <c r="J42" i="27"/>
  <c r="J43" i="27" s="1"/>
  <c r="I43" i="27"/>
  <c r="G42" i="27"/>
  <c r="F42" i="27" s="1"/>
  <c r="H42" i="27"/>
  <c r="H58" i="21"/>
  <c r="X58" i="21"/>
  <c r="W58" i="21"/>
  <c r="V60" i="21"/>
  <c r="U60" i="21"/>
  <c r="H47" i="21"/>
  <c r="X47" i="21"/>
  <c r="W47" i="21"/>
  <c r="P58" i="21"/>
  <c r="Q58" i="21"/>
  <c r="O60" i="21"/>
  <c r="N60" i="21"/>
  <c r="Q47" i="21"/>
  <c r="P47" i="21"/>
  <c r="G60" i="21"/>
  <c r="X60" i="21" s="1"/>
  <c r="F7" i="21"/>
  <c r="J33" i="27" l="1"/>
  <c r="J37" i="27" s="1"/>
  <c r="H33" i="27"/>
  <c r="H37" i="27" s="1"/>
  <c r="G33" i="27"/>
  <c r="G43" i="27"/>
  <c r="H43" i="27"/>
  <c r="K42" i="27"/>
  <c r="K43" i="27" s="1"/>
  <c r="W60" i="21"/>
  <c r="F6" i="21"/>
  <c r="U53" i="21"/>
  <c r="V53" i="21"/>
  <c r="U7" i="21"/>
  <c r="D275" i="1" s="1"/>
  <c r="V7" i="21"/>
  <c r="D287" i="1" s="1"/>
  <c r="Y47" i="21"/>
  <c r="Y58" i="21"/>
  <c r="G53" i="21"/>
  <c r="H53" i="21" s="1"/>
  <c r="Y53" i="21" s="1"/>
  <c r="O53" i="21"/>
  <c r="O32" i="21" s="1"/>
  <c r="N53" i="21"/>
  <c r="R58" i="21"/>
  <c r="N7" i="21"/>
  <c r="O7" i="21"/>
  <c r="R47" i="21"/>
  <c r="P60" i="21"/>
  <c r="Q60" i="21"/>
  <c r="D7" i="21"/>
  <c r="H60" i="21"/>
  <c r="G7" i="21"/>
  <c r="X7" i="21" s="1"/>
  <c r="F33" i="27" l="1"/>
  <c r="G37" i="27"/>
  <c r="H312" i="1"/>
  <c r="G57" i="35" s="1"/>
  <c r="E300" i="1"/>
  <c r="E45" i="35" s="1"/>
  <c r="K33" i="27"/>
  <c r="K37" i="27" s="1"/>
  <c r="I312" i="1"/>
  <c r="H57" i="35" s="1"/>
  <c r="D6" i="21"/>
  <c r="O6" i="21"/>
  <c r="N6" i="21"/>
  <c r="J312" i="1"/>
  <c r="I57" i="35" s="1"/>
  <c r="K312" i="1"/>
  <c r="J57" i="35" s="1"/>
  <c r="F312" i="1"/>
  <c r="F57" i="35" s="1"/>
  <c r="E312" i="1"/>
  <c r="E57" i="35" s="1"/>
  <c r="H300" i="1"/>
  <c r="G45" i="35" s="1"/>
  <c r="I300" i="1"/>
  <c r="H45" i="35" s="1"/>
  <c r="F300" i="1"/>
  <c r="F45" i="35" s="1"/>
  <c r="J300" i="1"/>
  <c r="I45" i="35" s="1"/>
  <c r="K300" i="1"/>
  <c r="J45" i="35" s="1"/>
  <c r="P53" i="21"/>
  <c r="G6" i="21"/>
  <c r="X53" i="21"/>
  <c r="W7" i="21"/>
  <c r="Y60" i="21"/>
  <c r="W53" i="21"/>
  <c r="U6" i="21"/>
  <c r="D277" i="1" s="1"/>
  <c r="V6" i="21"/>
  <c r="D289" i="1" s="1"/>
  <c r="Q53" i="21"/>
  <c r="H7" i="21"/>
  <c r="Y7" i="21" s="1"/>
  <c r="P7" i="21"/>
  <c r="Q7" i="21"/>
  <c r="R60" i="21"/>
  <c r="F45" i="21"/>
  <c r="D45" i="35" l="1"/>
  <c r="D57" i="35"/>
  <c r="D312" i="1"/>
  <c r="Q6" i="21"/>
  <c r="P6" i="21"/>
  <c r="I23" i="27"/>
  <c r="D300" i="1"/>
  <c r="J314" i="1"/>
  <c r="J302" i="1"/>
  <c r="I47" i="35" s="1"/>
  <c r="F302" i="1"/>
  <c r="F47" i="35" s="1"/>
  <c r="H302" i="1"/>
  <c r="G47" i="35" s="1"/>
  <c r="I302" i="1"/>
  <c r="H47" i="35" s="1"/>
  <c r="K302" i="1"/>
  <c r="J47" i="35" s="1"/>
  <c r="E302" i="1"/>
  <c r="E47" i="35" s="1"/>
  <c r="R53" i="21"/>
  <c r="W6" i="21"/>
  <c r="M6" i="13"/>
  <c r="N6" i="13" s="1"/>
  <c r="X6" i="21"/>
  <c r="H6" i="21"/>
  <c r="Y6" i="21" s="1"/>
  <c r="U45" i="21"/>
  <c r="V45" i="21"/>
  <c r="S7" i="21"/>
  <c r="L6" i="13"/>
  <c r="O45" i="21"/>
  <c r="N45" i="21"/>
  <c r="G45" i="21"/>
  <c r="S6" i="21" l="1"/>
  <c r="I59" i="35"/>
  <c r="D47" i="35"/>
  <c r="R6" i="21"/>
  <c r="X45" i="21"/>
  <c r="J23" i="27"/>
  <c r="H23" i="27"/>
  <c r="G23" i="27"/>
  <c r="F23" i="27" s="1"/>
  <c r="H314" i="1"/>
  <c r="E314" i="1"/>
  <c r="F314" i="1"/>
  <c r="K314" i="1"/>
  <c r="I314" i="1"/>
  <c r="D302" i="1"/>
  <c r="W45" i="21"/>
  <c r="M5" i="13"/>
  <c r="N5" i="13" s="1"/>
  <c r="L5" i="13"/>
  <c r="Q45" i="21"/>
  <c r="P45" i="21"/>
  <c r="R7" i="21"/>
  <c r="H45" i="21"/>
  <c r="F48" i="21"/>
  <c r="I26" i="27" s="1"/>
  <c r="E59" i="35" l="1"/>
  <c r="H59" i="35"/>
  <c r="F59" i="35"/>
  <c r="G59" i="35"/>
  <c r="J59" i="35"/>
  <c r="H26" i="27"/>
  <c r="G26" i="27"/>
  <c r="F26" i="27" s="1"/>
  <c r="J26" i="27"/>
  <c r="K26" i="27" s="1"/>
  <c r="K23" i="27"/>
  <c r="D314" i="1"/>
  <c r="V48" i="21"/>
  <c r="U48" i="21"/>
  <c r="Y45" i="21"/>
  <c r="R45" i="21"/>
  <c r="G48" i="21"/>
  <c r="N48" i="21"/>
  <c r="O48" i="21"/>
  <c r="F46" i="21"/>
  <c r="D59" i="35" l="1"/>
  <c r="I24" i="27"/>
  <c r="W48" i="21"/>
  <c r="U46" i="21"/>
  <c r="V46" i="21"/>
  <c r="H48" i="21"/>
  <c r="X48" i="21"/>
  <c r="O46" i="21"/>
  <c r="N46" i="21"/>
  <c r="P48" i="21"/>
  <c r="Q48" i="21"/>
  <c r="G46" i="21"/>
  <c r="X46" i="21" l="1"/>
  <c r="J24" i="27"/>
  <c r="K24" i="27" s="1"/>
  <c r="G24" i="27"/>
  <c r="F24" i="27" s="1"/>
  <c r="H24" i="27"/>
  <c r="Y48" i="21"/>
  <c r="W46" i="21"/>
  <c r="P46" i="21"/>
  <c r="R48" i="21"/>
  <c r="Q46" i="21"/>
  <c r="H46" i="21"/>
  <c r="Y46" i="21" l="1"/>
  <c r="R46" i="21"/>
  <c r="F49" i="21"/>
  <c r="F5" i="21" s="1"/>
  <c r="O114" i="15"/>
  <c r="O117" i="15"/>
  <c r="P117" i="15" s="1"/>
  <c r="O119" i="15"/>
  <c r="P119" i="15" s="1"/>
  <c r="O121" i="15"/>
  <c r="P121" i="15" s="1"/>
  <c r="O123" i="15"/>
  <c r="P123" i="15" s="1"/>
  <c r="O125" i="15"/>
  <c r="P125" i="15" s="1"/>
  <c r="O127" i="15"/>
  <c r="P127" i="15" s="1"/>
  <c r="O130" i="15"/>
  <c r="P130" i="15" s="1"/>
  <c r="O132" i="15"/>
  <c r="P132" i="15" s="1"/>
  <c r="O134" i="15"/>
  <c r="P134" i="15" s="1"/>
  <c r="O136" i="15"/>
  <c r="P136" i="15" s="1"/>
  <c r="O139" i="15"/>
  <c r="P139" i="15" s="1"/>
  <c r="O141" i="15"/>
  <c r="P141" i="15" s="1"/>
  <c r="O143" i="15"/>
  <c r="P143" i="15" s="1"/>
  <c r="O145" i="15"/>
  <c r="P145" i="15" s="1"/>
  <c r="O149" i="15"/>
  <c r="P149" i="15" s="1"/>
  <c r="O151" i="15"/>
  <c r="P151" i="15" s="1"/>
  <c r="O153" i="15"/>
  <c r="P153" i="15" s="1"/>
  <c r="O155" i="15"/>
  <c r="P155" i="15" s="1"/>
  <c r="O157" i="15"/>
  <c r="P157" i="15" s="1"/>
  <c r="O160" i="15"/>
  <c r="P160" i="15" s="1"/>
  <c r="O162" i="15"/>
  <c r="P162" i="15" s="1"/>
  <c r="O164" i="15"/>
  <c r="P164" i="15" s="1"/>
  <c r="O166" i="15"/>
  <c r="P166" i="15" s="1"/>
  <c r="O168" i="15"/>
  <c r="P168" i="15" s="1"/>
  <c r="O171" i="15"/>
  <c r="P171" i="15" s="1"/>
  <c r="O173" i="15"/>
  <c r="P173" i="15" s="1"/>
  <c r="O175" i="15"/>
  <c r="P175" i="15" s="1"/>
  <c r="O177" i="15"/>
  <c r="P177" i="15" s="1"/>
  <c r="O178" i="15"/>
  <c r="P178" i="15" s="1"/>
  <c r="O179" i="15"/>
  <c r="P179" i="15" s="1"/>
  <c r="O180" i="15"/>
  <c r="P180" i="15" s="1"/>
  <c r="O181" i="15"/>
  <c r="P181" i="15" s="1"/>
  <c r="O183" i="15"/>
  <c r="P183" i="15" s="1"/>
  <c r="O184" i="15"/>
  <c r="P184" i="15" s="1"/>
  <c r="I27" i="27" l="1"/>
  <c r="O5" i="21"/>
  <c r="O44" i="21"/>
  <c r="N44" i="21"/>
  <c r="U49" i="21"/>
  <c r="V49" i="21"/>
  <c r="O49" i="21"/>
  <c r="N49" i="21"/>
  <c r="G49" i="21"/>
  <c r="G5" i="21" s="1"/>
  <c r="F4" i="21"/>
  <c r="F8" i="15"/>
  <c r="P137" i="15"/>
  <c r="F7" i="15" s="1"/>
  <c r="F6" i="15"/>
  <c r="F5" i="15"/>
  <c r="P114" i="15"/>
  <c r="F4" i="15" s="1"/>
  <c r="K7" i="15" l="1"/>
  <c r="J7" i="15"/>
  <c r="J5" i="15"/>
  <c r="K5" i="15"/>
  <c r="F18" i="5"/>
  <c r="F18" i="26" s="1"/>
  <c r="E219" i="21"/>
  <c r="F219" i="21" s="1"/>
  <c r="E216" i="21"/>
  <c r="F216" i="21" s="1"/>
  <c r="E218" i="21"/>
  <c r="F218" i="21" s="1"/>
  <c r="E221" i="21"/>
  <c r="F221" i="21" s="1"/>
  <c r="E220" i="21"/>
  <c r="F220" i="21" s="1"/>
  <c r="K6" i="15"/>
  <c r="J6" i="15"/>
  <c r="K4" i="15"/>
  <c r="J4" i="15"/>
  <c r="J8" i="15"/>
  <c r="K8" i="15"/>
  <c r="G27" i="27"/>
  <c r="F27" i="27" s="1"/>
  <c r="J27" i="27"/>
  <c r="H27" i="27"/>
  <c r="I30" i="27"/>
  <c r="Q44" i="21"/>
  <c r="P44" i="21"/>
  <c r="U4" i="21"/>
  <c r="V4" i="21"/>
  <c r="X5" i="21"/>
  <c r="X49" i="21"/>
  <c r="W49" i="21"/>
  <c r="U5" i="21"/>
  <c r="D274" i="1" s="1"/>
  <c r="V5" i="21"/>
  <c r="D286" i="1" s="1"/>
  <c r="G4" i="21"/>
  <c r="D5" i="21"/>
  <c r="N5" i="21"/>
  <c r="F18" i="21"/>
  <c r="Q49" i="21"/>
  <c r="P49" i="21"/>
  <c r="D4" i="21"/>
  <c r="D18" i="5" s="1"/>
  <c r="D18" i="26" s="1"/>
  <c r="O4" i="21"/>
  <c r="N4" i="21"/>
  <c r="E217" i="21"/>
  <c r="F217" i="21" s="1"/>
  <c r="H49" i="21"/>
  <c r="G4" i="15"/>
  <c r="G6" i="15"/>
  <c r="G5" i="15"/>
  <c r="G7" i="15"/>
  <c r="G8" i="15"/>
  <c r="F12" i="15"/>
  <c r="F9" i="15"/>
  <c r="F10" i="15"/>
  <c r="F11" i="15"/>
  <c r="F13" i="15" l="1"/>
  <c r="F23" i="5" s="1"/>
  <c r="H4" i="15"/>
  <c r="F21" i="5"/>
  <c r="J9" i="15"/>
  <c r="K9" i="15"/>
  <c r="J12" i="15"/>
  <c r="K12" i="15"/>
  <c r="J11" i="15"/>
  <c r="K11" i="15"/>
  <c r="J10" i="15"/>
  <c r="K10" i="15"/>
  <c r="L7" i="15"/>
  <c r="L6" i="15"/>
  <c r="L5" i="15"/>
  <c r="L8" i="15"/>
  <c r="X4" i="21"/>
  <c r="G18" i="5"/>
  <c r="I45" i="27"/>
  <c r="G30" i="27"/>
  <c r="H30" i="27"/>
  <c r="K27" i="27"/>
  <c r="K30" i="27" s="1"/>
  <c r="K45" i="27" s="1"/>
  <c r="J30" i="27"/>
  <c r="J45" i="27" s="1"/>
  <c r="R44" i="21"/>
  <c r="L4" i="15"/>
  <c r="F21" i="26"/>
  <c r="Y49" i="21"/>
  <c r="W5" i="21"/>
  <c r="W4" i="21"/>
  <c r="U18" i="21"/>
  <c r="V18" i="21"/>
  <c r="U216" i="21"/>
  <c r="V216" i="21"/>
  <c r="V220" i="21"/>
  <c r="U220" i="21"/>
  <c r="U218" i="21"/>
  <c r="V218" i="21"/>
  <c r="U219" i="21"/>
  <c r="V219" i="21"/>
  <c r="U217" i="21"/>
  <c r="V217" i="21"/>
  <c r="U221" i="21"/>
  <c r="V221" i="21"/>
  <c r="Q5" i="21"/>
  <c r="O18" i="21"/>
  <c r="N18" i="21"/>
  <c r="G18" i="21"/>
  <c r="X18" i="21" s="1"/>
  <c r="R49" i="21"/>
  <c r="H5" i="21"/>
  <c r="Y5" i="21" s="1"/>
  <c r="G220" i="21"/>
  <c r="O220" i="21"/>
  <c r="N220" i="21"/>
  <c r="F19" i="21"/>
  <c r="G218" i="21"/>
  <c r="O218" i="21"/>
  <c r="N218" i="21"/>
  <c r="F21" i="21"/>
  <c r="O221" i="21"/>
  <c r="N221" i="21"/>
  <c r="G216" i="21"/>
  <c r="X216" i="21" s="1"/>
  <c r="O216" i="21"/>
  <c r="N216" i="21"/>
  <c r="G219" i="21"/>
  <c r="N219" i="21"/>
  <c r="O219" i="21"/>
  <c r="N217" i="21"/>
  <c r="O217" i="21"/>
  <c r="G217" i="21"/>
  <c r="H4" i="21"/>
  <c r="P5" i="21"/>
  <c r="G221" i="21"/>
  <c r="H6" i="15"/>
  <c r="G11" i="15"/>
  <c r="H11" i="15" s="1"/>
  <c r="G9" i="15"/>
  <c r="H5" i="15"/>
  <c r="G10" i="15"/>
  <c r="H7" i="15"/>
  <c r="H8" i="15"/>
  <c r="G12" i="15"/>
  <c r="E33" i="15"/>
  <c r="J115" i="27" l="1"/>
  <c r="J129" i="27" s="1"/>
  <c r="E249" i="27"/>
  <c r="AC9" i="27"/>
  <c r="F249" i="27"/>
  <c r="I84" i="27"/>
  <c r="D249" i="27"/>
  <c r="E13" i="15"/>
  <c r="G13" i="15"/>
  <c r="G23" i="5" s="1"/>
  <c r="Y4" i="21"/>
  <c r="K13" i="15"/>
  <c r="D291" i="1" s="1"/>
  <c r="J13" i="15"/>
  <c r="H18" i="5"/>
  <c r="H18" i="26" s="1"/>
  <c r="L9" i="15"/>
  <c r="L10" i="15"/>
  <c r="D23" i="5"/>
  <c r="D23" i="26" s="1"/>
  <c r="L11" i="15"/>
  <c r="L12" i="15"/>
  <c r="F32" i="5"/>
  <c r="F32" i="26" s="1"/>
  <c r="F23" i="26"/>
  <c r="G18" i="26"/>
  <c r="G21" i="26" s="1"/>
  <c r="G21" i="5"/>
  <c r="J84" i="27"/>
  <c r="G45" i="27"/>
  <c r="H45" i="27"/>
  <c r="K115" i="27"/>
  <c r="K129" i="27" s="1"/>
  <c r="K84" i="27"/>
  <c r="I115" i="27"/>
  <c r="I129" i="27" s="1"/>
  <c r="W220" i="21"/>
  <c r="W219" i="21"/>
  <c r="W216" i="21"/>
  <c r="U21" i="21"/>
  <c r="V21" i="21"/>
  <c r="W221" i="21"/>
  <c r="W217" i="21"/>
  <c r="H218" i="21"/>
  <c r="X218" i="21"/>
  <c r="G21" i="21"/>
  <c r="H21" i="21" s="1"/>
  <c r="Y21" i="21" s="1"/>
  <c r="X221" i="21"/>
  <c r="U19" i="21"/>
  <c r="V19" i="21"/>
  <c r="H219" i="21"/>
  <c r="X219" i="21"/>
  <c r="W218" i="21"/>
  <c r="H217" i="21"/>
  <c r="X217" i="21"/>
  <c r="H220" i="21"/>
  <c r="Y220" i="21" s="1"/>
  <c r="X220" i="21"/>
  <c r="W18" i="21"/>
  <c r="M4" i="13"/>
  <c r="S4" i="21"/>
  <c r="O21" i="21"/>
  <c r="S5" i="21"/>
  <c r="L4" i="13"/>
  <c r="L7" i="13" s="1"/>
  <c r="H216" i="21"/>
  <c r="G19" i="21"/>
  <c r="Q220" i="21"/>
  <c r="P220" i="21"/>
  <c r="N21" i="21"/>
  <c r="Q219" i="21"/>
  <c r="P219" i="21"/>
  <c r="P216" i="21"/>
  <c r="Q216" i="21"/>
  <c r="Q221" i="21"/>
  <c r="P221" i="21"/>
  <c r="P218" i="21"/>
  <c r="Q218" i="21"/>
  <c r="Q217" i="21"/>
  <c r="P217" i="21"/>
  <c r="H14" i="21"/>
  <c r="D14" i="21"/>
  <c r="D20" i="5" s="1"/>
  <c r="D20" i="26" s="1"/>
  <c r="R5" i="21"/>
  <c r="F20" i="21"/>
  <c r="O19" i="21"/>
  <c r="N19" i="21"/>
  <c r="P4" i="21"/>
  <c r="Q4" i="21"/>
  <c r="H221" i="21"/>
  <c r="H12" i="15"/>
  <c r="H9" i="15"/>
  <c r="H10" i="15"/>
  <c r="F33" i="15"/>
  <c r="F34" i="15" s="1"/>
  <c r="P33" i="15"/>
  <c r="H13" i="15" l="1"/>
  <c r="H23" i="5" s="1"/>
  <c r="F25" i="5"/>
  <c r="F26" i="5" s="1"/>
  <c r="E34" i="15"/>
  <c r="H18" i="21"/>
  <c r="Y18" i="21" s="1"/>
  <c r="Y14" i="21"/>
  <c r="K33" i="15"/>
  <c r="K34" i="15" s="1"/>
  <c r="J33" i="15"/>
  <c r="J34" i="15" s="1"/>
  <c r="J316" i="1"/>
  <c r="I61" i="35" s="1"/>
  <c r="I316" i="1"/>
  <c r="H61" i="35" s="1"/>
  <c r="K316" i="1"/>
  <c r="J61" i="35" s="1"/>
  <c r="H316" i="1"/>
  <c r="G61" i="35" s="1"/>
  <c r="E316" i="1"/>
  <c r="F316" i="1"/>
  <c r="F61" i="35" s="1"/>
  <c r="L13" i="15"/>
  <c r="D279" i="1"/>
  <c r="G23" i="26"/>
  <c r="H20" i="5"/>
  <c r="X19" i="21"/>
  <c r="G32" i="5"/>
  <c r="G32" i="26" s="1"/>
  <c r="I311" i="1"/>
  <c r="K311" i="1"/>
  <c r="J311" i="1"/>
  <c r="H311" i="1"/>
  <c r="F311" i="1"/>
  <c r="E311" i="1"/>
  <c r="I299" i="1"/>
  <c r="E299" i="1"/>
  <c r="K299" i="1"/>
  <c r="J299" i="1"/>
  <c r="H299" i="1"/>
  <c r="F299" i="1"/>
  <c r="G115" i="27"/>
  <c r="G129" i="27" s="1"/>
  <c r="H115" i="27"/>
  <c r="H129" i="27" s="1"/>
  <c r="Y221" i="21"/>
  <c r="X21" i="21"/>
  <c r="V20" i="21"/>
  <c r="U20" i="21"/>
  <c r="Y217" i="21"/>
  <c r="W19" i="21"/>
  <c r="Y218" i="21"/>
  <c r="Y216" i="21"/>
  <c r="Y219" i="21"/>
  <c r="W21" i="21"/>
  <c r="Q18" i="21"/>
  <c r="P18" i="21"/>
  <c r="H19" i="21"/>
  <c r="Y19" i="21" s="1"/>
  <c r="R216" i="21"/>
  <c r="S21" i="21"/>
  <c r="Q21" i="21"/>
  <c r="S14" i="21"/>
  <c r="R220" i="21"/>
  <c r="P21" i="21"/>
  <c r="R217" i="21"/>
  <c r="R221" i="21"/>
  <c r="R219" i="21"/>
  <c r="F22" i="21"/>
  <c r="R218" i="21"/>
  <c r="N20" i="21"/>
  <c r="O20" i="21"/>
  <c r="R4" i="21"/>
  <c r="G20" i="21"/>
  <c r="X20" i="21" s="1"/>
  <c r="M7" i="13"/>
  <c r="N4" i="13"/>
  <c r="N7" i="13" s="1"/>
  <c r="G33" i="15"/>
  <c r="G34" i="15" l="1"/>
  <c r="G25" i="5" s="1"/>
  <c r="G26" i="5" s="1"/>
  <c r="H32" i="5"/>
  <c r="E56" i="35"/>
  <c r="J56" i="35"/>
  <c r="E304" i="1"/>
  <c r="I304" i="1"/>
  <c r="H49" i="35" s="1"/>
  <c r="H304" i="1"/>
  <c r="G49" i="35" s="1"/>
  <c r="F304" i="1"/>
  <c r="F49" i="35" s="1"/>
  <c r="K304" i="1"/>
  <c r="J49" i="35" s="1"/>
  <c r="J304" i="1"/>
  <c r="I49" i="35" s="1"/>
  <c r="E61" i="35"/>
  <c r="D61" i="35" s="1"/>
  <c r="D316" i="1"/>
  <c r="D25" i="5"/>
  <c r="D25" i="26" s="1"/>
  <c r="D293" i="1"/>
  <c r="L33" i="15"/>
  <c r="H23" i="26"/>
  <c r="H20" i="26"/>
  <c r="H21" i="26" s="1"/>
  <c r="H21" i="5"/>
  <c r="F44" i="35"/>
  <c r="I44" i="35"/>
  <c r="J44" i="35"/>
  <c r="E44" i="35"/>
  <c r="G56" i="35"/>
  <c r="I56" i="35"/>
  <c r="F56" i="35"/>
  <c r="H56" i="35"/>
  <c r="H44" i="35"/>
  <c r="G44" i="35"/>
  <c r="D299" i="1"/>
  <c r="D311" i="1"/>
  <c r="W20" i="21"/>
  <c r="U22" i="21"/>
  <c r="V22" i="21"/>
  <c r="S18" i="21"/>
  <c r="O22" i="21"/>
  <c r="N22" i="21"/>
  <c r="R18" i="21"/>
  <c r="M12" i="13"/>
  <c r="L12" i="13"/>
  <c r="L13" i="13" s="1"/>
  <c r="S19" i="21"/>
  <c r="D37" i="15"/>
  <c r="F37" i="15" s="1"/>
  <c r="R21" i="21"/>
  <c r="G22" i="21"/>
  <c r="X22" i="21" s="1"/>
  <c r="P19" i="21"/>
  <c r="Q19" i="21"/>
  <c r="H20" i="21"/>
  <c r="Y20" i="21" s="1"/>
  <c r="H33" i="15"/>
  <c r="H34" i="15" s="1"/>
  <c r="H25" i="5" s="1"/>
  <c r="H26" i="5" s="1"/>
  <c r="H32" i="26" l="1"/>
  <c r="E264" i="27"/>
  <c r="G25" i="26"/>
  <c r="G26" i="26" s="1"/>
  <c r="G37" i="15"/>
  <c r="H37" i="15" s="1"/>
  <c r="G40" i="5"/>
  <c r="J131" i="27"/>
  <c r="D56" i="35"/>
  <c r="D44" i="35"/>
  <c r="F25" i="26"/>
  <c r="F26" i="26" s="1"/>
  <c r="J318" i="1"/>
  <c r="K318" i="1"/>
  <c r="I318" i="1"/>
  <c r="E318" i="1"/>
  <c r="E319" i="1" s="1"/>
  <c r="H318" i="1"/>
  <c r="F318" i="1"/>
  <c r="D294" i="1"/>
  <c r="J37" i="15"/>
  <c r="K37" i="15"/>
  <c r="L34" i="15"/>
  <c r="D281" i="1"/>
  <c r="E49" i="35"/>
  <c r="D49" i="35" s="1"/>
  <c r="D304" i="1"/>
  <c r="W22" i="21"/>
  <c r="N12" i="13"/>
  <c r="N13" i="13" s="1"/>
  <c r="M13" i="13"/>
  <c r="S20" i="21"/>
  <c r="H22" i="21"/>
  <c r="Y22" i="21" s="1"/>
  <c r="R19" i="21"/>
  <c r="L19" i="13"/>
  <c r="M19" i="13"/>
  <c r="F40" i="5" l="1"/>
  <c r="I131" i="27"/>
  <c r="F63" i="35"/>
  <c r="F64" i="35" s="1"/>
  <c r="F319" i="1"/>
  <c r="J63" i="35"/>
  <c r="J64" i="35" s="1"/>
  <c r="K319" i="1"/>
  <c r="H63" i="35"/>
  <c r="H64" i="35" s="1"/>
  <c r="I319" i="1"/>
  <c r="G63" i="35"/>
  <c r="G64" i="35" s="1"/>
  <c r="H319" i="1"/>
  <c r="I63" i="35"/>
  <c r="I64" i="35" s="1"/>
  <c r="J319" i="1"/>
  <c r="K306" i="1"/>
  <c r="H306" i="1"/>
  <c r="E306" i="1"/>
  <c r="F306" i="1"/>
  <c r="I306" i="1"/>
  <c r="J306" i="1"/>
  <c r="D282" i="1"/>
  <c r="D266" i="1" s="1"/>
  <c r="L37" i="15"/>
  <c r="D318" i="1"/>
  <c r="D319" i="1" s="1"/>
  <c r="E63" i="35"/>
  <c r="H25" i="26"/>
  <c r="S22" i="21"/>
  <c r="D39" i="15"/>
  <c r="F39" i="15" s="1"/>
  <c r="Q20" i="21"/>
  <c r="P20" i="21"/>
  <c r="N19" i="13"/>
  <c r="G39" i="15" l="1"/>
  <c r="H39" i="15" s="1"/>
  <c r="K131" i="27"/>
  <c r="E64" i="35"/>
  <c r="D64" i="35" s="1"/>
  <c r="D63" i="35"/>
  <c r="J39" i="15"/>
  <c r="J40" i="15" s="1"/>
  <c r="J41" i="15" s="1"/>
  <c r="K39" i="15"/>
  <c r="K40" i="15" s="1"/>
  <c r="K41" i="15" s="1"/>
  <c r="H51" i="35"/>
  <c r="H52" i="35" s="1"/>
  <c r="H66" i="35" s="1"/>
  <c r="H71" i="35" s="1"/>
  <c r="I307" i="1"/>
  <c r="I321" i="1" s="1"/>
  <c r="F51" i="35"/>
  <c r="F52" i="35" s="1"/>
  <c r="F66" i="35" s="1"/>
  <c r="F71" i="35" s="1"/>
  <c r="F307" i="1"/>
  <c r="F321" i="1" s="1"/>
  <c r="E51" i="35"/>
  <c r="D306" i="1"/>
  <c r="D307" i="1" s="1"/>
  <c r="E307" i="1"/>
  <c r="E321" i="1" s="1"/>
  <c r="G51" i="35"/>
  <c r="G52" i="35" s="1"/>
  <c r="G66" i="35" s="1"/>
  <c r="G71" i="35" s="1"/>
  <c r="H307" i="1"/>
  <c r="H321" i="1" s="1"/>
  <c r="J51" i="35"/>
  <c r="J52" i="35" s="1"/>
  <c r="J66" i="35" s="1"/>
  <c r="J71" i="35" s="1"/>
  <c r="K307" i="1"/>
  <c r="K321" i="1" s="1"/>
  <c r="I51" i="35"/>
  <c r="I52" i="35" s="1"/>
  <c r="I66" i="35" s="1"/>
  <c r="I71" i="35" s="1"/>
  <c r="J307" i="1"/>
  <c r="J321" i="1" s="1"/>
  <c r="L21" i="13"/>
  <c r="L22" i="13" s="1"/>
  <c r="Q22" i="21"/>
  <c r="P22" i="21"/>
  <c r="M21" i="13"/>
  <c r="M22" i="13" s="1"/>
  <c r="H26" i="26"/>
  <c r="F40" i="15"/>
  <c r="R20" i="21"/>
  <c r="G40" i="15" l="1"/>
  <c r="G33" i="5" s="1"/>
  <c r="D268" i="1"/>
  <c r="D269" i="1" s="1"/>
  <c r="F33" i="5"/>
  <c r="F33" i="26" s="1"/>
  <c r="F35" i="26" s="1"/>
  <c r="E52" i="35"/>
  <c r="E66" i="35" s="1"/>
  <c r="D51" i="35"/>
  <c r="D321" i="1"/>
  <c r="J323" i="1" s="1"/>
  <c r="J266" i="1" s="1"/>
  <c r="L39" i="15"/>
  <c r="G41" i="15"/>
  <c r="H40" i="15"/>
  <c r="R22" i="21"/>
  <c r="N21" i="13"/>
  <c r="N22" i="13" s="1"/>
  <c r="E40" i="15"/>
  <c r="F41" i="15"/>
  <c r="H43" i="15" l="1"/>
  <c r="H33" i="5"/>
  <c r="E265" i="27" s="1"/>
  <c r="E267" i="27" s="1"/>
  <c r="F256" i="27" s="1"/>
  <c r="F257" i="27" s="1"/>
  <c r="H41" i="15"/>
  <c r="F35" i="5"/>
  <c r="F42" i="5" s="1"/>
  <c r="E74" i="35"/>
  <c r="H74" i="35"/>
  <c r="D52" i="35"/>
  <c r="I323" i="1"/>
  <c r="I266" i="1" s="1"/>
  <c r="K323" i="1"/>
  <c r="K266" i="1" s="1"/>
  <c r="F241" i="1" s="1"/>
  <c r="F48" i="5" s="1"/>
  <c r="F323" i="1"/>
  <c r="F266" i="1" s="1"/>
  <c r="H323" i="1"/>
  <c r="H266" i="1" s="1"/>
  <c r="F74" i="35"/>
  <c r="I74" i="35"/>
  <c r="G74" i="35"/>
  <c r="J74" i="35"/>
  <c r="E71" i="35"/>
  <c r="D71" i="35" s="1"/>
  <c r="D66" i="35"/>
  <c r="E323" i="1"/>
  <c r="E266" i="1" s="1"/>
  <c r="L40" i="15"/>
  <c r="L41" i="15" s="1"/>
  <c r="G35" i="5"/>
  <c r="G33" i="26"/>
  <c r="G35" i="26" s="1"/>
  <c r="H33" i="26"/>
  <c r="H35" i="26" s="1"/>
  <c r="F36" i="5" l="1"/>
  <c r="F38" i="5" s="1"/>
  <c r="E241" i="1"/>
  <c r="E48" i="5" s="1"/>
  <c r="G36" i="5"/>
  <c r="G38" i="5" s="1"/>
  <c r="G42" i="5"/>
  <c r="G36" i="26"/>
  <c r="G38" i="26" s="1"/>
  <c r="H35" i="5"/>
  <c r="H36" i="26"/>
  <c r="H241" i="1" l="1"/>
  <c r="I241" i="1" s="1"/>
  <c r="H36" i="5"/>
  <c r="H42" i="5"/>
  <c r="L24" i="13"/>
  <c r="M24" i="13"/>
  <c r="N24" i="13" s="1"/>
  <c r="G48" i="5" l="1"/>
  <c r="E50" i="5"/>
  <c r="G50" i="5"/>
  <c r="F50" i="5"/>
  <c r="H50" i="5"/>
  <c r="I50" i="5"/>
  <c r="J50" i="5"/>
  <c r="K50" i="5"/>
  <c r="L50" i="5"/>
  <c r="M50" i="5"/>
  <c r="N50" i="5"/>
  <c r="O50" i="5"/>
  <c r="P50" i="5"/>
  <c r="Q50" i="5"/>
  <c r="R50" i="5"/>
  <c r="S50" i="5"/>
  <c r="T50" i="5"/>
  <c r="U50" i="5"/>
  <c r="V50" i="5"/>
  <c r="W50" i="5"/>
  <c r="X50" i="5"/>
  <c r="Y50" i="5"/>
  <c r="Z50" i="5"/>
  <c r="AA50" i="5"/>
  <c r="AB50" i="5"/>
  <c r="AC50" i="5"/>
  <c r="AD50" i="5"/>
  <c r="AE50" i="5"/>
  <c r="AF50" i="5"/>
  <c r="AG50" i="5"/>
  <c r="AH50" i="5"/>
  <c r="AI50" i="5"/>
  <c r="H48" i="5"/>
  <c r="J241" i="1"/>
  <c r="H15" i="13"/>
  <c r="I48" i="5" l="1"/>
  <c r="K241" i="1"/>
  <c r="G173" i="5"/>
  <c r="G257" i="5" s="1"/>
  <c r="H173" i="5"/>
  <c r="H257" i="5" s="1"/>
  <c r="I173" i="5"/>
  <c r="I257" i="5" s="1"/>
  <c r="J173" i="5"/>
  <c r="J257" i="5" s="1"/>
  <c r="K173" i="5"/>
  <c r="K257" i="5" s="1"/>
  <c r="L173" i="5"/>
  <c r="L257" i="5" s="1"/>
  <c r="M173" i="5"/>
  <c r="M257" i="5" s="1"/>
  <c r="N173" i="5"/>
  <c r="N257" i="5" s="1"/>
  <c r="O173" i="5"/>
  <c r="O257" i="5" s="1"/>
  <c r="P173" i="5"/>
  <c r="P257" i="5" s="1"/>
  <c r="Q173" i="5"/>
  <c r="Q257" i="5" s="1"/>
  <c r="R173" i="5"/>
  <c r="R257" i="5" s="1"/>
  <c r="S173" i="5"/>
  <c r="S257" i="5" s="1"/>
  <c r="T173" i="5"/>
  <c r="T257" i="5" s="1"/>
  <c r="U173" i="5"/>
  <c r="U257" i="5" s="1"/>
  <c r="V173" i="5"/>
  <c r="V257" i="5" s="1"/>
  <c r="W173" i="5"/>
  <c r="W257" i="5" s="1"/>
  <c r="X173" i="5"/>
  <c r="X257" i="5" s="1"/>
  <c r="Z173" i="5"/>
  <c r="Z257" i="5" s="1"/>
  <c r="Y173" i="5"/>
  <c r="Y257" i="5" s="1"/>
  <c r="AA173" i="5"/>
  <c r="AA257" i="5" s="1"/>
  <c r="AB173" i="5"/>
  <c r="AB257" i="5" s="1"/>
  <c r="AD173" i="5"/>
  <c r="AD257" i="5" s="1"/>
  <c r="AC173" i="5"/>
  <c r="AC257" i="5" s="1"/>
  <c r="AE173" i="5"/>
  <c r="AE257" i="5" s="1"/>
  <c r="J48" i="5" l="1"/>
  <c r="L241" i="1"/>
  <c r="AE175" i="5"/>
  <c r="AE320" i="5"/>
  <c r="AE336" i="5" s="1"/>
  <c r="S320" i="5"/>
  <c r="S336" i="5" s="1"/>
  <c r="S175" i="5"/>
  <c r="G320" i="5"/>
  <c r="G336" i="5" s="1"/>
  <c r="G175" i="5"/>
  <c r="AC175" i="5"/>
  <c r="AC320" i="5"/>
  <c r="AC336" i="5" s="1"/>
  <c r="R320" i="5"/>
  <c r="R336" i="5" s="1"/>
  <c r="R175" i="5"/>
  <c r="F173" i="5"/>
  <c r="F257" i="5" s="1"/>
  <c r="D257" i="5" s="1"/>
  <c r="T175" i="5"/>
  <c r="T320" i="5"/>
  <c r="T336" i="5" s="1"/>
  <c r="H320" i="5"/>
  <c r="H336" i="5" s="1"/>
  <c r="H175" i="5"/>
  <c r="AD175" i="5"/>
  <c r="AD320" i="5"/>
  <c r="AD336" i="5" s="1"/>
  <c r="Q320" i="5"/>
  <c r="Q336" i="5" s="1"/>
  <c r="Q175" i="5"/>
  <c r="AB320" i="5"/>
  <c r="AB336" i="5" s="1"/>
  <c r="AB175" i="5"/>
  <c r="P320" i="5"/>
  <c r="P336" i="5" s="1"/>
  <c r="P175" i="5"/>
  <c r="AA320" i="5"/>
  <c r="AA336" i="5" s="1"/>
  <c r="AA175" i="5"/>
  <c r="O320" i="5"/>
  <c r="O336" i="5" s="1"/>
  <c r="O175" i="5"/>
  <c r="Y320" i="5"/>
  <c r="Y336" i="5" s="1"/>
  <c r="Y175" i="5"/>
  <c r="N175" i="5"/>
  <c r="N320" i="5"/>
  <c r="N336" i="5" s="1"/>
  <c r="Z320" i="5"/>
  <c r="Z336" i="5" s="1"/>
  <c r="Z175" i="5"/>
  <c r="M320" i="5"/>
  <c r="M336" i="5" s="1"/>
  <c r="M175" i="5"/>
  <c r="X320" i="5"/>
  <c r="X336" i="5" s="1"/>
  <c r="X175" i="5"/>
  <c r="L320" i="5"/>
  <c r="L336" i="5" s="1"/>
  <c r="L175" i="5"/>
  <c r="W320" i="5"/>
  <c r="W336" i="5" s="1"/>
  <c r="W175" i="5"/>
  <c r="K320" i="5"/>
  <c r="K336" i="5" s="1"/>
  <c r="K175" i="5"/>
  <c r="V175" i="5"/>
  <c r="V320" i="5"/>
  <c r="V336" i="5" s="1"/>
  <c r="J320" i="5"/>
  <c r="J336" i="5" s="1"/>
  <c r="J175" i="5"/>
  <c r="U320" i="5"/>
  <c r="U336" i="5" s="1"/>
  <c r="U175" i="5"/>
  <c r="I175" i="5"/>
  <c r="I320" i="5"/>
  <c r="I336" i="5" s="1"/>
  <c r="K48" i="5" l="1"/>
  <c r="M241" i="1"/>
  <c r="K216" i="5"/>
  <c r="K179" i="5"/>
  <c r="K180" i="5"/>
  <c r="AA268" i="5"/>
  <c r="AA477" i="5"/>
  <c r="U268" i="5"/>
  <c r="U477" i="5"/>
  <c r="K477" i="5"/>
  <c r="K268" i="5"/>
  <c r="Q179" i="5"/>
  <c r="Q216" i="5"/>
  <c r="Q180" i="5"/>
  <c r="R268" i="5"/>
  <c r="R477" i="5"/>
  <c r="S216" i="5"/>
  <c r="S180" i="5"/>
  <c r="S179" i="5"/>
  <c r="U180" i="5"/>
  <c r="U179" i="5"/>
  <c r="U216" i="5"/>
  <c r="M216" i="5"/>
  <c r="M180" i="5"/>
  <c r="M179" i="5"/>
  <c r="AE477" i="5"/>
  <c r="AE268" i="5"/>
  <c r="L216" i="5"/>
  <c r="L179" i="5"/>
  <c r="L180" i="5"/>
  <c r="Q477" i="5"/>
  <c r="Q268" i="5"/>
  <c r="AC268" i="5"/>
  <c r="AC477" i="5"/>
  <c r="AE180" i="5"/>
  <c r="AE216" i="5"/>
  <c r="AE179" i="5"/>
  <c r="R179" i="5"/>
  <c r="R180" i="5"/>
  <c r="R216" i="5"/>
  <c r="W477" i="5"/>
  <c r="W268" i="5"/>
  <c r="M268" i="5"/>
  <c r="M477" i="5"/>
  <c r="H179" i="5"/>
  <c r="H180" i="5"/>
  <c r="H216" i="5"/>
  <c r="AC216" i="5"/>
  <c r="AC179" i="5"/>
  <c r="AC180" i="5"/>
  <c r="I180" i="5"/>
  <c r="I179" i="5"/>
  <c r="I216" i="5"/>
  <c r="J477" i="5"/>
  <c r="J268" i="5"/>
  <c r="L477" i="5"/>
  <c r="L268" i="5"/>
  <c r="Z216" i="5"/>
  <c r="Z180" i="5"/>
  <c r="Z179" i="5"/>
  <c r="AD216" i="5"/>
  <c r="AD179" i="5"/>
  <c r="AD180" i="5"/>
  <c r="H477" i="5"/>
  <c r="H268" i="5"/>
  <c r="AA179" i="5"/>
  <c r="AA180" i="5"/>
  <c r="AA216" i="5"/>
  <c r="X216" i="5"/>
  <c r="X179" i="5"/>
  <c r="X180" i="5"/>
  <c r="N477" i="5"/>
  <c r="N268" i="5"/>
  <c r="P268" i="5"/>
  <c r="P477" i="5"/>
  <c r="AD477" i="5"/>
  <c r="AD268" i="5"/>
  <c r="J216" i="5"/>
  <c r="J180" i="5"/>
  <c r="J179" i="5"/>
  <c r="V216" i="5"/>
  <c r="V180" i="5"/>
  <c r="V179" i="5"/>
  <c r="Z268" i="5"/>
  <c r="Z477" i="5"/>
  <c r="N216" i="5"/>
  <c r="N179" i="5"/>
  <c r="N180" i="5"/>
  <c r="P216" i="5"/>
  <c r="P179" i="5"/>
  <c r="P180" i="5"/>
  <c r="G179" i="5"/>
  <c r="G180" i="5"/>
  <c r="G216" i="5"/>
  <c r="X477" i="5"/>
  <c r="X268" i="5"/>
  <c r="Y180" i="5"/>
  <c r="Y179" i="5"/>
  <c r="Y216" i="5"/>
  <c r="O179" i="5"/>
  <c r="O216" i="5"/>
  <c r="O180" i="5"/>
  <c r="T268" i="5"/>
  <c r="T477" i="5"/>
  <c r="W216" i="5"/>
  <c r="W180" i="5"/>
  <c r="W179" i="5"/>
  <c r="AB477" i="5"/>
  <c r="AB268" i="5"/>
  <c r="T216" i="5"/>
  <c r="T180" i="5"/>
  <c r="T179" i="5"/>
  <c r="G477" i="5"/>
  <c r="G268" i="5"/>
  <c r="V268" i="5"/>
  <c r="V477" i="5"/>
  <c r="I477" i="5"/>
  <c r="I268" i="5"/>
  <c r="Y477" i="5"/>
  <c r="Y268" i="5"/>
  <c r="O268" i="5"/>
  <c r="O477" i="5"/>
  <c r="AB216" i="5"/>
  <c r="AB180" i="5"/>
  <c r="AB179" i="5"/>
  <c r="F320" i="5"/>
  <c r="F336" i="5" s="1"/>
  <c r="F175" i="5"/>
  <c r="D173" i="5"/>
  <c r="S268" i="5"/>
  <c r="S477" i="5"/>
  <c r="S21" i="32"/>
  <c r="I21" i="32"/>
  <c r="J21" i="32"/>
  <c r="G21" i="32"/>
  <c r="AA21" i="32"/>
  <c r="H21" i="32"/>
  <c r="L48" i="5" l="1"/>
  <c r="N241" i="1"/>
  <c r="F477" i="5"/>
  <c r="D477" i="5" s="1"/>
  <c r="F268" i="5"/>
  <c r="D268" i="5" s="1"/>
  <c r="F180" i="5"/>
  <c r="F216" i="5"/>
  <c r="F179" i="5"/>
  <c r="D175" i="5"/>
  <c r="F28" i="33"/>
  <c r="F15" i="33"/>
  <c r="AE31" i="32"/>
  <c r="AE21" i="32"/>
  <c r="F21" i="32"/>
  <c r="H31" i="32"/>
  <c r="J31" i="32"/>
  <c r="I31" i="32"/>
  <c r="T21" i="32"/>
  <c r="P21" i="32"/>
  <c r="Z21" i="32"/>
  <c r="Y21" i="32"/>
  <c r="V21" i="32"/>
  <c r="AB21" i="32"/>
  <c r="O21" i="32"/>
  <c r="M21" i="32"/>
  <c r="R21" i="32"/>
  <c r="W21" i="32"/>
  <c r="AD21" i="32"/>
  <c r="Q21" i="32"/>
  <c r="X21" i="32"/>
  <c r="N21" i="32"/>
  <c r="U21" i="32"/>
  <c r="K21" i="32"/>
  <c r="L21" i="32"/>
  <c r="AC21" i="32"/>
  <c r="M48" i="5" l="1"/>
  <c r="O241" i="1"/>
  <c r="F31" i="32"/>
  <c r="AE28" i="33"/>
  <c r="AE15" i="33"/>
  <c r="I28" i="33"/>
  <c r="I15" i="33"/>
  <c r="H28" i="33"/>
  <c r="H15" i="33"/>
  <c r="Z28" i="33"/>
  <c r="Z15" i="33"/>
  <c r="X28" i="33"/>
  <c r="X15" i="33"/>
  <c r="AD28" i="33"/>
  <c r="AD15" i="33"/>
  <c r="Y28" i="33"/>
  <c r="Y15" i="33"/>
  <c r="T28" i="33"/>
  <c r="T15" i="33"/>
  <c r="N28" i="33"/>
  <c r="N15" i="33"/>
  <c r="P28" i="33"/>
  <c r="P15" i="33"/>
  <c r="S28" i="33"/>
  <c r="S15" i="33"/>
  <c r="K28" i="33"/>
  <c r="K15" i="33"/>
  <c r="M28" i="33"/>
  <c r="M15" i="33"/>
  <c r="AA28" i="33"/>
  <c r="AA15" i="33"/>
  <c r="G31" i="32"/>
  <c r="AC28" i="33"/>
  <c r="AC15" i="33"/>
  <c r="S31" i="32"/>
  <c r="U28" i="33"/>
  <c r="U15" i="33"/>
  <c r="R28" i="33"/>
  <c r="R15" i="33"/>
  <c r="O28" i="33"/>
  <c r="O15" i="33"/>
  <c r="G28" i="33"/>
  <c r="G15" i="33"/>
  <c r="V28" i="33"/>
  <c r="V15" i="33"/>
  <c r="W28" i="33"/>
  <c r="W15" i="33"/>
  <c r="J28" i="33"/>
  <c r="J15" i="33"/>
  <c r="Q28" i="33"/>
  <c r="Q15" i="33"/>
  <c r="L28" i="33"/>
  <c r="L15" i="33"/>
  <c r="AB28" i="33"/>
  <c r="AB15" i="33"/>
  <c r="AA31" i="32"/>
  <c r="N48" i="5" l="1"/>
  <c r="P241" i="1"/>
  <c r="Z31" i="32"/>
  <c r="N31" i="32"/>
  <c r="X31" i="32"/>
  <c r="AC31" i="32"/>
  <c r="R31" i="32"/>
  <c r="K31" i="32"/>
  <c r="W31" i="32"/>
  <c r="V31" i="32"/>
  <c r="L31" i="32"/>
  <c r="Y31" i="32"/>
  <c r="AD31" i="32"/>
  <c r="P31" i="32"/>
  <c r="AB31" i="32"/>
  <c r="Q31" i="32"/>
  <c r="O31" i="32"/>
  <c r="U31" i="32"/>
  <c r="M31" i="32"/>
  <c r="T31" i="32"/>
  <c r="H16" i="13"/>
  <c r="O48" i="5" l="1"/>
  <c r="Q241" i="1"/>
  <c r="G35" i="34"/>
  <c r="G69" i="34"/>
  <c r="P48" i="5" l="1"/>
  <c r="R241" i="1"/>
  <c r="G48" i="34"/>
  <c r="G41" i="34"/>
  <c r="G60" i="34"/>
  <c r="Q48" i="5" l="1"/>
  <c r="S241" i="1"/>
  <c r="R48" i="5" l="1"/>
  <c r="T241" i="1"/>
  <c r="G90" i="27"/>
  <c r="F90" i="27" s="1"/>
  <c r="H90" i="27"/>
  <c r="G89" i="27"/>
  <c r="F89" i="27" s="1"/>
  <c r="H89" i="27"/>
  <c r="S48" i="5" l="1"/>
  <c r="U241" i="1"/>
  <c r="F42" i="26"/>
  <c r="G42" i="26"/>
  <c r="H42" i="26"/>
  <c r="H50" i="26" s="1"/>
  <c r="H81" i="35" s="1"/>
  <c r="E14" i="34"/>
  <c r="F14" i="34"/>
  <c r="G14" i="34"/>
  <c r="H14" i="34"/>
  <c r="I14" i="34"/>
  <c r="J14" i="34"/>
  <c r="K14" i="34"/>
  <c r="L14" i="34"/>
  <c r="M14" i="34"/>
  <c r="N14" i="34"/>
  <c r="O14" i="34"/>
  <c r="P14" i="34"/>
  <c r="Q14" i="34"/>
  <c r="R14" i="34"/>
  <c r="S14" i="34"/>
  <c r="T14" i="34"/>
  <c r="U14" i="34"/>
  <c r="V14" i="34"/>
  <c r="W14" i="34"/>
  <c r="X14" i="34"/>
  <c r="Y14" i="34"/>
  <c r="Z14" i="34"/>
  <c r="AA14" i="34"/>
  <c r="AB14" i="34"/>
  <c r="AC14" i="34"/>
  <c r="AD14" i="34"/>
  <c r="AE14" i="34"/>
  <c r="T48" i="5" l="1"/>
  <c r="V241" i="1"/>
  <c r="AD50" i="26"/>
  <c r="AC50" i="26"/>
  <c r="Z50" i="26"/>
  <c r="Q50" i="26"/>
  <c r="P50" i="26"/>
  <c r="AI50" i="26"/>
  <c r="G50" i="26"/>
  <c r="G81" i="35" s="1"/>
  <c r="F50" i="26"/>
  <c r="F81" i="35" s="1"/>
  <c r="E50" i="26"/>
  <c r="E81" i="35" s="1"/>
  <c r="AG50" i="26"/>
  <c r="AF50" i="26"/>
  <c r="AE50" i="26"/>
  <c r="AB50" i="26"/>
  <c r="AA50" i="26"/>
  <c r="Y50" i="26"/>
  <c r="X50" i="26"/>
  <c r="W50" i="26"/>
  <c r="V50" i="26"/>
  <c r="U50" i="26"/>
  <c r="T50" i="26"/>
  <c r="S50" i="26"/>
  <c r="AH50" i="26"/>
  <c r="R50" i="26"/>
  <c r="O50" i="26"/>
  <c r="N50" i="26"/>
  <c r="M50" i="26"/>
  <c r="L50" i="26"/>
  <c r="L81" i="35" s="1"/>
  <c r="K50" i="26"/>
  <c r="K81" i="35" s="1"/>
  <c r="J50" i="26"/>
  <c r="J81" i="35" s="1"/>
  <c r="I50" i="26"/>
  <c r="I81" i="35" s="1"/>
  <c r="D50" i="5"/>
  <c r="F41" i="26"/>
  <c r="G41" i="26"/>
  <c r="H41" i="26"/>
  <c r="L49" i="26" s="1"/>
  <c r="L80" i="35" s="1"/>
  <c r="E13" i="34"/>
  <c r="F13" i="34"/>
  <c r="G13" i="34"/>
  <c r="H13" i="34"/>
  <c r="I13" i="34"/>
  <c r="J13" i="34"/>
  <c r="K13" i="34"/>
  <c r="L13" i="34"/>
  <c r="M13" i="34"/>
  <c r="N13" i="34"/>
  <c r="O13" i="34"/>
  <c r="P13" i="34"/>
  <c r="Q13" i="34"/>
  <c r="R13" i="34"/>
  <c r="S13" i="34"/>
  <c r="T13" i="34"/>
  <c r="U13" i="34"/>
  <c r="V13" i="34"/>
  <c r="W13" i="34"/>
  <c r="X13" i="34"/>
  <c r="Y13" i="34"/>
  <c r="Z13" i="34"/>
  <c r="AA13" i="34"/>
  <c r="AB13" i="34"/>
  <c r="AC13" i="34"/>
  <c r="AD13" i="34"/>
  <c r="AE13" i="34"/>
  <c r="AG49" i="26" l="1"/>
  <c r="U48" i="5"/>
  <c r="W241" i="1"/>
  <c r="AC49" i="26"/>
  <c r="T49" i="26"/>
  <c r="O49" i="26"/>
  <c r="AE49" i="26"/>
  <c r="V49" i="26"/>
  <c r="Q49" i="26"/>
  <c r="N49" i="26"/>
  <c r="M49" i="26"/>
  <c r="I49" i="26"/>
  <c r="I80" i="35" s="1"/>
  <c r="H49" i="26"/>
  <c r="H80" i="35" s="1"/>
  <c r="G49" i="26"/>
  <c r="G80" i="35" s="1"/>
  <c r="F49" i="26"/>
  <c r="F80" i="35" s="1"/>
  <c r="AD49" i="26"/>
  <c r="Y49" i="26"/>
  <c r="X49" i="26"/>
  <c r="D50" i="26"/>
  <c r="W49" i="26"/>
  <c r="D49" i="5"/>
  <c r="AA49" i="26"/>
  <c r="K49" i="26"/>
  <c r="K80" i="35" s="1"/>
  <c r="Z49" i="26"/>
  <c r="J49" i="26"/>
  <c r="J80" i="35" s="1"/>
  <c r="U49" i="26"/>
  <c r="E49" i="26"/>
  <c r="AI49" i="26"/>
  <c r="S49" i="26"/>
  <c r="AH49" i="26"/>
  <c r="R49" i="26"/>
  <c r="AF49" i="26"/>
  <c r="P49" i="26"/>
  <c r="AB49" i="26"/>
  <c r="V48" i="5" l="1"/>
  <c r="V12" i="34" s="1"/>
  <c r="X241" i="1"/>
  <c r="D49" i="26"/>
  <c r="E80" i="35"/>
  <c r="F40" i="26"/>
  <c r="F43" i="26" s="1"/>
  <c r="F43" i="5"/>
  <c r="G40" i="26"/>
  <c r="G43" i="26" s="1"/>
  <c r="H40" i="26"/>
  <c r="T48" i="26" s="1"/>
  <c r="T51" i="26" s="1"/>
  <c r="G43" i="5"/>
  <c r="H43" i="5"/>
  <c r="E12" i="34"/>
  <c r="F12" i="34"/>
  <c r="G12" i="34"/>
  <c r="H12" i="34"/>
  <c r="I12" i="34"/>
  <c r="J12" i="34"/>
  <c r="K12" i="34"/>
  <c r="L12" i="34"/>
  <c r="M12" i="34"/>
  <c r="N51" i="5"/>
  <c r="P12" i="34"/>
  <c r="Q12" i="34"/>
  <c r="R12" i="34"/>
  <c r="S12" i="34"/>
  <c r="T12" i="34"/>
  <c r="U12" i="34"/>
  <c r="W48" i="5" l="1"/>
  <c r="W12" i="34" s="1"/>
  <c r="Y241" i="1"/>
  <c r="L51" i="5"/>
  <c r="L15" i="34" s="1"/>
  <c r="I51" i="5"/>
  <c r="I15" i="34" s="1"/>
  <c r="G51" i="5"/>
  <c r="G15" i="34" s="1"/>
  <c r="AI48" i="26"/>
  <c r="AI51" i="26" s="1"/>
  <c r="AH48" i="26"/>
  <c r="AH51" i="26" s="1"/>
  <c r="AE48" i="26"/>
  <c r="AE51" i="26" s="1"/>
  <c r="AD48" i="26"/>
  <c r="AD51" i="26" s="1"/>
  <c r="AC48" i="26"/>
  <c r="AC51" i="26" s="1"/>
  <c r="AA48" i="26"/>
  <c r="AA51" i="26" s="1"/>
  <c r="N48" i="26"/>
  <c r="N51" i="26" s="1"/>
  <c r="U51" i="5"/>
  <c r="U15" i="34" s="1"/>
  <c r="K51" i="5"/>
  <c r="K15" i="34" s="1"/>
  <c r="T51" i="5"/>
  <c r="T15" i="34" s="1"/>
  <c r="Q51" i="5"/>
  <c r="Q15" i="34" s="1"/>
  <c r="P51" i="5"/>
  <c r="P15" i="34" s="1"/>
  <c r="H51" i="5"/>
  <c r="H15" i="34" s="1"/>
  <c r="O48" i="26"/>
  <c r="O51" i="26" s="1"/>
  <c r="F51" i="5"/>
  <c r="F15" i="34" s="1"/>
  <c r="W51" i="5"/>
  <c r="M51" i="5"/>
  <c r="M15" i="34" s="1"/>
  <c r="J51" i="5"/>
  <c r="J15" i="34" s="1"/>
  <c r="V51" i="5"/>
  <c r="E51" i="5"/>
  <c r="E15" i="34" s="1"/>
  <c r="S51" i="5"/>
  <c r="R51" i="5"/>
  <c r="O12" i="34"/>
  <c r="O51" i="5"/>
  <c r="N15" i="34"/>
  <c r="N12" i="34"/>
  <c r="F48" i="26"/>
  <c r="V48" i="26"/>
  <c r="V51" i="26" s="1"/>
  <c r="G48" i="26"/>
  <c r="W48" i="26"/>
  <c r="W51" i="26" s="1"/>
  <c r="H48" i="26"/>
  <c r="X48" i="26"/>
  <c r="X51" i="26" s="1"/>
  <c r="I48" i="26"/>
  <c r="Y48" i="26"/>
  <c r="Y51" i="26" s="1"/>
  <c r="J48" i="26"/>
  <c r="Z48" i="26"/>
  <c r="Z51" i="26" s="1"/>
  <c r="K48" i="26"/>
  <c r="L48" i="26"/>
  <c r="AB48" i="26"/>
  <c r="AB51" i="26" s="1"/>
  <c r="P48" i="26"/>
  <c r="P51" i="26" s="1"/>
  <c r="AF48" i="26"/>
  <c r="AF51" i="26" s="1"/>
  <c r="H43" i="26"/>
  <c r="Q48" i="26"/>
  <c r="Q51" i="26" s="1"/>
  <c r="AG48" i="26"/>
  <c r="AG51" i="26" s="1"/>
  <c r="E48" i="26"/>
  <c r="U48" i="26"/>
  <c r="U51" i="26" s="1"/>
  <c r="S48" i="26"/>
  <c r="S51" i="26" s="1"/>
  <c r="R48" i="26"/>
  <c r="R51" i="26" s="1"/>
  <c r="M48" i="26"/>
  <c r="M51" i="26" s="1"/>
  <c r="X48" i="5" l="1"/>
  <c r="Z241" i="1"/>
  <c r="W15" i="34"/>
  <c r="R15" i="34"/>
  <c r="S15" i="34"/>
  <c r="V15" i="34"/>
  <c r="O15" i="34"/>
  <c r="L51" i="26"/>
  <c r="L79" i="35"/>
  <c r="K79" i="35"/>
  <c r="K51" i="26"/>
  <c r="J51" i="26"/>
  <c r="J79" i="35"/>
  <c r="H51" i="26"/>
  <c r="H79" i="35"/>
  <c r="G51" i="26"/>
  <c r="G79" i="35"/>
  <c r="E79" i="35"/>
  <c r="D48" i="26"/>
  <c r="E51" i="26"/>
  <c r="F51" i="26"/>
  <c r="F79" i="35"/>
  <c r="I51" i="26"/>
  <c r="I79" i="35"/>
  <c r="Y48" i="5" l="1"/>
  <c r="AA241" i="1"/>
  <c r="X12" i="34"/>
  <c r="X51" i="5"/>
  <c r="D51" i="26"/>
  <c r="E82" i="35"/>
  <c r="I82" i="35"/>
  <c r="K82" i="35"/>
  <c r="H82" i="35"/>
  <c r="F82" i="35"/>
  <c r="L82" i="35"/>
  <c r="J82" i="35"/>
  <c r="G82" i="35"/>
  <c r="X15" i="34" l="1"/>
  <c r="Z48" i="5"/>
  <c r="AB241" i="1"/>
  <c r="Y12" i="34"/>
  <c r="Y51" i="5"/>
  <c r="Y15" i="34" l="1"/>
  <c r="AA48" i="5"/>
  <c r="AC241" i="1"/>
  <c r="Z12" i="34"/>
  <c r="Z51" i="5"/>
  <c r="Z15" i="34" l="1"/>
  <c r="AB48" i="5"/>
  <c r="AD241" i="1"/>
  <c r="AA12" i="34"/>
  <c r="AA51" i="5"/>
  <c r="AA15" i="34" l="1"/>
  <c r="AC48" i="5"/>
  <c r="AE241" i="1"/>
  <c r="AB12" i="34"/>
  <c r="AB51" i="5"/>
  <c r="E24" i="32"/>
  <c r="AC12" i="34" l="1"/>
  <c r="AC51" i="5"/>
  <c r="AB15" i="34"/>
  <c r="AD48" i="5"/>
  <c r="AF241" i="1"/>
  <c r="AD12" i="34" l="1"/>
  <c r="AD51" i="5"/>
  <c r="AC15" i="34"/>
  <c r="AE48" i="5"/>
  <c r="AG241" i="1"/>
  <c r="AD15" i="34" l="1"/>
  <c r="AF48" i="5"/>
  <c r="AF51" i="5" s="1"/>
  <c r="AH241" i="1"/>
  <c r="AE12" i="34"/>
  <c r="AE51" i="5"/>
  <c r="AE15" i="34" l="1"/>
  <c r="AG48" i="5"/>
  <c r="AG51" i="5" s="1"/>
  <c r="AI241" i="1"/>
  <c r="AH48" i="5" l="1"/>
  <c r="AH51" i="5" s="1"/>
  <c r="AJ241" i="1"/>
  <c r="AI48" i="5" l="1"/>
  <c r="AK241" i="1"/>
  <c r="AI51" i="5" l="1"/>
  <c r="D48" i="5"/>
  <c r="D51" i="5" l="1"/>
  <c r="H4" i="13" s="1"/>
  <c r="J4" i="13" s="1"/>
  <c r="I4" i="13" l="1"/>
  <c r="D136" i="27"/>
  <c r="E136" i="27" l="1"/>
  <c r="M75" i="5" l="1"/>
  <c r="M23" i="34" s="1"/>
  <c r="N75" i="5"/>
  <c r="N23" i="34" s="1"/>
  <c r="O75" i="5"/>
  <c r="O23" i="34" s="1"/>
  <c r="P75" i="5"/>
  <c r="P23" i="34" s="1"/>
  <c r="Q75" i="5"/>
  <c r="Q23" i="34" s="1"/>
  <c r="R75" i="5"/>
  <c r="R23" i="34" s="1"/>
  <c r="S75" i="5"/>
  <c r="S23" i="34" s="1"/>
  <c r="T75" i="5"/>
  <c r="T23" i="34" s="1"/>
  <c r="U75" i="5"/>
  <c r="U23" i="34" s="1"/>
  <c r="V75" i="5"/>
  <c r="V23" i="34" s="1"/>
  <c r="W75" i="5"/>
  <c r="W23" i="34" s="1"/>
  <c r="X75" i="5"/>
  <c r="X23" i="34" s="1"/>
  <c r="Y75" i="5"/>
  <c r="Y23" i="34" s="1"/>
  <c r="Z75" i="5"/>
  <c r="Z23" i="34" s="1"/>
  <c r="AA75" i="5"/>
  <c r="AA23" i="34" s="1"/>
  <c r="AB75" i="5"/>
  <c r="AB23" i="34" s="1"/>
  <c r="AC75" i="5"/>
  <c r="AC23" i="34" s="1"/>
  <c r="AD75" i="5"/>
  <c r="AD23" i="34" s="1"/>
  <c r="AE75" i="5"/>
  <c r="AE23" i="34" s="1"/>
  <c r="AF75" i="5"/>
  <c r="AF347" i="5" s="1"/>
  <c r="AG75" i="5"/>
  <c r="AG347" i="5" s="1"/>
  <c r="AH75" i="5"/>
  <c r="AI75" i="5"/>
  <c r="AI347" i="5" s="1"/>
  <c r="M80" i="5"/>
  <c r="M28" i="34" s="1"/>
  <c r="N80" i="5"/>
  <c r="N28" i="34" s="1"/>
  <c r="O80" i="5"/>
  <c r="O28" i="34" s="1"/>
  <c r="P80" i="5"/>
  <c r="P28" i="34" s="1"/>
  <c r="Q80" i="5"/>
  <c r="Q28" i="34" s="1"/>
  <c r="R80" i="5"/>
  <c r="R28" i="34" s="1"/>
  <c r="S80" i="5"/>
  <c r="S28" i="34" s="1"/>
  <c r="T80" i="5"/>
  <c r="T28" i="34" s="1"/>
  <c r="U80" i="5"/>
  <c r="U28" i="34" s="1"/>
  <c r="V80" i="5"/>
  <c r="V28" i="34" s="1"/>
  <c r="W80" i="5"/>
  <c r="W28" i="34" s="1"/>
  <c r="X80" i="5"/>
  <c r="X28" i="34" s="1"/>
  <c r="Y80" i="5"/>
  <c r="Y28" i="34" s="1"/>
  <c r="Z80" i="5"/>
  <c r="Z28" i="34" s="1"/>
  <c r="AA80" i="5"/>
  <c r="AA28" i="34" s="1"/>
  <c r="AB80" i="5"/>
  <c r="AB28" i="34" s="1"/>
  <c r="AC80" i="5"/>
  <c r="AC28" i="34" s="1"/>
  <c r="AD80" i="5"/>
  <c r="AD28" i="34" s="1"/>
  <c r="AE80" i="5"/>
  <c r="AE28" i="34" s="1"/>
  <c r="AF80" i="5"/>
  <c r="AG80" i="5"/>
  <c r="AH80" i="5"/>
  <c r="AI80" i="5"/>
  <c r="M85" i="5"/>
  <c r="M348" i="5" s="1"/>
  <c r="N85" i="5"/>
  <c r="O85" i="5"/>
  <c r="O348" i="5" s="1"/>
  <c r="P85" i="5"/>
  <c r="P348" i="5" s="1"/>
  <c r="Q85" i="5"/>
  <c r="R85" i="5"/>
  <c r="S85" i="5"/>
  <c r="T85" i="5"/>
  <c r="T348" i="5" s="1"/>
  <c r="U85" i="5"/>
  <c r="V85" i="5"/>
  <c r="V348" i="5" s="1"/>
  <c r="W85" i="5"/>
  <c r="W348" i="5" s="1"/>
  <c r="X85" i="5"/>
  <c r="X348" i="5" s="1"/>
  <c r="Y85" i="5"/>
  <c r="Y348" i="5" s="1"/>
  <c r="Z85" i="5"/>
  <c r="Z348" i="5" s="1"/>
  <c r="AA85" i="5"/>
  <c r="AA348" i="5" s="1"/>
  <c r="AB85" i="5"/>
  <c r="AC85" i="5"/>
  <c r="AC348" i="5" s="1"/>
  <c r="AD85" i="5"/>
  <c r="AE85" i="5"/>
  <c r="AE348" i="5" s="1"/>
  <c r="AF85" i="5"/>
  <c r="AF348" i="5" s="1"/>
  <c r="AG85" i="5"/>
  <c r="AH85" i="5"/>
  <c r="AH348" i="5" s="1"/>
  <c r="AI85" i="5"/>
  <c r="AI348" i="5" s="1"/>
  <c r="M90" i="5"/>
  <c r="N90" i="5"/>
  <c r="O90" i="5"/>
  <c r="P90" i="5"/>
  <c r="Q90" i="5"/>
  <c r="R90" i="5"/>
  <c r="S90" i="5"/>
  <c r="T90" i="5"/>
  <c r="U90" i="5"/>
  <c r="V90" i="5"/>
  <c r="W90" i="5"/>
  <c r="X90" i="5"/>
  <c r="Y90" i="5"/>
  <c r="Z90" i="5"/>
  <c r="AA90" i="5"/>
  <c r="AB90" i="5"/>
  <c r="AC90" i="5"/>
  <c r="AD90" i="5"/>
  <c r="AE90" i="5"/>
  <c r="AF90" i="5"/>
  <c r="AG90" i="5"/>
  <c r="AH90" i="5"/>
  <c r="AI90" i="5"/>
  <c r="E304" i="5"/>
  <c r="F304" i="5"/>
  <c r="G304" i="5"/>
  <c r="H304" i="5"/>
  <c r="I304" i="5"/>
  <c r="J304" i="5"/>
  <c r="K304" i="5"/>
  <c r="L304" i="5"/>
  <c r="M304" i="5"/>
  <c r="N304" i="5"/>
  <c r="O304" i="5"/>
  <c r="P304" i="5"/>
  <c r="Q304" i="5"/>
  <c r="R304" i="5"/>
  <c r="S304" i="5"/>
  <c r="T304" i="5"/>
  <c r="V52" i="5" l="1"/>
  <c r="X52" i="5"/>
  <c r="X16" i="34" s="1"/>
  <c r="W52" i="5"/>
  <c r="W53" i="5" s="1"/>
  <c r="AE52" i="5"/>
  <c r="AE53" i="5" s="1"/>
  <c r="O52" i="5"/>
  <c r="O53" i="5" s="1"/>
  <c r="Y52" i="5"/>
  <c r="Y16" i="34" s="1"/>
  <c r="AA52" i="5"/>
  <c r="AA53" i="5" s="1"/>
  <c r="Z52" i="5"/>
  <c r="Z53" i="5" s="1"/>
  <c r="P52" i="5"/>
  <c r="P16" i="34" s="1"/>
  <c r="AF52" i="5"/>
  <c r="AF53" i="5" s="1"/>
  <c r="AF344" i="5" s="1"/>
  <c r="AF345" i="5" s="1"/>
  <c r="AF476" i="5" s="1"/>
  <c r="AF480" i="5" s="1"/>
  <c r="S52" i="5"/>
  <c r="S16" i="34" s="1"/>
  <c r="R52" i="5"/>
  <c r="R53" i="5" s="1"/>
  <c r="AG52" i="5"/>
  <c r="AG53" i="5" s="1"/>
  <c r="AG96" i="5" s="1"/>
  <c r="Q52" i="5"/>
  <c r="Q53" i="5" s="1"/>
  <c r="T52" i="5"/>
  <c r="T16" i="34" s="1"/>
  <c r="AC52" i="5"/>
  <c r="AC16" i="34" s="1"/>
  <c r="M52" i="5"/>
  <c r="M16" i="34" s="1"/>
  <c r="U52" i="5"/>
  <c r="U16" i="34" s="1"/>
  <c r="AB52" i="5"/>
  <c r="AB16" i="34" s="1"/>
  <c r="AI52" i="5"/>
  <c r="AI53" i="5" s="1"/>
  <c r="AI226" i="5" s="1"/>
  <c r="AH52" i="5"/>
  <c r="AH53" i="5" s="1"/>
  <c r="AH344" i="5" s="1"/>
  <c r="AH345" i="5" s="1"/>
  <c r="AH476" i="5" s="1"/>
  <c r="AH480" i="5" s="1"/>
  <c r="AD52" i="5"/>
  <c r="AD16" i="34" s="1"/>
  <c r="N52" i="5"/>
  <c r="N53" i="5" s="1"/>
  <c r="R347" i="5"/>
  <c r="R39" i="33" s="1"/>
  <c r="Q347" i="5"/>
  <c r="Q39" i="33" s="1"/>
  <c r="T347" i="5"/>
  <c r="T39" i="33" s="1"/>
  <c r="S347" i="5"/>
  <c r="S39" i="33" s="1"/>
  <c r="AG228" i="5"/>
  <c r="Q228" i="5"/>
  <c r="R228" i="5"/>
  <c r="W347" i="5"/>
  <c r="W39" i="33" s="1"/>
  <c r="U347" i="5"/>
  <c r="U39" i="33" s="1"/>
  <c r="X347" i="5"/>
  <c r="X39" i="33" s="1"/>
  <c r="V347" i="5"/>
  <c r="V39" i="33" s="1"/>
  <c r="U228" i="5"/>
  <c r="U348" i="5"/>
  <c r="Z347" i="5"/>
  <c r="Z39" i="33" s="1"/>
  <c r="Y347" i="5"/>
  <c r="Y39" i="33" s="1"/>
  <c r="S228" i="5"/>
  <c r="P347" i="5"/>
  <c r="P39" i="33" s="1"/>
  <c r="R348" i="5"/>
  <c r="S348" i="5"/>
  <c r="AB347" i="5"/>
  <c r="AB39" i="33" s="1"/>
  <c r="AA347" i="5"/>
  <c r="AA39" i="33" s="1"/>
  <c r="AH228" i="5"/>
  <c r="AH347" i="5"/>
  <c r="T228" i="5"/>
  <c r="AF228" i="5"/>
  <c r="AD347" i="5"/>
  <c r="AD39" i="33" s="1"/>
  <c r="Y228" i="5"/>
  <c r="X228" i="5"/>
  <c r="AD228" i="5"/>
  <c r="N228" i="5"/>
  <c r="P228" i="5"/>
  <c r="N347" i="5"/>
  <c r="N39" i="33" s="1"/>
  <c r="N348" i="5"/>
  <c r="AB228" i="5"/>
  <c r="M228" i="5"/>
  <c r="M347" i="5"/>
  <c r="M39" i="33" s="1"/>
  <c r="AC347" i="5"/>
  <c r="AC39" i="33" s="1"/>
  <c r="AI228" i="5"/>
  <c r="AD348" i="5"/>
  <c r="AC228" i="5"/>
  <c r="O228" i="5"/>
  <c r="Q348" i="5"/>
  <c r="AE228" i="5"/>
  <c r="AG348" i="5"/>
  <c r="Z228" i="5"/>
  <c r="W228" i="5"/>
  <c r="AB348" i="5"/>
  <c r="AE347" i="5"/>
  <c r="AE39" i="33" s="1"/>
  <c r="O347" i="5"/>
  <c r="O39" i="33" s="1"/>
  <c r="V228" i="5"/>
  <c r="AA228" i="5"/>
  <c r="O16" i="34" l="1"/>
  <c r="Z16" i="34"/>
  <c r="AH61" i="5"/>
  <c r="R16" i="34"/>
  <c r="AH63" i="5"/>
  <c r="AH70" i="5" s="1"/>
  <c r="AH231" i="5" s="1"/>
  <c r="AH350" i="5" s="1"/>
  <c r="AH60" i="5"/>
  <c r="AH96" i="5"/>
  <c r="AH62" i="5"/>
  <c r="AH66" i="5" s="1"/>
  <c r="AH349" i="5" s="1"/>
  <c r="AH226" i="5"/>
  <c r="N16" i="34"/>
  <c r="S53" i="5"/>
  <c r="S61" i="5" s="1"/>
  <c r="AH416" i="5"/>
  <c r="AH429" i="5" s="1"/>
  <c r="AI60" i="5"/>
  <c r="Y53" i="5"/>
  <c r="Y96" i="5" s="1"/>
  <c r="Y34" i="34" s="1"/>
  <c r="AE16" i="34"/>
  <c r="AI96" i="5"/>
  <c r="AI63" i="5"/>
  <c r="AI70" i="5" s="1"/>
  <c r="AI231" i="5" s="1"/>
  <c r="AI350" i="5" s="1"/>
  <c r="AI344" i="5"/>
  <c r="AI345" i="5" s="1"/>
  <c r="AI476" i="5" s="1"/>
  <c r="AI480" i="5" s="1"/>
  <c r="AI62" i="5"/>
  <c r="AI66" i="5" s="1"/>
  <c r="AI349" i="5" s="1"/>
  <c r="AI61" i="5"/>
  <c r="T53" i="5"/>
  <c r="T17" i="34" s="1"/>
  <c r="Q16" i="34"/>
  <c r="U53" i="5"/>
  <c r="U17" i="34" s="1"/>
  <c r="AA16" i="34"/>
  <c r="AD53" i="5"/>
  <c r="AD226" i="5" s="1"/>
  <c r="AF416" i="5"/>
  <c r="AF429" i="5" s="1"/>
  <c r="AF226" i="5"/>
  <c r="AF96" i="5"/>
  <c r="AF60" i="5"/>
  <c r="AF62" i="5"/>
  <c r="AF66" i="5" s="1"/>
  <c r="AF349" i="5" s="1"/>
  <c r="P53" i="5"/>
  <c r="P62" i="5" s="1"/>
  <c r="P66" i="5" s="1"/>
  <c r="AF61" i="5"/>
  <c r="AF63" i="5"/>
  <c r="AF70" i="5" s="1"/>
  <c r="AF231" i="5" s="1"/>
  <c r="AF350" i="5" s="1"/>
  <c r="M53" i="5"/>
  <c r="M60" i="5" s="1"/>
  <c r="X53" i="5"/>
  <c r="X62" i="5" s="1"/>
  <c r="X66" i="5" s="1"/>
  <c r="AB53" i="5"/>
  <c r="AB61" i="5" s="1"/>
  <c r="W16" i="34"/>
  <c r="AG226" i="5"/>
  <c r="AG344" i="5"/>
  <c r="AC53" i="5"/>
  <c r="AC62" i="5" s="1"/>
  <c r="AC66" i="5" s="1"/>
  <c r="AG60" i="5"/>
  <c r="AG61" i="5"/>
  <c r="AG62" i="5"/>
  <c r="AG66" i="5" s="1"/>
  <c r="AG349" i="5" s="1"/>
  <c r="AG63" i="5"/>
  <c r="AG70" i="5" s="1"/>
  <c r="AG231" i="5" s="1"/>
  <c r="AG350" i="5" s="1"/>
  <c r="Z17" i="34"/>
  <c r="Z63" i="5"/>
  <c r="Z70" i="5" s="1"/>
  <c r="Z231" i="5" s="1"/>
  <c r="Z350" i="5" s="1"/>
  <c r="Z41" i="33" s="1"/>
  <c r="Z62" i="5"/>
  <c r="Z66" i="5" s="1"/>
  <c r="Z61" i="5"/>
  <c r="Z96" i="5"/>
  <c r="Z34" i="34" s="1"/>
  <c r="Z60" i="5"/>
  <c r="Z226" i="5"/>
  <c r="Z344" i="5"/>
  <c r="Q17" i="34"/>
  <c r="Q63" i="5"/>
  <c r="Q70" i="5" s="1"/>
  <c r="Q231" i="5" s="1"/>
  <c r="Q350" i="5" s="1"/>
  <c r="Q41" i="33" s="1"/>
  <c r="Q96" i="5"/>
  <c r="Q34" i="34" s="1"/>
  <c r="Q62" i="5"/>
  <c r="Q66" i="5" s="1"/>
  <c r="Q61" i="5"/>
  <c r="Q60" i="5"/>
  <c r="Q226" i="5"/>
  <c r="Q344" i="5"/>
  <c r="V16" i="34"/>
  <c r="V53" i="5"/>
  <c r="N17" i="34"/>
  <c r="N60" i="5"/>
  <c r="N61" i="5"/>
  <c r="N62" i="5"/>
  <c r="N66" i="5" s="1"/>
  <c r="N63" i="5"/>
  <c r="N70" i="5" s="1"/>
  <c r="N231" i="5" s="1"/>
  <c r="N350" i="5" s="1"/>
  <c r="N41" i="33" s="1"/>
  <c r="N96" i="5"/>
  <c r="N34" i="34" s="1"/>
  <c r="N226" i="5"/>
  <c r="N344" i="5"/>
  <c r="W17" i="34"/>
  <c r="W60" i="5"/>
  <c r="W61" i="5"/>
  <c r="W62" i="5"/>
  <c r="W66" i="5" s="1"/>
  <c r="W63" i="5"/>
  <c r="W70" i="5" s="1"/>
  <c r="W231" i="5" s="1"/>
  <c r="W350" i="5" s="1"/>
  <c r="W41" i="33" s="1"/>
  <c r="W96" i="5"/>
  <c r="W34" i="34" s="1"/>
  <c r="W226" i="5"/>
  <c r="W344" i="5"/>
  <c r="R17" i="34"/>
  <c r="R63" i="5"/>
  <c r="R70" i="5" s="1"/>
  <c r="R231" i="5" s="1"/>
  <c r="R350" i="5" s="1"/>
  <c r="R41" i="33" s="1"/>
  <c r="R96" i="5"/>
  <c r="R34" i="34" s="1"/>
  <c r="R62" i="5"/>
  <c r="R66" i="5" s="1"/>
  <c r="R61" i="5"/>
  <c r="R60" i="5"/>
  <c r="R226" i="5"/>
  <c r="R344" i="5"/>
  <c r="O60" i="5"/>
  <c r="O61" i="5"/>
  <c r="O62" i="5"/>
  <c r="O66" i="5" s="1"/>
  <c r="O63" i="5"/>
  <c r="O70" i="5" s="1"/>
  <c r="O231" i="5" s="1"/>
  <c r="O350" i="5" s="1"/>
  <c r="O41" i="33" s="1"/>
  <c r="O17" i="34"/>
  <c r="O96" i="5"/>
  <c r="O34" i="34" s="1"/>
  <c r="O226" i="5"/>
  <c r="O344" i="5"/>
  <c r="AA17" i="34"/>
  <c r="AA60" i="5"/>
  <c r="AA61" i="5"/>
  <c r="AA62" i="5"/>
  <c r="AA66" i="5" s="1"/>
  <c r="AA63" i="5"/>
  <c r="AA70" i="5" s="1"/>
  <c r="AA231" i="5" s="1"/>
  <c r="AA350" i="5" s="1"/>
  <c r="AA41" i="33" s="1"/>
  <c r="AA226" i="5"/>
  <c r="AA96" i="5"/>
  <c r="AA34" i="34" s="1"/>
  <c r="AA344" i="5"/>
  <c r="AE60" i="5"/>
  <c r="AE61" i="5"/>
  <c r="AE62" i="5"/>
  <c r="AE66" i="5" s="1"/>
  <c r="AE63" i="5"/>
  <c r="AE70" i="5" s="1"/>
  <c r="AE231" i="5" s="1"/>
  <c r="AE350" i="5" s="1"/>
  <c r="AE41" i="33" s="1"/>
  <c r="AE17" i="34"/>
  <c r="AE96" i="5"/>
  <c r="AE34" i="34" s="1"/>
  <c r="AE226" i="5"/>
  <c r="AE344" i="5"/>
  <c r="AH227" i="5" l="1"/>
  <c r="S63" i="5"/>
  <c r="S70" i="5" s="1"/>
  <c r="S231" i="5" s="1"/>
  <c r="S350" i="5" s="1"/>
  <c r="S41" i="33" s="1"/>
  <c r="S62" i="5"/>
  <c r="S66" i="5" s="1"/>
  <c r="S227" i="5" s="1"/>
  <c r="S344" i="5"/>
  <c r="S36" i="33" s="1"/>
  <c r="S226" i="5"/>
  <c r="S96" i="5"/>
  <c r="S34" i="34" s="1"/>
  <c r="S17" i="34"/>
  <c r="S60" i="5"/>
  <c r="Y17" i="34"/>
  <c r="AI227" i="5"/>
  <c r="AF227" i="5"/>
  <c r="Y62" i="5"/>
  <c r="Y66" i="5" s="1"/>
  <c r="Y227" i="5" s="1"/>
  <c r="Y63" i="5"/>
  <c r="Y70" i="5" s="1"/>
  <c r="Y231" i="5" s="1"/>
  <c r="Y350" i="5" s="1"/>
  <c r="Y41" i="33" s="1"/>
  <c r="T96" i="5"/>
  <c r="T34" i="34" s="1"/>
  <c r="T226" i="5"/>
  <c r="Y344" i="5"/>
  <c r="Y36" i="33" s="1"/>
  <c r="T344" i="5"/>
  <c r="T345" i="5" s="1"/>
  <c r="Y61" i="5"/>
  <c r="T60" i="5"/>
  <c r="T61" i="5"/>
  <c r="T62" i="5"/>
  <c r="T66" i="5" s="1"/>
  <c r="T227" i="5" s="1"/>
  <c r="U344" i="5"/>
  <c r="U36" i="33" s="1"/>
  <c r="U226" i="5"/>
  <c r="T63" i="5"/>
  <c r="T70" i="5" s="1"/>
  <c r="T231" i="5" s="1"/>
  <c r="T350" i="5" s="1"/>
  <c r="T41" i="33" s="1"/>
  <c r="U60" i="5"/>
  <c r="AD62" i="5"/>
  <c r="AD66" i="5" s="1"/>
  <c r="AD227" i="5" s="1"/>
  <c r="Y226" i="5"/>
  <c r="AI416" i="5"/>
  <c r="AI429" i="5" s="1"/>
  <c r="AD96" i="5"/>
  <c r="AD34" i="34" s="1"/>
  <c r="AD61" i="5"/>
  <c r="Y60" i="5"/>
  <c r="U96" i="5"/>
  <c r="U34" i="34" s="1"/>
  <c r="U61" i="5"/>
  <c r="U62" i="5"/>
  <c r="U66" i="5" s="1"/>
  <c r="U227" i="5" s="1"/>
  <c r="U63" i="5"/>
  <c r="U70" i="5" s="1"/>
  <c r="U231" i="5" s="1"/>
  <c r="U350" i="5" s="1"/>
  <c r="U41" i="33" s="1"/>
  <c r="AD63" i="5"/>
  <c r="AD70" i="5" s="1"/>
  <c r="AD231" i="5" s="1"/>
  <c r="AD350" i="5" s="1"/>
  <c r="AD41" i="33" s="1"/>
  <c r="AD60" i="5"/>
  <c r="P226" i="5"/>
  <c r="P96" i="5"/>
  <c r="P34" i="34" s="1"/>
  <c r="X61" i="5"/>
  <c r="X60" i="5"/>
  <c r="X17" i="34"/>
  <c r="AD17" i="34"/>
  <c r="AG227" i="5"/>
  <c r="P344" i="5"/>
  <c r="P36" i="33" s="1"/>
  <c r="AD344" i="5"/>
  <c r="AD416" i="5" s="1"/>
  <c r="AD429" i="5" s="1"/>
  <c r="P63" i="5"/>
  <c r="P70" i="5" s="1"/>
  <c r="P231" i="5" s="1"/>
  <c r="P350" i="5" s="1"/>
  <c r="P41" i="33" s="1"/>
  <c r="P61" i="5"/>
  <c r="X344" i="5"/>
  <c r="X345" i="5" s="1"/>
  <c r="P17" i="34"/>
  <c r="X226" i="5"/>
  <c r="P60" i="5"/>
  <c r="X96" i="5"/>
  <c r="X34" i="34" s="1"/>
  <c r="X63" i="5"/>
  <c r="X70" i="5" s="1"/>
  <c r="X231" i="5" s="1"/>
  <c r="X350" i="5" s="1"/>
  <c r="X41" i="33" s="1"/>
  <c r="M344" i="5"/>
  <c r="M36" i="33" s="1"/>
  <c r="M226" i="5"/>
  <c r="M62" i="5"/>
  <c r="M66" i="5" s="1"/>
  <c r="M349" i="5" s="1"/>
  <c r="M17" i="34"/>
  <c r="AB344" i="5"/>
  <c r="AB416" i="5" s="1"/>
  <c r="AB429" i="5" s="1"/>
  <c r="AB96" i="5"/>
  <c r="AB34" i="34" s="1"/>
  <c r="AB62" i="5"/>
  <c r="AB66" i="5" s="1"/>
  <c r="AB349" i="5" s="1"/>
  <c r="M96" i="5"/>
  <c r="M34" i="34" s="1"/>
  <c r="AB60" i="5"/>
  <c r="M63" i="5"/>
  <c r="M70" i="5" s="1"/>
  <c r="M231" i="5" s="1"/>
  <c r="M350" i="5" s="1"/>
  <c r="M41" i="33" s="1"/>
  <c r="AB17" i="34"/>
  <c r="AB226" i="5"/>
  <c r="AB63" i="5"/>
  <c r="AB70" i="5" s="1"/>
  <c r="AB231" i="5" s="1"/>
  <c r="AB350" i="5" s="1"/>
  <c r="AB41" i="33" s="1"/>
  <c r="M61" i="5"/>
  <c r="AC17" i="34"/>
  <c r="AC226" i="5"/>
  <c r="AC60" i="5"/>
  <c r="AC344" i="5"/>
  <c r="AC36" i="33" s="1"/>
  <c r="AC63" i="5"/>
  <c r="AC70" i="5" s="1"/>
  <c r="AC231" i="5" s="1"/>
  <c r="AC350" i="5" s="1"/>
  <c r="AC41" i="33" s="1"/>
  <c r="AC61" i="5"/>
  <c r="AC96" i="5"/>
  <c r="AC34" i="34" s="1"/>
  <c r="AG345" i="5"/>
  <c r="AG476" i="5" s="1"/>
  <c r="AG480" i="5" s="1"/>
  <c r="AG416" i="5"/>
  <c r="AG429" i="5" s="1"/>
  <c r="P227" i="5"/>
  <c r="P349" i="5"/>
  <c r="Q36" i="33"/>
  <c r="Q345" i="5"/>
  <c r="Q416" i="5"/>
  <c r="Q429" i="5" s="1"/>
  <c r="N36" i="33"/>
  <c r="N345" i="5"/>
  <c r="N416" i="5"/>
  <c r="N429" i="5" s="1"/>
  <c r="AI430" i="5"/>
  <c r="Q227" i="5"/>
  <c r="Q349" i="5"/>
  <c r="W227" i="5"/>
  <c r="W349" i="5"/>
  <c r="AA227" i="5"/>
  <c r="AA349" i="5"/>
  <c r="R227" i="5"/>
  <c r="R349" i="5"/>
  <c r="X227" i="5"/>
  <c r="X349" i="5"/>
  <c r="N227" i="5"/>
  <c r="N349" i="5"/>
  <c r="Z36" i="33"/>
  <c r="Z345" i="5"/>
  <c r="Z416" i="5"/>
  <c r="Z429" i="5" s="1"/>
  <c r="AE36" i="33"/>
  <c r="AE345" i="5"/>
  <c r="AE416" i="5"/>
  <c r="AE429" i="5" s="1"/>
  <c r="O36" i="33"/>
  <c r="O345" i="5"/>
  <c r="O416" i="5"/>
  <c r="O429" i="5" s="1"/>
  <c r="AG430" i="5"/>
  <c r="AF430" i="5"/>
  <c r="R36" i="33"/>
  <c r="R345" i="5"/>
  <c r="R416" i="5"/>
  <c r="R429" i="5" s="1"/>
  <c r="W36" i="33"/>
  <c r="W345" i="5"/>
  <c r="W416" i="5"/>
  <c r="W429" i="5" s="1"/>
  <c r="AC227" i="5"/>
  <c r="AC349" i="5"/>
  <c r="Z227" i="5"/>
  <c r="Z349" i="5"/>
  <c r="V17" i="34"/>
  <c r="V60" i="5"/>
  <c r="V61" i="5"/>
  <c r="V62" i="5"/>
  <c r="V66" i="5" s="1"/>
  <c r="V63" i="5"/>
  <c r="V70" i="5" s="1"/>
  <c r="V231" i="5" s="1"/>
  <c r="V350" i="5" s="1"/>
  <c r="V41" i="33" s="1"/>
  <c r="V96" i="5"/>
  <c r="V34" i="34" s="1"/>
  <c r="V226" i="5"/>
  <c r="V344" i="5"/>
  <c r="AA36" i="33"/>
  <c r="AA345" i="5"/>
  <c r="AA416" i="5"/>
  <c r="AA429" i="5" s="1"/>
  <c r="AH430" i="5"/>
  <c r="AE227" i="5"/>
  <c r="AE349" i="5"/>
  <c r="O227" i="5"/>
  <c r="O349" i="5"/>
  <c r="S349" i="5" l="1"/>
  <c r="S416" i="5"/>
  <c r="S429" i="5" s="1"/>
  <c r="S345" i="5"/>
  <c r="S476" i="5" s="1"/>
  <c r="AD36" i="33"/>
  <c r="Y349" i="5"/>
  <c r="Y40" i="33" s="1"/>
  <c r="AD345" i="5"/>
  <c r="AD476" i="5" s="1"/>
  <c r="Y416" i="5"/>
  <c r="Y429" i="5" s="1"/>
  <c r="Y345" i="5"/>
  <c r="Y37" i="33" s="1"/>
  <c r="T416" i="5"/>
  <c r="T429" i="5" s="1"/>
  <c r="T36" i="33"/>
  <c r="T349" i="5"/>
  <c r="T40" i="33" s="1"/>
  <c r="AD349" i="5"/>
  <c r="AD40" i="33" s="1"/>
  <c r="U416" i="5"/>
  <c r="U429" i="5" s="1"/>
  <c r="U349" i="5"/>
  <c r="U40" i="33" s="1"/>
  <c r="U345" i="5"/>
  <c r="U476" i="5" s="1"/>
  <c r="X416" i="5"/>
  <c r="X429" i="5" s="1"/>
  <c r="X36" i="33"/>
  <c r="P416" i="5"/>
  <c r="P429" i="5" s="1"/>
  <c r="P345" i="5"/>
  <c r="P37" i="33" s="1"/>
  <c r="AB227" i="5"/>
  <c r="M416" i="5"/>
  <c r="M429" i="5" s="1"/>
  <c r="M345" i="5"/>
  <c r="M476" i="5" s="1"/>
  <c r="M227" i="5"/>
  <c r="AB345" i="5"/>
  <c r="AB476" i="5" s="1"/>
  <c r="AB36" i="33"/>
  <c r="AC416" i="5"/>
  <c r="AC429" i="5" s="1"/>
  <c r="AC345" i="5"/>
  <c r="AC37" i="33" s="1"/>
  <c r="N40" i="33"/>
  <c r="N430" i="5"/>
  <c r="W40" i="33"/>
  <c r="W430" i="5"/>
  <c r="AE37" i="33"/>
  <c r="AE476" i="5"/>
  <c r="X40" i="33"/>
  <c r="X430" i="5"/>
  <c r="Q40" i="33"/>
  <c r="Q430" i="5"/>
  <c r="V227" i="5"/>
  <c r="V349" i="5"/>
  <c r="M40" i="33"/>
  <c r="M430" i="5"/>
  <c r="W37" i="33"/>
  <c r="W476" i="5"/>
  <c r="S40" i="33"/>
  <c r="S430" i="5"/>
  <c r="N37" i="33"/>
  <c r="N476" i="5"/>
  <c r="O40" i="33"/>
  <c r="O430" i="5"/>
  <c r="R40" i="33"/>
  <c r="R430" i="5"/>
  <c r="Q37" i="33"/>
  <c r="Q476" i="5"/>
  <c r="Z37" i="33"/>
  <c r="Z476" i="5"/>
  <c r="X37" i="33"/>
  <c r="X476" i="5"/>
  <c r="Z40" i="33"/>
  <c r="Z430" i="5"/>
  <c r="R37" i="33"/>
  <c r="R476" i="5"/>
  <c r="AA40" i="33"/>
  <c r="AA430" i="5"/>
  <c r="P40" i="33"/>
  <c r="P430" i="5"/>
  <c r="AC40" i="33"/>
  <c r="AC430" i="5"/>
  <c r="O37" i="33"/>
  <c r="O476" i="5"/>
  <c r="V36" i="33"/>
  <c r="V345" i="5"/>
  <c r="V416" i="5"/>
  <c r="V429" i="5" s="1"/>
  <c r="AE40" i="33"/>
  <c r="AE430" i="5"/>
  <c r="AB40" i="33"/>
  <c r="AB430" i="5"/>
  <c r="T37" i="33"/>
  <c r="T476" i="5"/>
  <c r="AA37" i="33"/>
  <c r="AA476" i="5"/>
  <c r="S37" i="33" l="1"/>
  <c r="Y430" i="5"/>
  <c r="AD37" i="33"/>
  <c r="Y476" i="5"/>
  <c r="AD430" i="5"/>
  <c r="T430" i="5"/>
  <c r="U37" i="33"/>
  <c r="U430" i="5"/>
  <c r="M37" i="33"/>
  <c r="AB37" i="33"/>
  <c r="AC476" i="5"/>
  <c r="P476" i="5"/>
  <c r="V37" i="33"/>
  <c r="V476" i="5"/>
  <c r="V40" i="33"/>
  <c r="V430" i="5"/>
  <c r="F210" i="5"/>
  <c r="G210" i="5"/>
  <c r="H210" i="5"/>
  <c r="I210" i="5"/>
  <c r="J210" i="5"/>
  <c r="K210" i="5"/>
  <c r="L210" i="5"/>
  <c r="M210" i="5"/>
  <c r="N210" i="5"/>
  <c r="O210" i="5"/>
  <c r="P210" i="5"/>
  <c r="Q210" i="5"/>
  <c r="R210" i="5"/>
  <c r="S210" i="5"/>
  <c r="T210" i="5"/>
  <c r="U210" i="5"/>
  <c r="V210" i="5"/>
  <c r="W210" i="5"/>
  <c r="X210" i="5"/>
  <c r="Y210" i="5"/>
  <c r="Z210" i="5"/>
  <c r="AA210" i="5"/>
  <c r="AB210" i="5"/>
  <c r="AC210" i="5"/>
  <c r="AD210" i="5"/>
  <c r="AE210" i="5"/>
  <c r="AF210" i="5"/>
  <c r="AG210" i="5"/>
  <c r="AH210" i="5"/>
  <c r="AI210" i="5"/>
  <c r="I142" i="27" l="1" a="1"/>
  <c r="I168" i="27"/>
  <c r="I152" i="27"/>
  <c r="I164" i="27"/>
  <c r="I161" i="27"/>
  <c r="I156" i="27"/>
  <c r="I160" i="27"/>
  <c r="I159" i="27"/>
  <c r="I151" i="27"/>
  <c r="I166" i="27"/>
  <c r="I153" i="27"/>
  <c r="I165" i="27"/>
  <c r="I154" i="27"/>
  <c r="I158" i="27"/>
  <c r="I155" i="27"/>
  <c r="I167" i="27"/>
  <c r="I157" i="27"/>
  <c r="I162" i="27"/>
  <c r="I150" i="27"/>
  <c r="I163" i="27"/>
  <c r="E36" i="1"/>
  <c r="E142" i="27" a="1"/>
  <c r="E142" i="27"/>
  <c r="H142" i="27" a="1"/>
  <c r="H142" i="27"/>
  <c r="J142" i="27" a="1"/>
  <c r="J159" i="27"/>
  <c r="J152" i="27"/>
  <c r="J151" i="27"/>
  <c r="J147" i="27"/>
  <c r="J165" i="27"/>
  <c r="J148" i="27"/>
  <c r="J146" i="27"/>
  <c r="J167" i="27"/>
  <c r="J150" i="27"/>
  <c r="J162" i="27"/>
  <c r="J164" i="27"/>
  <c r="J156" i="27"/>
  <c r="J144" i="27"/>
  <c r="J155" i="27"/>
  <c r="J154" i="27"/>
  <c r="J142" i="27"/>
  <c r="J145" i="27"/>
  <c r="J157" i="27"/>
  <c r="J163" i="27"/>
  <c r="J161" i="27"/>
  <c r="J153" i="27"/>
  <c r="J166" i="27"/>
  <c r="J149" i="27"/>
  <c r="J158" i="27"/>
  <c r="J143" i="27"/>
  <c r="J160" i="27"/>
  <c r="D14" i="38" l="1"/>
  <c r="H27" i="38"/>
  <c r="O186" i="15"/>
  <c r="O187" i="15"/>
  <c r="O190" i="15"/>
  <c r="P190" i="15"/>
  <c r="O192" i="15"/>
  <c r="P192" i="15"/>
  <c r="O194" i="15"/>
  <c r="P194" i="15"/>
  <c r="O196" i="15"/>
  <c r="P196" i="15"/>
  <c r="O198" i="15"/>
  <c r="P198" i="15"/>
  <c r="O200" i="15"/>
  <c r="P200" i="15"/>
  <c r="O201" i="15"/>
  <c r="P201" i="15"/>
  <c r="O202" i="15"/>
  <c r="P202" i="15"/>
  <c r="O203" i="15"/>
  <c r="P203" i="15"/>
  <c r="O205" i="15"/>
  <c r="P205" i="15"/>
  <c r="E12" i="33"/>
  <c r="F12" i="33"/>
  <c r="G12" i="33"/>
  <c r="H12" i="33"/>
  <c r="I12" i="33"/>
  <c r="J12" i="33"/>
  <c r="K12" i="33"/>
  <c r="L12" i="33"/>
  <c r="M12" i="33"/>
  <c r="N12" i="33"/>
  <c r="O12" i="33"/>
  <c r="P12" i="33"/>
  <c r="Q12" i="33"/>
  <c r="R12" i="33"/>
  <c r="S12" i="33"/>
  <c r="T12" i="33"/>
  <c r="U12" i="33"/>
  <c r="V12" i="33"/>
  <c r="W12" i="33"/>
  <c r="X12" i="33"/>
  <c r="Y12" i="33"/>
  <c r="Z12" i="33"/>
  <c r="AA12" i="33"/>
  <c r="AB12" i="33"/>
  <c r="AC12" i="33"/>
  <c r="AD12" i="33"/>
  <c r="AE12" i="33"/>
  <c r="E16" i="33"/>
  <c r="F16" i="33"/>
  <c r="G16" i="33"/>
  <c r="H16" i="33"/>
  <c r="I16" i="33"/>
  <c r="J16" i="33"/>
  <c r="K16" i="33"/>
  <c r="L16" i="33"/>
  <c r="M16" i="33"/>
  <c r="N16" i="33"/>
  <c r="O16" i="33"/>
  <c r="P16" i="33"/>
  <c r="Q16" i="33"/>
  <c r="R16" i="33"/>
  <c r="S16" i="33"/>
  <c r="T16" i="33"/>
  <c r="U16" i="33"/>
  <c r="V16" i="33"/>
  <c r="W16" i="33"/>
  <c r="X16" i="33"/>
  <c r="Y16" i="33"/>
  <c r="Z16" i="33"/>
  <c r="AA16" i="33"/>
  <c r="AB16" i="33"/>
  <c r="AC16" i="33"/>
  <c r="AD16" i="33"/>
  <c r="AE16" i="33"/>
  <c r="F17" i="33"/>
  <c r="G17" i="33"/>
  <c r="H17" i="33"/>
  <c r="I17" i="33"/>
  <c r="J17" i="33"/>
  <c r="K17" i="33"/>
  <c r="L17" i="33"/>
  <c r="M17" i="33"/>
  <c r="N17" i="33"/>
  <c r="O17" i="33"/>
  <c r="P17" i="33"/>
  <c r="Q17" i="33"/>
  <c r="R17" i="33"/>
  <c r="S17" i="33"/>
  <c r="T17" i="33"/>
  <c r="U17" i="33"/>
  <c r="V17" i="33"/>
  <c r="W17" i="33"/>
  <c r="X17" i="33"/>
  <c r="Y17" i="33"/>
  <c r="Z17" i="33"/>
  <c r="AA17" i="33"/>
  <c r="AB17" i="33"/>
  <c r="AC17" i="33"/>
  <c r="AD17" i="33"/>
  <c r="AE17" i="33"/>
  <c r="E18" i="33"/>
  <c r="F18" i="33"/>
  <c r="G18" i="33"/>
  <c r="H18" i="33"/>
  <c r="I18" i="33"/>
  <c r="J18" i="33"/>
  <c r="K18" i="33"/>
  <c r="L18" i="33"/>
  <c r="M18" i="33"/>
  <c r="N18" i="33"/>
  <c r="O18" i="33"/>
  <c r="P18" i="33"/>
  <c r="Q18" i="33"/>
  <c r="R18" i="33"/>
  <c r="S18" i="33"/>
  <c r="T18" i="33"/>
  <c r="U18" i="33"/>
  <c r="V18" i="33"/>
  <c r="W18" i="33"/>
  <c r="X18" i="33"/>
  <c r="Y18" i="33"/>
  <c r="Z18" i="33"/>
  <c r="AA18" i="33"/>
  <c r="AB18" i="33"/>
  <c r="AC18" i="33"/>
  <c r="AD18" i="33"/>
  <c r="AE18" i="33"/>
  <c r="E19" i="33"/>
  <c r="F19" i="33"/>
  <c r="G19" i="33"/>
  <c r="H19" i="33"/>
  <c r="I19" i="33"/>
  <c r="J19" i="33"/>
  <c r="K19" i="33"/>
  <c r="L19" i="33"/>
  <c r="M19" i="33"/>
  <c r="N19" i="33"/>
  <c r="O19" i="33"/>
  <c r="P19" i="33"/>
  <c r="Q19" i="33"/>
  <c r="R19" i="33"/>
  <c r="S19" i="33"/>
  <c r="T19" i="33"/>
  <c r="U19" i="33"/>
  <c r="V19" i="33"/>
  <c r="W19" i="33"/>
  <c r="X19" i="33"/>
  <c r="Y19" i="33"/>
  <c r="Z19" i="33"/>
  <c r="AA19" i="33"/>
  <c r="AB19" i="33"/>
  <c r="AC19" i="33"/>
  <c r="AD19" i="33"/>
  <c r="AE19" i="33"/>
  <c r="F20" i="33"/>
  <c r="G20" i="33"/>
  <c r="H20" i="33"/>
  <c r="I20" i="33"/>
  <c r="J20" i="33"/>
  <c r="K20" i="33"/>
  <c r="L20" i="33"/>
  <c r="M20" i="33"/>
  <c r="N20" i="33"/>
  <c r="O20" i="33"/>
  <c r="P20" i="33"/>
  <c r="Q20" i="33"/>
  <c r="R20" i="33"/>
  <c r="S20" i="33"/>
  <c r="T20" i="33"/>
  <c r="U20" i="33"/>
  <c r="V20" i="33"/>
  <c r="W20" i="33"/>
  <c r="X20" i="33"/>
  <c r="Y20" i="33"/>
  <c r="Z20" i="33"/>
  <c r="AA20" i="33"/>
  <c r="AB20" i="33"/>
  <c r="AC20" i="33"/>
  <c r="AD20" i="33"/>
  <c r="AE20" i="33"/>
  <c r="E21" i="33"/>
  <c r="F21" i="33"/>
  <c r="G21" i="33"/>
  <c r="H21" i="33"/>
  <c r="I21" i="33"/>
  <c r="J21" i="33"/>
  <c r="K21" i="33"/>
  <c r="L21" i="33"/>
  <c r="M21" i="33"/>
  <c r="N21" i="33"/>
  <c r="O21" i="33"/>
  <c r="P21" i="33"/>
  <c r="Q21" i="33"/>
  <c r="R21" i="33"/>
  <c r="S21" i="33"/>
  <c r="T21" i="33"/>
  <c r="U21" i="33"/>
  <c r="V21" i="33"/>
  <c r="W21" i="33"/>
  <c r="X21" i="33"/>
  <c r="Y21" i="33"/>
  <c r="Z21" i="33"/>
  <c r="AA21" i="33"/>
  <c r="AB21" i="33"/>
  <c r="AC21" i="33"/>
  <c r="AD21" i="33"/>
  <c r="AE21" i="33"/>
  <c r="E22" i="33"/>
  <c r="F22" i="33"/>
  <c r="G22" i="33"/>
  <c r="H22" i="33"/>
  <c r="I22" i="33"/>
  <c r="J22" i="33"/>
  <c r="K22" i="33"/>
  <c r="L22" i="33"/>
  <c r="M22" i="33"/>
  <c r="N22" i="33"/>
  <c r="O22" i="33"/>
  <c r="P22" i="33"/>
  <c r="Q22" i="33"/>
  <c r="R22" i="33"/>
  <c r="S22" i="33"/>
  <c r="T22" i="33"/>
  <c r="U22" i="33"/>
  <c r="V22" i="33"/>
  <c r="W22" i="33"/>
  <c r="X22" i="33"/>
  <c r="Y22" i="33"/>
  <c r="Z22" i="33"/>
  <c r="AA22" i="33"/>
  <c r="AB22" i="33"/>
  <c r="AC22" i="33"/>
  <c r="AD22" i="33"/>
  <c r="AE22" i="33"/>
  <c r="E23" i="33"/>
  <c r="F23" i="33"/>
  <c r="G23" i="33"/>
  <c r="H23" i="33"/>
  <c r="I23" i="33"/>
  <c r="J23" i="33"/>
  <c r="K23" i="33"/>
  <c r="L23" i="33"/>
  <c r="M23" i="33"/>
  <c r="N23" i="33"/>
  <c r="O23" i="33"/>
  <c r="P23" i="33"/>
  <c r="Q23" i="33"/>
  <c r="R23" i="33"/>
  <c r="S23" i="33"/>
  <c r="T23" i="33"/>
  <c r="U23" i="33"/>
  <c r="V23" i="33"/>
  <c r="W23" i="33"/>
  <c r="X23" i="33"/>
  <c r="Y23" i="33"/>
  <c r="Z23" i="33"/>
  <c r="AA23" i="33"/>
  <c r="AB23" i="33"/>
  <c r="AC23" i="33"/>
  <c r="AD23" i="33"/>
  <c r="AE23" i="33"/>
  <c r="E26" i="33"/>
  <c r="F26" i="33"/>
  <c r="G26" i="33"/>
  <c r="H26" i="33"/>
  <c r="I26" i="33"/>
  <c r="J26" i="33"/>
  <c r="K26" i="33"/>
  <c r="L26" i="33"/>
  <c r="M26" i="33"/>
  <c r="N26" i="33"/>
  <c r="O26" i="33"/>
  <c r="P26" i="33"/>
  <c r="Q26" i="33"/>
  <c r="R26" i="33"/>
  <c r="S26" i="33"/>
  <c r="T26" i="33"/>
  <c r="U26" i="33"/>
  <c r="V26" i="33"/>
  <c r="W26" i="33"/>
  <c r="X26" i="33"/>
  <c r="Y26" i="33"/>
  <c r="Z26" i="33"/>
  <c r="AA26" i="33"/>
  <c r="AB26" i="33"/>
  <c r="AC26" i="33"/>
  <c r="AD26" i="33"/>
  <c r="AE26" i="33"/>
  <c r="E29" i="33"/>
  <c r="F29" i="33"/>
  <c r="G29" i="33"/>
  <c r="H29" i="33"/>
  <c r="I29" i="33"/>
  <c r="J29" i="33"/>
  <c r="K29" i="33"/>
  <c r="L29" i="33"/>
  <c r="M29" i="33"/>
  <c r="N29" i="33"/>
  <c r="O29" i="33"/>
  <c r="P29" i="33"/>
  <c r="Q29" i="33"/>
  <c r="R29" i="33"/>
  <c r="S29" i="33"/>
  <c r="T29" i="33"/>
  <c r="U29" i="33"/>
  <c r="V29" i="33"/>
  <c r="W29" i="33"/>
  <c r="X29" i="33"/>
  <c r="Y29" i="33"/>
  <c r="Z29" i="33"/>
  <c r="AA29" i="33"/>
  <c r="AB29" i="33"/>
  <c r="AC29" i="33"/>
  <c r="AD29" i="33"/>
  <c r="AE29" i="33"/>
  <c r="E30" i="33"/>
  <c r="F30" i="33"/>
  <c r="G30" i="33"/>
  <c r="H30" i="33"/>
  <c r="I30" i="33"/>
  <c r="J30" i="33"/>
  <c r="K30" i="33"/>
  <c r="L30" i="33"/>
  <c r="M30" i="33"/>
  <c r="N30" i="33"/>
  <c r="O30" i="33"/>
  <c r="P30" i="33"/>
  <c r="Q30" i="33"/>
  <c r="R30" i="33"/>
  <c r="S30" i="33"/>
  <c r="T30" i="33"/>
  <c r="U30" i="33"/>
  <c r="V30" i="33"/>
  <c r="W30" i="33"/>
  <c r="X30" i="33"/>
  <c r="Y30" i="33"/>
  <c r="Z30" i="33"/>
  <c r="AA30" i="33"/>
  <c r="AB30" i="33"/>
  <c r="AC30" i="33"/>
  <c r="AD30" i="33"/>
  <c r="AE30" i="33"/>
  <c r="E31" i="33"/>
  <c r="F31" i="33"/>
  <c r="G31" i="33"/>
  <c r="H31" i="33"/>
  <c r="I31" i="33"/>
  <c r="J31" i="33"/>
  <c r="K31" i="33"/>
  <c r="L31" i="33"/>
  <c r="M31" i="33"/>
  <c r="N31" i="33"/>
  <c r="O31" i="33"/>
  <c r="P31" i="33"/>
  <c r="Q31" i="33"/>
  <c r="R31" i="33"/>
  <c r="S31" i="33"/>
  <c r="T31" i="33"/>
  <c r="U31" i="33"/>
  <c r="V31" i="33"/>
  <c r="W31" i="33"/>
  <c r="X31" i="33"/>
  <c r="Y31" i="33"/>
  <c r="Z31" i="33"/>
  <c r="AA31" i="33"/>
  <c r="AB31" i="33"/>
  <c r="AC31" i="33"/>
  <c r="AD31" i="33"/>
  <c r="AE31" i="33"/>
  <c r="E32" i="33"/>
  <c r="F32" i="33"/>
  <c r="G32" i="33"/>
  <c r="H32" i="33"/>
  <c r="I32" i="33"/>
  <c r="J32" i="33"/>
  <c r="K32" i="33"/>
  <c r="L32" i="33"/>
  <c r="M32" i="33"/>
  <c r="N32" i="33"/>
  <c r="O32" i="33"/>
  <c r="P32" i="33"/>
  <c r="Q32" i="33"/>
  <c r="R32" i="33"/>
  <c r="S32" i="33"/>
  <c r="T32" i="33"/>
  <c r="U32" i="33"/>
  <c r="V32" i="33"/>
  <c r="W32" i="33"/>
  <c r="X32" i="33"/>
  <c r="Y32" i="33"/>
  <c r="Z32" i="33"/>
  <c r="AA32" i="33"/>
  <c r="AB32" i="33"/>
  <c r="AC32" i="33"/>
  <c r="AD32" i="33"/>
  <c r="AE32" i="33"/>
  <c r="F33" i="33"/>
  <c r="G33" i="33"/>
  <c r="H33" i="33"/>
  <c r="I33" i="33"/>
  <c r="J33" i="33"/>
  <c r="K33" i="33"/>
  <c r="L33" i="33"/>
  <c r="M33" i="33"/>
  <c r="N33" i="33"/>
  <c r="O33" i="33"/>
  <c r="P33" i="33"/>
  <c r="Q33" i="33"/>
  <c r="R33" i="33"/>
  <c r="S33" i="33"/>
  <c r="T33" i="33"/>
  <c r="U33" i="33"/>
  <c r="V33" i="33"/>
  <c r="W33" i="33"/>
  <c r="X33" i="33"/>
  <c r="Y33" i="33"/>
  <c r="Z33" i="33"/>
  <c r="AA33" i="33"/>
  <c r="AB33" i="33"/>
  <c r="AC33" i="33"/>
  <c r="AD33" i="33"/>
  <c r="AE33" i="33"/>
  <c r="E34" i="33"/>
  <c r="F34" i="33"/>
  <c r="G34" i="33"/>
  <c r="H34" i="33"/>
  <c r="I34" i="33"/>
  <c r="J34" i="33"/>
  <c r="K34" i="33"/>
  <c r="L34" i="33"/>
  <c r="M34" i="33"/>
  <c r="N34" i="33"/>
  <c r="O34" i="33"/>
  <c r="P34" i="33"/>
  <c r="Q34" i="33"/>
  <c r="R34" i="33"/>
  <c r="S34" i="33"/>
  <c r="T34" i="33"/>
  <c r="U34" i="33"/>
  <c r="V34" i="33"/>
  <c r="W34" i="33"/>
  <c r="X34" i="33"/>
  <c r="Y34" i="33"/>
  <c r="Z34" i="33"/>
  <c r="AA34" i="33"/>
  <c r="AB34" i="33"/>
  <c r="AC34" i="33"/>
  <c r="AD34" i="33"/>
  <c r="AE34" i="33"/>
  <c r="E36" i="33"/>
  <c r="F36" i="33"/>
  <c r="G36" i="33"/>
  <c r="H36" i="33"/>
  <c r="I36" i="33"/>
  <c r="J36" i="33"/>
  <c r="K36" i="33"/>
  <c r="L36" i="33"/>
  <c r="E37" i="33"/>
  <c r="F37" i="33"/>
  <c r="G37" i="33"/>
  <c r="H37" i="33"/>
  <c r="I37" i="33"/>
  <c r="J37" i="33"/>
  <c r="K37" i="33"/>
  <c r="L37" i="33"/>
  <c r="E39" i="33"/>
  <c r="F39" i="33"/>
  <c r="G39" i="33"/>
  <c r="H39" i="33"/>
  <c r="I39" i="33"/>
  <c r="J39" i="33"/>
  <c r="K39" i="33"/>
  <c r="L39" i="33"/>
  <c r="E40" i="33"/>
  <c r="F40" i="33"/>
  <c r="G40" i="33"/>
  <c r="H40" i="33"/>
  <c r="I40" i="33"/>
  <c r="J40" i="33"/>
  <c r="K40" i="33"/>
  <c r="L40" i="33"/>
  <c r="E41" i="33"/>
  <c r="F41" i="33"/>
  <c r="G41" i="33"/>
  <c r="H41" i="33"/>
  <c r="I41" i="33"/>
  <c r="J41" i="33"/>
  <c r="K41" i="33"/>
  <c r="L41" i="33"/>
  <c r="F42" i="33"/>
  <c r="G42" i="33"/>
  <c r="H42" i="33"/>
  <c r="I42" i="33"/>
  <c r="J42" i="33"/>
  <c r="K42" i="33"/>
  <c r="L42" i="33"/>
  <c r="M42" i="33"/>
  <c r="N42" i="33"/>
  <c r="O42" i="33"/>
  <c r="P42" i="33"/>
  <c r="Q42" i="33"/>
  <c r="R42" i="33"/>
  <c r="S42" i="33"/>
  <c r="T42" i="33"/>
  <c r="U42" i="33"/>
  <c r="V42" i="33"/>
  <c r="W42" i="33"/>
  <c r="X42" i="33"/>
  <c r="Y42" i="33"/>
  <c r="Z42" i="33"/>
  <c r="AA42" i="33"/>
  <c r="AB42" i="33"/>
  <c r="AC42" i="33"/>
  <c r="AD42" i="33"/>
  <c r="AE42" i="33"/>
  <c r="F43" i="33"/>
  <c r="G43" i="33"/>
  <c r="H43" i="33"/>
  <c r="I43" i="33"/>
  <c r="J43" i="33"/>
  <c r="K43" i="33"/>
  <c r="L43" i="33"/>
  <c r="M43" i="33"/>
  <c r="N43" i="33"/>
  <c r="O43" i="33"/>
  <c r="P43" i="33"/>
  <c r="Q43" i="33"/>
  <c r="R43" i="33"/>
  <c r="S43" i="33"/>
  <c r="T43" i="33"/>
  <c r="U43" i="33"/>
  <c r="V43" i="33"/>
  <c r="W43" i="33"/>
  <c r="X43" i="33"/>
  <c r="Y43" i="33"/>
  <c r="Z43" i="33"/>
  <c r="AA43" i="33"/>
  <c r="AB43" i="33"/>
  <c r="AC43" i="33"/>
  <c r="AD43" i="33"/>
  <c r="AE43" i="33"/>
  <c r="E44" i="33"/>
  <c r="F44" i="33"/>
  <c r="G44" i="33"/>
  <c r="H44" i="33"/>
  <c r="I44" i="33"/>
  <c r="J44" i="33"/>
  <c r="K44" i="33"/>
  <c r="L44" i="33"/>
  <c r="M44" i="33"/>
  <c r="N44" i="33"/>
  <c r="O44" i="33"/>
  <c r="P44" i="33"/>
  <c r="Q44" i="33"/>
  <c r="R44" i="33"/>
  <c r="S44" i="33"/>
  <c r="T44" i="33"/>
  <c r="U44" i="33"/>
  <c r="V44" i="33"/>
  <c r="W44" i="33"/>
  <c r="X44" i="33"/>
  <c r="Y44" i="33"/>
  <c r="Z44" i="33"/>
  <c r="AA44" i="33"/>
  <c r="AB44" i="33"/>
  <c r="AC44" i="33"/>
  <c r="AD44" i="33"/>
  <c r="AE44" i="33"/>
  <c r="F45" i="33"/>
  <c r="G45" i="33"/>
  <c r="H45" i="33"/>
  <c r="I45" i="33"/>
  <c r="J45" i="33"/>
  <c r="K45" i="33"/>
  <c r="L45" i="33"/>
  <c r="M45" i="33"/>
  <c r="N45" i="33"/>
  <c r="O45" i="33"/>
  <c r="P45" i="33"/>
  <c r="Q45" i="33"/>
  <c r="R45" i="33"/>
  <c r="S45" i="33"/>
  <c r="T45" i="33"/>
  <c r="U45" i="33"/>
  <c r="V45" i="33"/>
  <c r="W45" i="33"/>
  <c r="X45" i="33"/>
  <c r="Y45" i="33"/>
  <c r="Z45" i="33"/>
  <c r="AA45" i="33"/>
  <c r="AB45" i="33"/>
  <c r="AC45" i="33"/>
  <c r="AD45" i="33"/>
  <c r="AE45" i="33"/>
  <c r="E46" i="33"/>
  <c r="F46" i="33"/>
  <c r="G46" i="33"/>
  <c r="H46" i="33"/>
  <c r="I46" i="33"/>
  <c r="J46" i="33"/>
  <c r="K46" i="33"/>
  <c r="L46" i="33"/>
  <c r="M46" i="33"/>
  <c r="N46" i="33"/>
  <c r="O46" i="33"/>
  <c r="P46" i="33"/>
  <c r="Q46" i="33"/>
  <c r="R46" i="33"/>
  <c r="S46" i="33"/>
  <c r="T46" i="33"/>
  <c r="U46" i="33"/>
  <c r="V46" i="33"/>
  <c r="W46" i="33"/>
  <c r="X46" i="33"/>
  <c r="Y46" i="33"/>
  <c r="Z46" i="33"/>
  <c r="AA46" i="33"/>
  <c r="AB46" i="33"/>
  <c r="AC46" i="33"/>
  <c r="AD46" i="33"/>
  <c r="AE46" i="33"/>
  <c r="F49" i="33"/>
  <c r="G49" i="33"/>
  <c r="H49" i="33"/>
  <c r="I49" i="33"/>
  <c r="J49" i="33"/>
  <c r="K49" i="33"/>
  <c r="L49" i="33"/>
  <c r="M49" i="33"/>
  <c r="N49" i="33"/>
  <c r="O49" i="33"/>
  <c r="P49" i="33"/>
  <c r="Q49" i="33"/>
  <c r="R49" i="33"/>
  <c r="S49" i="33"/>
  <c r="T49" i="33"/>
  <c r="U49" i="33"/>
  <c r="V49" i="33"/>
  <c r="W49" i="33"/>
  <c r="X49" i="33"/>
  <c r="Y49" i="33"/>
  <c r="Z49" i="33"/>
  <c r="AA49" i="33"/>
  <c r="AB49" i="33"/>
  <c r="AC49" i="33"/>
  <c r="AD49" i="33"/>
  <c r="AE49" i="33"/>
  <c r="E50" i="33"/>
  <c r="F50" i="33"/>
  <c r="G50" i="33"/>
  <c r="H50" i="33"/>
  <c r="I50" i="33"/>
  <c r="J50" i="33"/>
  <c r="K50" i="33"/>
  <c r="L50" i="33"/>
  <c r="M50" i="33"/>
  <c r="N50" i="33"/>
  <c r="O50" i="33"/>
  <c r="P50" i="33"/>
  <c r="Q50" i="33"/>
  <c r="R50" i="33"/>
  <c r="S50" i="33"/>
  <c r="T50" i="33"/>
  <c r="U50" i="33"/>
  <c r="V50" i="33"/>
  <c r="W50" i="33"/>
  <c r="X50" i="33"/>
  <c r="Y50" i="33"/>
  <c r="Z50" i="33"/>
  <c r="AA50" i="33"/>
  <c r="AB50" i="33"/>
  <c r="AC50" i="33"/>
  <c r="AD50" i="33"/>
  <c r="AE50" i="33"/>
  <c r="E51" i="33"/>
  <c r="F51" i="33"/>
  <c r="G51" i="33"/>
  <c r="H51" i="33"/>
  <c r="I51" i="33"/>
  <c r="J51" i="33"/>
  <c r="K51" i="33"/>
  <c r="L51" i="33"/>
  <c r="M51" i="33"/>
  <c r="N51" i="33"/>
  <c r="O51" i="33"/>
  <c r="P51" i="33"/>
  <c r="Q51" i="33"/>
  <c r="R51" i="33"/>
  <c r="S51" i="33"/>
  <c r="T51" i="33"/>
  <c r="U51" i="33"/>
  <c r="V51" i="33"/>
  <c r="W51" i="33"/>
  <c r="X51" i="33"/>
  <c r="Y51" i="33"/>
  <c r="Z51" i="33"/>
  <c r="AA51" i="33"/>
  <c r="AB51" i="33"/>
  <c r="AC51" i="33"/>
  <c r="AD51" i="33"/>
  <c r="AE51" i="33"/>
  <c r="F55" i="33"/>
  <c r="G55" i="33"/>
  <c r="H55" i="33"/>
  <c r="I55" i="33"/>
  <c r="J55" i="33"/>
  <c r="K55" i="33"/>
  <c r="L55" i="33"/>
  <c r="M55" i="33"/>
  <c r="N55" i="33"/>
  <c r="O55" i="33"/>
  <c r="P55" i="33"/>
  <c r="Q55" i="33"/>
  <c r="R55" i="33"/>
  <c r="S55" i="33"/>
  <c r="T55" i="33"/>
  <c r="U55" i="33"/>
  <c r="V55" i="33"/>
  <c r="W55" i="33"/>
  <c r="X55" i="33"/>
  <c r="Y55" i="33"/>
  <c r="Z55" i="33"/>
  <c r="AA55" i="33"/>
  <c r="AB55" i="33"/>
  <c r="AC55" i="33"/>
  <c r="AD55" i="33"/>
  <c r="AE55" i="33"/>
  <c r="F56" i="33"/>
  <c r="G56" i="33"/>
  <c r="H56" i="33"/>
  <c r="I56" i="33"/>
  <c r="J56" i="33"/>
  <c r="K56" i="33"/>
  <c r="L56" i="33"/>
  <c r="M56" i="33"/>
  <c r="N56" i="33"/>
  <c r="O56" i="33"/>
  <c r="P56" i="33"/>
  <c r="Q56" i="33"/>
  <c r="R56" i="33"/>
  <c r="S56" i="33"/>
  <c r="T56" i="33"/>
  <c r="U56" i="33"/>
  <c r="V56" i="33"/>
  <c r="W56" i="33"/>
  <c r="X56" i="33"/>
  <c r="Y56" i="33"/>
  <c r="Z56" i="33"/>
  <c r="AA56" i="33"/>
  <c r="AB56" i="33"/>
  <c r="AC56" i="33"/>
  <c r="AD56" i="33"/>
  <c r="AE56" i="33"/>
  <c r="F57" i="33"/>
  <c r="G57" i="33"/>
  <c r="H57" i="33"/>
  <c r="I57" i="33"/>
  <c r="J57" i="33"/>
  <c r="K57" i="33"/>
  <c r="L57" i="33"/>
  <c r="M57" i="33"/>
  <c r="N57" i="33"/>
  <c r="O57" i="33"/>
  <c r="P57" i="33"/>
  <c r="Q57" i="33"/>
  <c r="R57" i="33"/>
  <c r="S57" i="33"/>
  <c r="T57" i="33"/>
  <c r="U57" i="33"/>
  <c r="V57" i="33"/>
  <c r="W57" i="33"/>
  <c r="X57" i="33"/>
  <c r="Y57" i="33"/>
  <c r="Z57" i="33"/>
  <c r="AA57" i="33"/>
  <c r="AB57" i="33"/>
  <c r="AC57" i="33"/>
  <c r="AD57" i="33"/>
  <c r="AE57" i="33"/>
  <c r="E58" i="33"/>
  <c r="F58" i="33"/>
  <c r="G58" i="33"/>
  <c r="H58" i="33"/>
  <c r="I58" i="33"/>
  <c r="J58" i="33"/>
  <c r="K58" i="33"/>
  <c r="L58" i="33"/>
  <c r="M58" i="33"/>
  <c r="N58" i="33"/>
  <c r="O58" i="33"/>
  <c r="P58" i="33"/>
  <c r="Q58" i="33"/>
  <c r="R58" i="33"/>
  <c r="S58" i="33"/>
  <c r="T58" i="33"/>
  <c r="U58" i="33"/>
  <c r="V58" i="33"/>
  <c r="W58" i="33"/>
  <c r="X58" i="33"/>
  <c r="Y58" i="33"/>
  <c r="Z58" i="33"/>
  <c r="AA58" i="33"/>
  <c r="AB58" i="33"/>
  <c r="AC58" i="33"/>
  <c r="AD58" i="33"/>
  <c r="AE58" i="33"/>
  <c r="F60" i="33"/>
  <c r="G60" i="33"/>
  <c r="H60" i="33"/>
  <c r="I60" i="33"/>
  <c r="J60" i="33"/>
  <c r="K60" i="33"/>
  <c r="L60" i="33"/>
  <c r="M60" i="33"/>
  <c r="N60" i="33"/>
  <c r="O60" i="33"/>
  <c r="P60" i="33"/>
  <c r="Q60" i="33"/>
  <c r="R60" i="33"/>
  <c r="S60" i="33"/>
  <c r="T60" i="33"/>
  <c r="U60" i="33"/>
  <c r="V60" i="33"/>
  <c r="W60" i="33"/>
  <c r="X60" i="33"/>
  <c r="Y60" i="33"/>
  <c r="Z60" i="33"/>
  <c r="AA60" i="33"/>
  <c r="AB60" i="33"/>
  <c r="AC60" i="33"/>
  <c r="AD60" i="33"/>
  <c r="AE60" i="33"/>
  <c r="E61" i="33"/>
  <c r="F61" i="33"/>
  <c r="G61" i="33"/>
  <c r="H61" i="33"/>
  <c r="I61" i="33"/>
  <c r="J61" i="33"/>
  <c r="K61" i="33"/>
  <c r="L61" i="33"/>
  <c r="M61" i="33"/>
  <c r="N61" i="33"/>
  <c r="O61" i="33"/>
  <c r="P61" i="33"/>
  <c r="Q61" i="33"/>
  <c r="R61" i="33"/>
  <c r="S61" i="33"/>
  <c r="T61" i="33"/>
  <c r="U61" i="33"/>
  <c r="V61" i="33"/>
  <c r="W61" i="33"/>
  <c r="X61" i="33"/>
  <c r="Y61" i="33"/>
  <c r="Z61" i="33"/>
  <c r="AA61" i="33"/>
  <c r="AB61" i="33"/>
  <c r="AC61" i="33"/>
  <c r="AD61" i="33"/>
  <c r="AE61" i="33"/>
  <c r="E62" i="33"/>
  <c r="F62" i="33"/>
  <c r="G62" i="33"/>
  <c r="H62" i="33"/>
  <c r="I62" i="33"/>
  <c r="J62" i="33"/>
  <c r="K62" i="33"/>
  <c r="L62" i="33"/>
  <c r="M62" i="33"/>
  <c r="N62" i="33"/>
  <c r="O62" i="33"/>
  <c r="P62" i="33"/>
  <c r="Q62" i="33"/>
  <c r="R62" i="33"/>
  <c r="S62" i="33"/>
  <c r="T62" i="33"/>
  <c r="U62" i="33"/>
  <c r="V62" i="33"/>
  <c r="W62" i="33"/>
  <c r="X62" i="33"/>
  <c r="Y62" i="33"/>
  <c r="Z62" i="33"/>
  <c r="AA62" i="33"/>
  <c r="AB62" i="33"/>
  <c r="AC62" i="33"/>
  <c r="AD62" i="33"/>
  <c r="AE62" i="33"/>
  <c r="E64" i="33"/>
  <c r="F64" i="33"/>
  <c r="G64" i="33"/>
  <c r="H64" i="33"/>
  <c r="I64" i="33"/>
  <c r="J64" i="33"/>
  <c r="K64" i="33"/>
  <c r="L64" i="33"/>
  <c r="M64" i="33"/>
  <c r="N64" i="33"/>
  <c r="O64" i="33"/>
  <c r="P64" i="33"/>
  <c r="Q64" i="33"/>
  <c r="R64" i="33"/>
  <c r="S64" i="33"/>
  <c r="T64" i="33"/>
  <c r="U64" i="33"/>
  <c r="V64" i="33"/>
  <c r="W64" i="33"/>
  <c r="X64" i="33"/>
  <c r="Y64" i="33"/>
  <c r="Z64" i="33"/>
  <c r="AA64" i="33"/>
  <c r="AB64" i="33"/>
  <c r="AC64" i="33"/>
  <c r="AD64" i="33"/>
  <c r="AE64" i="33"/>
  <c r="E67" i="33"/>
  <c r="F67" i="33"/>
  <c r="G67" i="33"/>
  <c r="H67" i="33"/>
  <c r="I67" i="33"/>
  <c r="J67" i="33"/>
  <c r="K67" i="33"/>
  <c r="L67" i="33"/>
  <c r="M67" i="33"/>
  <c r="N67" i="33"/>
  <c r="O67" i="33"/>
  <c r="P67" i="33"/>
  <c r="Q67" i="33"/>
  <c r="R67" i="33"/>
  <c r="S67" i="33"/>
  <c r="T67" i="33"/>
  <c r="U67" i="33"/>
  <c r="V67" i="33"/>
  <c r="W67" i="33"/>
  <c r="X67" i="33"/>
  <c r="Y67" i="33"/>
  <c r="Z67" i="33"/>
  <c r="AA67" i="33"/>
  <c r="AB67" i="33"/>
  <c r="AC67" i="33"/>
  <c r="AD67" i="33"/>
  <c r="AE67" i="33"/>
  <c r="E68" i="33"/>
  <c r="F68" i="33"/>
  <c r="G68" i="33"/>
  <c r="H68" i="33"/>
  <c r="I68" i="33"/>
  <c r="J68" i="33"/>
  <c r="K68" i="33"/>
  <c r="L68" i="33"/>
  <c r="M68" i="33"/>
  <c r="N68" i="33"/>
  <c r="O68" i="33"/>
  <c r="P68" i="33"/>
  <c r="Q68" i="33"/>
  <c r="R68" i="33"/>
  <c r="S68" i="33"/>
  <c r="T68" i="33"/>
  <c r="U68" i="33"/>
  <c r="V68" i="33"/>
  <c r="W68" i="33"/>
  <c r="X68" i="33"/>
  <c r="Y68" i="33"/>
  <c r="Z68" i="33"/>
  <c r="AA68" i="33"/>
  <c r="AB68" i="33"/>
  <c r="AC68" i="33"/>
  <c r="AD68" i="33"/>
  <c r="AE68" i="33"/>
  <c r="E69" i="33"/>
  <c r="F69" i="33"/>
  <c r="G69" i="33"/>
  <c r="H69" i="33"/>
  <c r="I69" i="33"/>
  <c r="J69" i="33"/>
  <c r="K69" i="33"/>
  <c r="L69" i="33"/>
  <c r="M69" i="33"/>
  <c r="N69" i="33"/>
  <c r="O69" i="33"/>
  <c r="P69" i="33"/>
  <c r="Q69" i="33"/>
  <c r="R69" i="33"/>
  <c r="S69" i="33"/>
  <c r="T69" i="33"/>
  <c r="U69" i="33"/>
  <c r="V69" i="33"/>
  <c r="W69" i="33"/>
  <c r="X69" i="33"/>
  <c r="Y69" i="33"/>
  <c r="Z69" i="33"/>
  <c r="AA69" i="33"/>
  <c r="AB69" i="33"/>
  <c r="AC69" i="33"/>
  <c r="AD69" i="33"/>
  <c r="AE69" i="33"/>
  <c r="E70" i="33"/>
  <c r="F70" i="33"/>
  <c r="G70" i="33"/>
  <c r="H70" i="33"/>
  <c r="I70" i="33"/>
  <c r="J70" i="33"/>
  <c r="K70" i="33"/>
  <c r="L70" i="33"/>
  <c r="M70" i="33"/>
  <c r="N70" i="33"/>
  <c r="O70" i="33"/>
  <c r="P70" i="33"/>
  <c r="Q70" i="33"/>
  <c r="R70" i="33"/>
  <c r="S70" i="33"/>
  <c r="T70" i="33"/>
  <c r="U70" i="33"/>
  <c r="V70" i="33"/>
  <c r="W70" i="33"/>
  <c r="X70" i="33"/>
  <c r="Y70" i="33"/>
  <c r="Z70" i="33"/>
  <c r="AA70" i="33"/>
  <c r="AB70" i="33"/>
  <c r="AC70" i="33"/>
  <c r="AD70" i="33"/>
  <c r="AE70" i="33"/>
  <c r="F71" i="33"/>
  <c r="G71" i="33"/>
  <c r="H71" i="33"/>
  <c r="I71" i="33"/>
  <c r="J71" i="33"/>
  <c r="K71" i="33"/>
  <c r="L71" i="33"/>
  <c r="M71" i="33"/>
  <c r="N71" i="33"/>
  <c r="O71" i="33"/>
  <c r="P71" i="33"/>
  <c r="Q71" i="33"/>
  <c r="R71" i="33"/>
  <c r="S71" i="33"/>
  <c r="T71" i="33"/>
  <c r="U71" i="33"/>
  <c r="V71" i="33"/>
  <c r="W71" i="33"/>
  <c r="X71" i="33"/>
  <c r="Y71" i="33"/>
  <c r="Z71" i="33"/>
  <c r="AA71" i="33"/>
  <c r="AB71" i="33"/>
  <c r="AC71" i="33"/>
  <c r="AD71" i="33"/>
  <c r="AE71" i="33"/>
  <c r="E72" i="33"/>
  <c r="F72" i="33"/>
  <c r="G72" i="33"/>
  <c r="H72" i="33"/>
  <c r="I72" i="33"/>
  <c r="J72" i="33"/>
  <c r="K72" i="33"/>
  <c r="L72" i="33"/>
  <c r="M72" i="33"/>
  <c r="N72" i="33"/>
  <c r="O72" i="33"/>
  <c r="P72" i="33"/>
  <c r="Q72" i="33"/>
  <c r="R72" i="33"/>
  <c r="S72" i="33"/>
  <c r="T72" i="33"/>
  <c r="U72" i="33"/>
  <c r="V72" i="33"/>
  <c r="W72" i="33"/>
  <c r="X72" i="33"/>
  <c r="Y72" i="33"/>
  <c r="Z72" i="33"/>
  <c r="AA72" i="33"/>
  <c r="AB72" i="33"/>
  <c r="AC72" i="33"/>
  <c r="AD72" i="33"/>
  <c r="AE72" i="33"/>
  <c r="E83" i="35"/>
  <c r="F83" i="35"/>
  <c r="G83" i="35"/>
  <c r="H83" i="35"/>
  <c r="I83" i="35"/>
  <c r="J83" i="35"/>
  <c r="K83" i="35"/>
  <c r="L83" i="35"/>
  <c r="E84" i="35"/>
  <c r="F84" i="35"/>
  <c r="G84" i="35"/>
  <c r="H84" i="35"/>
  <c r="I84" i="35"/>
  <c r="J84" i="35"/>
  <c r="K84" i="35"/>
  <c r="L84" i="35"/>
  <c r="E90" i="35"/>
  <c r="F90" i="35"/>
  <c r="G90" i="35"/>
  <c r="H90" i="35"/>
  <c r="I90" i="35"/>
  <c r="J90" i="35"/>
  <c r="K90" i="35"/>
  <c r="L90" i="35"/>
  <c r="E91" i="35"/>
  <c r="F91" i="35"/>
  <c r="G91" i="35"/>
  <c r="H91" i="35"/>
  <c r="I91" i="35"/>
  <c r="J91" i="35"/>
  <c r="K91" i="35"/>
  <c r="L91" i="35"/>
  <c r="E92" i="35"/>
  <c r="F92" i="35"/>
  <c r="G92" i="35"/>
  <c r="H92" i="35"/>
  <c r="I92" i="35"/>
  <c r="J92" i="35"/>
  <c r="K92" i="35"/>
  <c r="L92" i="35"/>
  <c r="F95" i="35"/>
  <c r="G95" i="35"/>
  <c r="H95" i="35"/>
  <c r="I95" i="35"/>
  <c r="J95" i="35"/>
  <c r="K95" i="35"/>
  <c r="L95" i="35"/>
  <c r="E96" i="35"/>
  <c r="F96" i="35"/>
  <c r="G96" i="35"/>
  <c r="H96" i="35"/>
  <c r="I96" i="35"/>
  <c r="J96" i="35"/>
  <c r="K96" i="35"/>
  <c r="L96" i="35"/>
  <c r="K97" i="35"/>
  <c r="L97" i="35"/>
  <c r="E98" i="35"/>
  <c r="F98" i="35"/>
  <c r="G98" i="35"/>
  <c r="H98" i="35"/>
  <c r="I98" i="35"/>
  <c r="J98" i="35"/>
  <c r="K98" i="35"/>
  <c r="L98" i="35"/>
  <c r="E101" i="35"/>
  <c r="F101" i="35"/>
  <c r="G101" i="35"/>
  <c r="H101" i="35"/>
  <c r="I101" i="35"/>
  <c r="J101" i="35"/>
  <c r="K101" i="35"/>
  <c r="L101" i="35"/>
  <c r="E102" i="35"/>
  <c r="F102" i="35"/>
  <c r="G102" i="35"/>
  <c r="H102" i="35"/>
  <c r="I102" i="35"/>
  <c r="J102" i="35"/>
  <c r="K102" i="35"/>
  <c r="L102" i="35"/>
  <c r="H37" i="26"/>
  <c r="H38" i="26"/>
  <c r="H44" i="26"/>
  <c r="H45" i="26"/>
  <c r="D52" i="26"/>
  <c r="E52" i="26"/>
  <c r="F52" i="26"/>
  <c r="G52" i="26"/>
  <c r="H52" i="26"/>
  <c r="I52" i="26"/>
  <c r="J52"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AI52" i="26"/>
  <c r="D53" i="26"/>
  <c r="E53" i="26"/>
  <c r="F53" i="26"/>
  <c r="G53" i="26"/>
  <c r="H53" i="26"/>
  <c r="I53" i="26"/>
  <c r="J53"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AI53" i="26"/>
  <c r="D60" i="26"/>
  <c r="E60" i="26"/>
  <c r="F60" i="26"/>
  <c r="G60" i="26"/>
  <c r="H60" i="26"/>
  <c r="I60" i="26"/>
  <c r="J60"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AI60" i="26"/>
  <c r="D61" i="26"/>
  <c r="E61" i="26"/>
  <c r="F61" i="26"/>
  <c r="G61" i="26"/>
  <c r="H61" i="26"/>
  <c r="I61" i="26"/>
  <c r="J61"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AI61" i="26"/>
  <c r="D62" i="26"/>
  <c r="E62" i="26"/>
  <c r="F62" i="26"/>
  <c r="G62" i="26"/>
  <c r="H62" i="26"/>
  <c r="I62" i="26"/>
  <c r="J62"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AI62" i="26"/>
  <c r="D63" i="26"/>
  <c r="E63" i="26"/>
  <c r="F63" i="26"/>
  <c r="G63" i="26"/>
  <c r="H63" i="26"/>
  <c r="I63" i="26"/>
  <c r="J63"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AI63" i="26"/>
  <c r="D64" i="26"/>
  <c r="E66" i="26"/>
  <c r="F66" i="26"/>
  <c r="G66" i="26"/>
  <c r="H66" i="26"/>
  <c r="I66" i="26"/>
  <c r="J66"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AI66" i="26"/>
  <c r="E67" i="26"/>
  <c r="F67" i="26"/>
  <c r="G67" i="26"/>
  <c r="H67" i="26"/>
  <c r="I67" i="26"/>
  <c r="J67"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AI67" i="26"/>
  <c r="E70" i="26"/>
  <c r="F70" i="26"/>
  <c r="G70" i="26"/>
  <c r="H70" i="26"/>
  <c r="I70" i="26"/>
  <c r="J70"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AI70" i="26"/>
  <c r="E71" i="26"/>
  <c r="F71" i="26"/>
  <c r="G71" i="26"/>
  <c r="H71" i="26"/>
  <c r="I71" i="26"/>
  <c r="J71"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AI71" i="26"/>
  <c r="F74" i="26"/>
  <c r="G74" i="26"/>
  <c r="H74" i="26"/>
  <c r="I74" i="26"/>
  <c r="J74"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AI74" i="26"/>
  <c r="D75" i="26"/>
  <c r="E75" i="26"/>
  <c r="F75" i="26"/>
  <c r="G75" i="26"/>
  <c r="H75" i="26"/>
  <c r="I75" i="26"/>
  <c r="J75"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AI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AI76" i="26"/>
  <c r="E77" i="26"/>
  <c r="F77" i="26"/>
  <c r="G77" i="26"/>
  <c r="H77" i="26"/>
  <c r="I77" i="26"/>
  <c r="J77"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AI77" i="26"/>
  <c r="D80" i="26"/>
  <c r="E80" i="26"/>
  <c r="F80" i="26"/>
  <c r="G80" i="26"/>
  <c r="H80" i="26"/>
  <c r="I80" i="26"/>
  <c r="J80"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AI80" i="26"/>
  <c r="D81" i="26"/>
  <c r="E81" i="26"/>
  <c r="F81" i="26"/>
  <c r="G81" i="26"/>
  <c r="H81" i="26"/>
  <c r="I81" i="26"/>
  <c r="J81"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AI81" i="26"/>
  <c r="F84" i="26"/>
  <c r="G84" i="26"/>
  <c r="H84" i="26"/>
  <c r="I84" i="26"/>
  <c r="J84"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AI84" i="26"/>
  <c r="D85" i="26"/>
  <c r="E85" i="26"/>
  <c r="F85" i="26"/>
  <c r="G85" i="26"/>
  <c r="H85" i="26"/>
  <c r="I85" i="26"/>
  <c r="J85"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AI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AI86" i="26"/>
  <c r="E87" i="26"/>
  <c r="F87" i="26"/>
  <c r="G87" i="26"/>
  <c r="H87" i="26"/>
  <c r="I87" i="26"/>
  <c r="J87"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AI87" i="26"/>
  <c r="E90" i="26"/>
  <c r="F90" i="26"/>
  <c r="G90" i="26"/>
  <c r="H90" i="26"/>
  <c r="I90" i="26"/>
  <c r="J90"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AI90" i="26"/>
  <c r="E91" i="26"/>
  <c r="F91" i="26"/>
  <c r="G91" i="26"/>
  <c r="H91" i="26"/>
  <c r="I91" i="26"/>
  <c r="J91"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AI91" i="26"/>
  <c r="J2" i="1"/>
  <c r="J3" i="1"/>
  <c r="J4" i="1"/>
  <c r="J6" i="1"/>
  <c r="J7" i="1"/>
  <c r="E234" i="1"/>
  <c r="H5" i="13"/>
  <c r="I5" i="13"/>
  <c r="J5" i="13"/>
  <c r="H6" i="13"/>
  <c r="I6" i="13"/>
  <c r="J6" i="13"/>
  <c r="H9" i="13"/>
  <c r="H10" i="13"/>
  <c r="H11" i="13"/>
  <c r="H12" i="13"/>
  <c r="H13" i="13"/>
  <c r="H17" i="13"/>
  <c r="H18" i="13"/>
  <c r="H19" i="13"/>
  <c r="H20" i="13"/>
  <c r="H21" i="13"/>
  <c r="H23" i="13"/>
  <c r="H24" i="13"/>
  <c r="H25" i="13"/>
  <c r="L25" i="13"/>
  <c r="M25" i="13"/>
  <c r="N25" i="13"/>
  <c r="H26" i="13"/>
  <c r="L26" i="13"/>
  <c r="M26" i="13"/>
  <c r="N26" i="13"/>
  <c r="L27" i="13"/>
  <c r="M27" i="13"/>
  <c r="N27" i="13"/>
  <c r="H28" i="13"/>
  <c r="E16" i="34"/>
  <c r="F16" i="34"/>
  <c r="G16" i="34"/>
  <c r="H16" i="34"/>
  <c r="I16" i="34"/>
  <c r="J16" i="34"/>
  <c r="K16" i="34"/>
  <c r="L16" i="34"/>
  <c r="E17" i="34"/>
  <c r="F17" i="34"/>
  <c r="G17" i="34"/>
  <c r="H17" i="34"/>
  <c r="I17" i="34"/>
  <c r="J17" i="34"/>
  <c r="K17" i="34"/>
  <c r="L17" i="34"/>
  <c r="F22" i="34"/>
  <c r="G22" i="34"/>
  <c r="H22" i="34"/>
  <c r="I22" i="34"/>
  <c r="J22" i="34"/>
  <c r="K22" i="34"/>
  <c r="L22" i="34"/>
  <c r="M22" i="34"/>
  <c r="N22" i="34"/>
  <c r="O22" i="34"/>
  <c r="P22" i="34"/>
  <c r="Q22" i="34"/>
  <c r="R22" i="34"/>
  <c r="S22" i="34"/>
  <c r="T22" i="34"/>
  <c r="U22" i="34"/>
  <c r="V22" i="34"/>
  <c r="W22" i="34"/>
  <c r="X22" i="34"/>
  <c r="Y22" i="34"/>
  <c r="Z22" i="34"/>
  <c r="AA22" i="34"/>
  <c r="AB22" i="34"/>
  <c r="AC22" i="34"/>
  <c r="AD22" i="34"/>
  <c r="AE22" i="34"/>
  <c r="E23" i="34"/>
  <c r="F23" i="34"/>
  <c r="G23" i="34"/>
  <c r="H23" i="34"/>
  <c r="I23" i="34"/>
  <c r="J23" i="34"/>
  <c r="K23" i="34"/>
  <c r="L23" i="34"/>
  <c r="F24" i="34"/>
  <c r="G24" i="34"/>
  <c r="H24" i="34"/>
  <c r="I24" i="34"/>
  <c r="J24" i="34"/>
  <c r="K24" i="34"/>
  <c r="L24" i="34"/>
  <c r="M24" i="34"/>
  <c r="N24" i="34"/>
  <c r="O24" i="34"/>
  <c r="P24" i="34"/>
  <c r="Q24" i="34"/>
  <c r="R24" i="34"/>
  <c r="S24" i="34"/>
  <c r="T24" i="34"/>
  <c r="U24" i="34"/>
  <c r="V24" i="34"/>
  <c r="W24" i="34"/>
  <c r="X24" i="34"/>
  <c r="Y24" i="34"/>
  <c r="Z24" i="34"/>
  <c r="AA24" i="34"/>
  <c r="AB24" i="34"/>
  <c r="AC24" i="34"/>
  <c r="AD24" i="34"/>
  <c r="AE24" i="34"/>
  <c r="E25" i="34"/>
  <c r="F25" i="34"/>
  <c r="G25" i="34"/>
  <c r="H25" i="34"/>
  <c r="I25" i="34"/>
  <c r="J25" i="34"/>
  <c r="K25" i="34"/>
  <c r="L25" i="34"/>
  <c r="M25" i="34"/>
  <c r="N25" i="34"/>
  <c r="O25" i="34"/>
  <c r="P25" i="34"/>
  <c r="Q25" i="34"/>
  <c r="R25" i="34"/>
  <c r="S25" i="34"/>
  <c r="T25" i="34"/>
  <c r="U25" i="34"/>
  <c r="V25" i="34"/>
  <c r="W25" i="34"/>
  <c r="X25" i="34"/>
  <c r="Y25" i="34"/>
  <c r="Z25" i="34"/>
  <c r="AA25" i="34"/>
  <c r="AB25" i="34"/>
  <c r="AC25" i="34"/>
  <c r="AD25" i="34"/>
  <c r="AE25" i="34"/>
  <c r="E28" i="34"/>
  <c r="F28" i="34"/>
  <c r="G28" i="34"/>
  <c r="H28" i="34"/>
  <c r="I28" i="34"/>
  <c r="J28" i="34"/>
  <c r="K28" i="34"/>
  <c r="L28" i="34"/>
  <c r="E29" i="34"/>
  <c r="F29" i="34"/>
  <c r="G29" i="34"/>
  <c r="H29" i="34"/>
  <c r="I29" i="34"/>
  <c r="J29" i="34"/>
  <c r="K29" i="34"/>
  <c r="L29" i="34"/>
  <c r="M29" i="34"/>
  <c r="N29" i="34"/>
  <c r="O29" i="34"/>
  <c r="P29" i="34"/>
  <c r="Q29" i="34"/>
  <c r="R29" i="34"/>
  <c r="S29" i="34"/>
  <c r="T29" i="34"/>
  <c r="U29" i="34"/>
  <c r="V29" i="34"/>
  <c r="W29" i="34"/>
  <c r="X29" i="34"/>
  <c r="Y29" i="34"/>
  <c r="Z29" i="34"/>
  <c r="AA29" i="34"/>
  <c r="AB29" i="34"/>
  <c r="AC29" i="34"/>
  <c r="AD29" i="34"/>
  <c r="AE29" i="34"/>
  <c r="F33" i="34"/>
  <c r="G33" i="34"/>
  <c r="H33" i="34"/>
  <c r="I33" i="34"/>
  <c r="J33" i="34"/>
  <c r="K33" i="34"/>
  <c r="L33" i="34"/>
  <c r="M33" i="34"/>
  <c r="N33" i="34"/>
  <c r="O33" i="34"/>
  <c r="P33" i="34"/>
  <c r="Q33" i="34"/>
  <c r="R33" i="34"/>
  <c r="S33" i="34"/>
  <c r="T33" i="34"/>
  <c r="U33" i="34"/>
  <c r="V33" i="34"/>
  <c r="W33" i="34"/>
  <c r="X33" i="34"/>
  <c r="Y33" i="34"/>
  <c r="Z33" i="34"/>
  <c r="AA33" i="34"/>
  <c r="AB33" i="34"/>
  <c r="AC33" i="34"/>
  <c r="AD33" i="34"/>
  <c r="AE33" i="34"/>
  <c r="E34" i="34"/>
  <c r="F34" i="34"/>
  <c r="G34" i="34"/>
  <c r="H34" i="34"/>
  <c r="I34" i="34"/>
  <c r="J34" i="34"/>
  <c r="K34" i="34"/>
  <c r="L34" i="34"/>
  <c r="F35" i="34"/>
  <c r="E36" i="34"/>
  <c r="F36" i="34"/>
  <c r="G36" i="34"/>
  <c r="H36" i="34"/>
  <c r="I36" i="34"/>
  <c r="J36" i="34"/>
  <c r="K36" i="34"/>
  <c r="L36" i="34"/>
  <c r="M36" i="34"/>
  <c r="N36" i="34"/>
  <c r="O36" i="34"/>
  <c r="P36" i="34"/>
  <c r="Q36" i="34"/>
  <c r="R36" i="34"/>
  <c r="S36" i="34"/>
  <c r="T36" i="34"/>
  <c r="U36" i="34"/>
  <c r="V36" i="34"/>
  <c r="W36" i="34"/>
  <c r="X36" i="34"/>
  <c r="Y36" i="34"/>
  <c r="Z36" i="34"/>
  <c r="AA36" i="34"/>
  <c r="AB36" i="34"/>
  <c r="AC36" i="34"/>
  <c r="AD36" i="34"/>
  <c r="AE36" i="34"/>
  <c r="G40" i="34"/>
  <c r="H40" i="34"/>
  <c r="I40" i="34"/>
  <c r="J40" i="34"/>
  <c r="K40" i="34"/>
  <c r="L40" i="34"/>
  <c r="M40" i="34"/>
  <c r="N40" i="34"/>
  <c r="O40" i="34"/>
  <c r="P40" i="34"/>
  <c r="Q40" i="34"/>
  <c r="R40" i="34"/>
  <c r="S40" i="34"/>
  <c r="T40" i="34"/>
  <c r="U40" i="34"/>
  <c r="V40" i="34"/>
  <c r="W40" i="34"/>
  <c r="X40" i="34"/>
  <c r="Y40" i="34"/>
  <c r="Z40" i="34"/>
  <c r="AA40" i="34"/>
  <c r="AB40" i="34"/>
  <c r="AC40" i="34"/>
  <c r="AD40" i="34"/>
  <c r="AE40" i="34"/>
  <c r="F41" i="34"/>
  <c r="F42" i="34"/>
  <c r="G42" i="34"/>
  <c r="H42" i="34"/>
  <c r="I42" i="34"/>
  <c r="J42" i="34"/>
  <c r="K42" i="34"/>
  <c r="L42" i="34"/>
  <c r="M42" i="34"/>
  <c r="N42" i="34"/>
  <c r="O42" i="34"/>
  <c r="P42" i="34"/>
  <c r="Q42" i="34"/>
  <c r="R42" i="34"/>
  <c r="S42" i="34"/>
  <c r="T42" i="34"/>
  <c r="U42" i="34"/>
  <c r="V42" i="34"/>
  <c r="W42" i="34"/>
  <c r="X42" i="34"/>
  <c r="Y42" i="34"/>
  <c r="Z42" i="34"/>
  <c r="AA42" i="34"/>
  <c r="AB42" i="34"/>
  <c r="AC42" i="34"/>
  <c r="AD42" i="34"/>
  <c r="AE42" i="34"/>
  <c r="F43" i="34"/>
  <c r="G43" i="34"/>
  <c r="H43" i="34"/>
  <c r="I43" i="34"/>
  <c r="J43" i="34"/>
  <c r="K43" i="34"/>
  <c r="L43" i="34"/>
  <c r="M43" i="34"/>
  <c r="N43" i="34"/>
  <c r="O43" i="34"/>
  <c r="P43" i="34"/>
  <c r="Q43" i="34"/>
  <c r="R43" i="34"/>
  <c r="S43" i="34"/>
  <c r="T43" i="34"/>
  <c r="U43" i="34"/>
  <c r="V43" i="34"/>
  <c r="W43" i="34"/>
  <c r="X43" i="34"/>
  <c r="Y43" i="34"/>
  <c r="Z43" i="34"/>
  <c r="AA43" i="34"/>
  <c r="AB43" i="34"/>
  <c r="AC43" i="34"/>
  <c r="AD43" i="34"/>
  <c r="AE43" i="34"/>
  <c r="F44" i="34"/>
  <c r="G44" i="34"/>
  <c r="H44" i="34"/>
  <c r="I44" i="34"/>
  <c r="J44" i="34"/>
  <c r="K44" i="34"/>
  <c r="L44" i="34"/>
  <c r="M44" i="34"/>
  <c r="N44" i="34"/>
  <c r="O44" i="34"/>
  <c r="P44" i="34"/>
  <c r="Q44" i="34"/>
  <c r="R44" i="34"/>
  <c r="S44" i="34"/>
  <c r="T44" i="34"/>
  <c r="U44" i="34"/>
  <c r="V44" i="34"/>
  <c r="W44" i="34"/>
  <c r="X44" i="34"/>
  <c r="Y44" i="34"/>
  <c r="Z44" i="34"/>
  <c r="AA44" i="34"/>
  <c r="AB44" i="34"/>
  <c r="AC44" i="34"/>
  <c r="AD44" i="34"/>
  <c r="AE44" i="34"/>
  <c r="F45" i="34"/>
  <c r="G45" i="34"/>
  <c r="H45" i="34"/>
  <c r="I45" i="34"/>
  <c r="J45" i="34"/>
  <c r="K45" i="34"/>
  <c r="L45" i="34"/>
  <c r="M45" i="34"/>
  <c r="N45" i="34"/>
  <c r="O45" i="34"/>
  <c r="P45" i="34"/>
  <c r="Q45" i="34"/>
  <c r="R45" i="34"/>
  <c r="S45" i="34"/>
  <c r="T45" i="34"/>
  <c r="U45" i="34"/>
  <c r="V45" i="34"/>
  <c r="W45" i="34"/>
  <c r="X45" i="34"/>
  <c r="Y45" i="34"/>
  <c r="Z45" i="34"/>
  <c r="AA45" i="34"/>
  <c r="AB45" i="34"/>
  <c r="AC45" i="34"/>
  <c r="AD45" i="34"/>
  <c r="AE45" i="34"/>
  <c r="G47" i="34"/>
  <c r="H47" i="34"/>
  <c r="I47" i="34"/>
  <c r="J47" i="34"/>
  <c r="K47" i="34"/>
  <c r="L47" i="34"/>
  <c r="M47" i="34"/>
  <c r="N47" i="34"/>
  <c r="O47" i="34"/>
  <c r="P47" i="34"/>
  <c r="Q47" i="34"/>
  <c r="R47" i="34"/>
  <c r="S47" i="34"/>
  <c r="T47" i="34"/>
  <c r="U47" i="34"/>
  <c r="V47" i="34"/>
  <c r="W47" i="34"/>
  <c r="X47" i="34"/>
  <c r="Y47" i="34"/>
  <c r="Z47" i="34"/>
  <c r="AA47" i="34"/>
  <c r="AB47" i="34"/>
  <c r="AC47" i="34"/>
  <c r="AD47" i="34"/>
  <c r="AE47" i="34"/>
  <c r="F48" i="34"/>
  <c r="F49" i="34"/>
  <c r="G49" i="34"/>
  <c r="H49" i="34"/>
  <c r="I49" i="34"/>
  <c r="J49" i="34"/>
  <c r="K49" i="34"/>
  <c r="L49" i="34"/>
  <c r="M49" i="34"/>
  <c r="N49" i="34"/>
  <c r="O49" i="34"/>
  <c r="P49" i="34"/>
  <c r="Q49" i="34"/>
  <c r="R49" i="34"/>
  <c r="S49" i="34"/>
  <c r="T49" i="34"/>
  <c r="U49" i="34"/>
  <c r="V49" i="34"/>
  <c r="W49" i="34"/>
  <c r="X49" i="34"/>
  <c r="Y49" i="34"/>
  <c r="Z49" i="34"/>
  <c r="AA49" i="34"/>
  <c r="AB49" i="34"/>
  <c r="AC49" i="34"/>
  <c r="AD49" i="34"/>
  <c r="AE49" i="34"/>
  <c r="F50" i="34"/>
  <c r="G50" i="34"/>
  <c r="H50" i="34"/>
  <c r="I50" i="34"/>
  <c r="J50" i="34"/>
  <c r="K50" i="34"/>
  <c r="L50" i="34"/>
  <c r="M50" i="34"/>
  <c r="N50" i="34"/>
  <c r="O50" i="34"/>
  <c r="P50" i="34"/>
  <c r="Q50" i="34"/>
  <c r="R50" i="34"/>
  <c r="S50" i="34"/>
  <c r="T50" i="34"/>
  <c r="U50" i="34"/>
  <c r="V50" i="34"/>
  <c r="W50" i="34"/>
  <c r="X50" i="34"/>
  <c r="Y50" i="34"/>
  <c r="Z50" i="34"/>
  <c r="AA50" i="34"/>
  <c r="AB50" i="34"/>
  <c r="AC50" i="34"/>
  <c r="AD50" i="34"/>
  <c r="AE50" i="34"/>
  <c r="G53" i="34"/>
  <c r="H53" i="34"/>
  <c r="I53" i="34"/>
  <c r="J53" i="34"/>
  <c r="K53" i="34"/>
  <c r="L53" i="34"/>
  <c r="M53" i="34"/>
  <c r="N53" i="34"/>
  <c r="O53" i="34"/>
  <c r="P53" i="34"/>
  <c r="Q53" i="34"/>
  <c r="R53" i="34"/>
  <c r="S53" i="34"/>
  <c r="T53" i="34"/>
  <c r="U53" i="34"/>
  <c r="V53" i="34"/>
  <c r="W53" i="34"/>
  <c r="X53" i="34"/>
  <c r="Y53" i="34"/>
  <c r="Z53" i="34"/>
  <c r="AA53" i="34"/>
  <c r="AB53" i="34"/>
  <c r="AC53" i="34"/>
  <c r="AD53" i="34"/>
  <c r="AE53" i="34"/>
  <c r="F54" i="34"/>
  <c r="G54" i="34"/>
  <c r="H54" i="34"/>
  <c r="I54" i="34"/>
  <c r="J54" i="34"/>
  <c r="K54" i="34"/>
  <c r="L54" i="34"/>
  <c r="M54" i="34"/>
  <c r="N54" i="34"/>
  <c r="O54" i="34"/>
  <c r="P54" i="34"/>
  <c r="Q54" i="34"/>
  <c r="R54" i="34"/>
  <c r="S54" i="34"/>
  <c r="T54" i="34"/>
  <c r="U54" i="34"/>
  <c r="V54" i="34"/>
  <c r="W54" i="34"/>
  <c r="X54" i="34"/>
  <c r="Y54" i="34"/>
  <c r="Z54" i="34"/>
  <c r="AA54" i="34"/>
  <c r="AB54" i="34"/>
  <c r="AC54" i="34"/>
  <c r="AD54" i="34"/>
  <c r="AE54" i="34"/>
  <c r="F55" i="34"/>
  <c r="G55" i="34"/>
  <c r="H55" i="34"/>
  <c r="I55" i="34"/>
  <c r="J55" i="34"/>
  <c r="K55" i="34"/>
  <c r="L55" i="34"/>
  <c r="M55" i="34"/>
  <c r="N55" i="34"/>
  <c r="O55" i="34"/>
  <c r="P55" i="34"/>
  <c r="Q55" i="34"/>
  <c r="R55" i="34"/>
  <c r="S55" i="34"/>
  <c r="T55" i="34"/>
  <c r="U55" i="34"/>
  <c r="V55" i="34"/>
  <c r="W55" i="34"/>
  <c r="X55" i="34"/>
  <c r="Y55" i="34"/>
  <c r="Z55" i="34"/>
  <c r="AA55" i="34"/>
  <c r="AB55" i="34"/>
  <c r="AC55" i="34"/>
  <c r="AD55" i="34"/>
  <c r="AE55" i="34"/>
  <c r="G59" i="34"/>
  <c r="H59" i="34"/>
  <c r="I59" i="34"/>
  <c r="J59" i="34"/>
  <c r="K59" i="34"/>
  <c r="L59" i="34"/>
  <c r="M59" i="34"/>
  <c r="N59" i="34"/>
  <c r="O59" i="34"/>
  <c r="P59" i="34"/>
  <c r="Q59" i="34"/>
  <c r="R59" i="34"/>
  <c r="S59" i="34"/>
  <c r="T59" i="34"/>
  <c r="U59" i="34"/>
  <c r="V59" i="34"/>
  <c r="W59" i="34"/>
  <c r="X59" i="34"/>
  <c r="Y59" i="34"/>
  <c r="Z59" i="34"/>
  <c r="AA59" i="34"/>
  <c r="AB59" i="34"/>
  <c r="AC59" i="34"/>
  <c r="AD59" i="34"/>
  <c r="AE59" i="34"/>
  <c r="F60" i="34"/>
  <c r="F61" i="34"/>
  <c r="G61" i="34"/>
  <c r="H61" i="34"/>
  <c r="I61" i="34"/>
  <c r="J61" i="34"/>
  <c r="K61" i="34"/>
  <c r="L61" i="34"/>
  <c r="M61" i="34"/>
  <c r="N61" i="34"/>
  <c r="O61" i="34"/>
  <c r="P61" i="34"/>
  <c r="Q61" i="34"/>
  <c r="R61" i="34"/>
  <c r="S61" i="34"/>
  <c r="T61" i="34"/>
  <c r="U61" i="34"/>
  <c r="V61" i="34"/>
  <c r="W61" i="34"/>
  <c r="X61" i="34"/>
  <c r="Y61" i="34"/>
  <c r="Z61" i="34"/>
  <c r="AA61" i="34"/>
  <c r="AB61" i="34"/>
  <c r="AC61" i="34"/>
  <c r="AD61" i="34"/>
  <c r="AE61" i="34"/>
  <c r="F62" i="34"/>
  <c r="G62" i="34"/>
  <c r="H62" i="34"/>
  <c r="I62" i="34"/>
  <c r="J62" i="34"/>
  <c r="K62" i="34"/>
  <c r="L62" i="34"/>
  <c r="M62" i="34"/>
  <c r="N62" i="34"/>
  <c r="O62" i="34"/>
  <c r="P62" i="34"/>
  <c r="Q62" i="34"/>
  <c r="R62" i="34"/>
  <c r="S62" i="34"/>
  <c r="T62" i="34"/>
  <c r="U62" i="34"/>
  <c r="V62" i="34"/>
  <c r="W62" i="34"/>
  <c r="X62" i="34"/>
  <c r="Y62" i="34"/>
  <c r="Z62" i="34"/>
  <c r="AA62" i="34"/>
  <c r="AB62" i="34"/>
  <c r="AC62" i="34"/>
  <c r="AD62" i="34"/>
  <c r="AE62" i="34"/>
  <c r="F63" i="34"/>
  <c r="G63" i="34"/>
  <c r="H63" i="34"/>
  <c r="I63" i="34"/>
  <c r="J63" i="34"/>
  <c r="K63" i="34"/>
  <c r="L63" i="34"/>
  <c r="M63" i="34"/>
  <c r="N63" i="34"/>
  <c r="O63" i="34"/>
  <c r="P63" i="34"/>
  <c r="Q63" i="34"/>
  <c r="R63" i="34"/>
  <c r="S63" i="34"/>
  <c r="T63" i="34"/>
  <c r="U63" i="34"/>
  <c r="V63" i="34"/>
  <c r="W63" i="34"/>
  <c r="X63" i="34"/>
  <c r="Y63" i="34"/>
  <c r="Z63" i="34"/>
  <c r="AA63" i="34"/>
  <c r="AB63" i="34"/>
  <c r="AC63" i="34"/>
  <c r="AD63" i="34"/>
  <c r="AE63" i="34"/>
  <c r="F64" i="34"/>
  <c r="G64" i="34"/>
  <c r="H64" i="34"/>
  <c r="I64" i="34"/>
  <c r="J64" i="34"/>
  <c r="K64" i="34"/>
  <c r="L64" i="34"/>
  <c r="M64" i="34"/>
  <c r="N64" i="34"/>
  <c r="O64" i="34"/>
  <c r="P64" i="34"/>
  <c r="Q64" i="34"/>
  <c r="R64" i="34"/>
  <c r="S64" i="34"/>
  <c r="T64" i="34"/>
  <c r="U64" i="34"/>
  <c r="V64" i="34"/>
  <c r="W64" i="34"/>
  <c r="X64" i="34"/>
  <c r="Y64" i="34"/>
  <c r="Z64" i="34"/>
  <c r="AA64" i="34"/>
  <c r="AB64" i="34"/>
  <c r="AC64" i="34"/>
  <c r="AD64" i="34"/>
  <c r="AE64" i="34"/>
  <c r="G68" i="34"/>
  <c r="H68" i="34"/>
  <c r="I68" i="34"/>
  <c r="J68" i="34"/>
  <c r="K68" i="34"/>
  <c r="L68" i="34"/>
  <c r="M68" i="34"/>
  <c r="N68" i="34"/>
  <c r="O68" i="34"/>
  <c r="P68" i="34"/>
  <c r="Q68" i="34"/>
  <c r="R68" i="34"/>
  <c r="S68" i="34"/>
  <c r="T68" i="34"/>
  <c r="U68" i="34"/>
  <c r="V68" i="34"/>
  <c r="W68" i="34"/>
  <c r="X68" i="34"/>
  <c r="Y68" i="34"/>
  <c r="Z68" i="34"/>
  <c r="AA68" i="34"/>
  <c r="AB68" i="34"/>
  <c r="AC68" i="34"/>
  <c r="AD68" i="34"/>
  <c r="AE68" i="34"/>
  <c r="F69" i="34"/>
  <c r="F70" i="34"/>
  <c r="G70" i="34"/>
  <c r="H70" i="34"/>
  <c r="I70" i="34"/>
  <c r="J70" i="34"/>
  <c r="K70" i="34"/>
  <c r="L70" i="34"/>
  <c r="M70" i="34"/>
  <c r="N70" i="34"/>
  <c r="O70" i="34"/>
  <c r="P70" i="34"/>
  <c r="Q70" i="34"/>
  <c r="R70" i="34"/>
  <c r="S70" i="34"/>
  <c r="T70" i="34"/>
  <c r="U70" i="34"/>
  <c r="V70" i="34"/>
  <c r="W70" i="34"/>
  <c r="X70" i="34"/>
  <c r="Y70" i="34"/>
  <c r="Z70" i="34"/>
  <c r="AA70" i="34"/>
  <c r="AB70" i="34"/>
  <c r="AC70" i="34"/>
  <c r="AD70" i="34"/>
  <c r="AE70" i="34"/>
  <c r="F71" i="34"/>
  <c r="G71" i="34"/>
  <c r="H71" i="34"/>
  <c r="I71" i="34"/>
  <c r="J71" i="34"/>
  <c r="K71" i="34"/>
  <c r="L71" i="34"/>
  <c r="M71" i="34"/>
  <c r="N71" i="34"/>
  <c r="O71" i="34"/>
  <c r="P71" i="34"/>
  <c r="Q71" i="34"/>
  <c r="R71" i="34"/>
  <c r="S71" i="34"/>
  <c r="T71" i="34"/>
  <c r="U71" i="34"/>
  <c r="V71" i="34"/>
  <c r="W71" i="34"/>
  <c r="X71" i="34"/>
  <c r="Y71" i="34"/>
  <c r="Z71" i="34"/>
  <c r="AA71" i="34"/>
  <c r="AB71" i="34"/>
  <c r="AC71" i="34"/>
  <c r="AD71" i="34"/>
  <c r="AE71" i="34"/>
  <c r="F72" i="34"/>
  <c r="G72" i="34"/>
  <c r="H72" i="34"/>
  <c r="I72" i="34"/>
  <c r="J72" i="34"/>
  <c r="K72" i="34"/>
  <c r="L72" i="34"/>
  <c r="M72" i="34"/>
  <c r="N72" i="34"/>
  <c r="O72" i="34"/>
  <c r="P72" i="34"/>
  <c r="Q72" i="34"/>
  <c r="R72" i="34"/>
  <c r="S72" i="34"/>
  <c r="T72" i="34"/>
  <c r="U72" i="34"/>
  <c r="V72" i="34"/>
  <c r="W72" i="34"/>
  <c r="X72" i="34"/>
  <c r="Y72" i="34"/>
  <c r="Z72" i="34"/>
  <c r="AA72" i="34"/>
  <c r="AB72" i="34"/>
  <c r="AC72" i="34"/>
  <c r="AD72" i="34"/>
  <c r="AE72" i="34"/>
  <c r="E2" i="27"/>
  <c r="D137" i="27"/>
  <c r="E137" i="27"/>
  <c r="D138" i="27"/>
  <c r="E138" i="27"/>
  <c r="D142" i="27" a="1"/>
  <c r="D142" i="27"/>
  <c r="F142" i="27" a="1"/>
  <c r="F142" i="27"/>
  <c r="G142" i="27" a="1"/>
  <c r="G142" i="27"/>
  <c r="I142" i="27"/>
  <c r="K142" i="27" a="1"/>
  <c r="K142" i="27"/>
  <c r="D143" i="27"/>
  <c r="E143" i="27"/>
  <c r="F143" i="27"/>
  <c r="G143" i="27"/>
  <c r="H143" i="27"/>
  <c r="I143" i="27"/>
  <c r="K143" i="27"/>
  <c r="D144" i="27"/>
  <c r="E144" i="27"/>
  <c r="F144" i="27"/>
  <c r="G144" i="27"/>
  <c r="H144" i="27"/>
  <c r="I144" i="27"/>
  <c r="K144" i="27"/>
  <c r="D145" i="27"/>
  <c r="E145" i="27"/>
  <c r="F145" i="27"/>
  <c r="G145" i="27"/>
  <c r="H145" i="27"/>
  <c r="I145" i="27"/>
  <c r="K145" i="27"/>
  <c r="D146" i="27"/>
  <c r="E146" i="27"/>
  <c r="F146" i="27"/>
  <c r="G146" i="27"/>
  <c r="H146" i="27"/>
  <c r="I146" i="27"/>
  <c r="K146" i="27"/>
  <c r="D147" i="27"/>
  <c r="E147" i="27"/>
  <c r="F147" i="27"/>
  <c r="G147" i="27"/>
  <c r="H147" i="27"/>
  <c r="I147" i="27"/>
  <c r="K147" i="27"/>
  <c r="D148" i="27"/>
  <c r="E148" i="27"/>
  <c r="F148" i="27"/>
  <c r="G148" i="27"/>
  <c r="H148" i="27"/>
  <c r="I148" i="27"/>
  <c r="K148" i="27"/>
  <c r="D149" i="27"/>
  <c r="E149" i="27"/>
  <c r="F149" i="27"/>
  <c r="G149" i="27"/>
  <c r="H149" i="27"/>
  <c r="I149" i="27"/>
  <c r="K149" i="27"/>
  <c r="D150" i="27"/>
  <c r="E150" i="27"/>
  <c r="F150" i="27"/>
  <c r="G150" i="27"/>
  <c r="H150" i="27"/>
  <c r="K150" i="27"/>
  <c r="D151" i="27"/>
  <c r="E151" i="27"/>
  <c r="F151" i="27"/>
  <c r="G151" i="27"/>
  <c r="H151" i="27"/>
  <c r="K151" i="27"/>
  <c r="D152" i="27"/>
  <c r="E152" i="27"/>
  <c r="F152" i="27"/>
  <c r="G152" i="27"/>
  <c r="H152" i="27"/>
  <c r="K152" i="27"/>
  <c r="D153" i="27"/>
  <c r="E153" i="27"/>
  <c r="F153" i="27"/>
  <c r="G153" i="27"/>
  <c r="H153" i="27"/>
  <c r="K153" i="27"/>
  <c r="D154" i="27"/>
  <c r="E154" i="27"/>
  <c r="F154" i="27"/>
  <c r="G154" i="27"/>
  <c r="H154" i="27"/>
  <c r="K154" i="27"/>
  <c r="D155" i="27"/>
  <c r="E155" i="27"/>
  <c r="F155" i="27"/>
  <c r="G155" i="27"/>
  <c r="H155" i="27"/>
  <c r="K155" i="27"/>
  <c r="D156" i="27"/>
  <c r="E156" i="27"/>
  <c r="F156" i="27"/>
  <c r="G156" i="27"/>
  <c r="H156" i="27"/>
  <c r="K156" i="27"/>
  <c r="D157" i="27"/>
  <c r="E157" i="27"/>
  <c r="F157" i="27"/>
  <c r="G157" i="27"/>
  <c r="H157" i="27"/>
  <c r="K157" i="27"/>
  <c r="D158" i="27"/>
  <c r="E158" i="27"/>
  <c r="F158" i="27"/>
  <c r="G158" i="27"/>
  <c r="H158" i="27"/>
  <c r="K158" i="27"/>
  <c r="D159" i="27"/>
  <c r="E159" i="27"/>
  <c r="F159" i="27"/>
  <c r="G159" i="27"/>
  <c r="H159" i="27"/>
  <c r="K159" i="27"/>
  <c r="D160" i="27"/>
  <c r="E160" i="27"/>
  <c r="F160" i="27"/>
  <c r="G160" i="27"/>
  <c r="H160" i="27"/>
  <c r="K160" i="27"/>
  <c r="D161" i="27"/>
  <c r="E161" i="27"/>
  <c r="F161" i="27"/>
  <c r="G161" i="27"/>
  <c r="H161" i="27"/>
  <c r="K161" i="27"/>
  <c r="D162" i="27"/>
  <c r="E162" i="27"/>
  <c r="F162" i="27"/>
  <c r="G162" i="27"/>
  <c r="H162" i="27"/>
  <c r="K162" i="27"/>
  <c r="D163" i="27"/>
  <c r="E163" i="27"/>
  <c r="F163" i="27"/>
  <c r="G163" i="27"/>
  <c r="H163" i="27"/>
  <c r="K163" i="27"/>
  <c r="D164" i="27"/>
  <c r="E164" i="27"/>
  <c r="F164" i="27"/>
  <c r="G164" i="27"/>
  <c r="H164" i="27"/>
  <c r="K164" i="27"/>
  <c r="D165" i="27"/>
  <c r="E165" i="27"/>
  <c r="F165" i="27"/>
  <c r="G165" i="27"/>
  <c r="H165" i="27"/>
  <c r="K165" i="27"/>
  <c r="D166" i="27"/>
  <c r="E166" i="27"/>
  <c r="F166" i="27"/>
  <c r="G166" i="27"/>
  <c r="H166" i="27"/>
  <c r="K166" i="27"/>
  <c r="D167" i="27"/>
  <c r="E167" i="27"/>
  <c r="F167" i="27"/>
  <c r="G167" i="27"/>
  <c r="H167" i="27"/>
  <c r="K167" i="27"/>
  <c r="D168" i="27"/>
  <c r="E168" i="27"/>
  <c r="F168" i="27"/>
  <c r="G168" i="27"/>
  <c r="H168" i="27"/>
  <c r="J168" i="27"/>
  <c r="K168" i="27"/>
  <c r="D170" i="27"/>
  <c r="F174" i="27" a="1"/>
  <c r="F174" i="27"/>
  <c r="G174" i="27"/>
  <c r="G175" i="27"/>
  <c r="G176" i="27"/>
  <c r="G177" i="27"/>
  <c r="G178" i="27"/>
  <c r="G179" i="27"/>
  <c r="G180" i="27"/>
  <c r="G181" i="27"/>
  <c r="G182" i="27"/>
  <c r="G183" i="27"/>
  <c r="G184" i="27"/>
  <c r="G185" i="27"/>
  <c r="G186" i="27"/>
  <c r="G187" i="27"/>
  <c r="G188" i="27"/>
  <c r="G189" i="27"/>
  <c r="G190" i="27"/>
  <c r="G191" i="27"/>
  <c r="G192" i="27"/>
  <c r="G193" i="27"/>
  <c r="G194" i="27"/>
  <c r="G195" i="27"/>
  <c r="G196" i="27"/>
  <c r="G197" i="27"/>
  <c r="G198" i="27"/>
  <c r="G199" i="27"/>
  <c r="G202" i="27"/>
  <c r="F258" i="27"/>
  <c r="F259" i="27"/>
  <c r="F22" i="32"/>
  <c r="G22" i="32"/>
  <c r="H22" i="32"/>
  <c r="I22" i="32"/>
  <c r="J22" i="32"/>
  <c r="K22" i="32"/>
  <c r="L22" i="32"/>
  <c r="M22" i="32"/>
  <c r="N22" i="32"/>
  <c r="O22" i="32"/>
  <c r="P22" i="32"/>
  <c r="Q22" i="32"/>
  <c r="R22" i="32"/>
  <c r="S22" i="32"/>
  <c r="T22" i="32"/>
  <c r="U22" i="32"/>
  <c r="V22" i="32"/>
  <c r="W22" i="32"/>
  <c r="X22" i="32"/>
  <c r="Y22" i="32"/>
  <c r="Z22" i="32"/>
  <c r="AA22" i="32"/>
  <c r="AB22" i="32"/>
  <c r="AC22" i="32"/>
  <c r="AD22" i="32"/>
  <c r="AE22" i="32"/>
  <c r="E23" i="32"/>
  <c r="F23" i="32"/>
  <c r="G23" i="32"/>
  <c r="H23" i="32"/>
  <c r="I23" i="32"/>
  <c r="J23" i="32"/>
  <c r="K23" i="32"/>
  <c r="L23" i="32"/>
  <c r="M23" i="32"/>
  <c r="N23" i="32"/>
  <c r="O23" i="32"/>
  <c r="P23" i="32"/>
  <c r="Q23" i="32"/>
  <c r="R23" i="32"/>
  <c r="S23" i="32"/>
  <c r="T23" i="32"/>
  <c r="U23" i="32"/>
  <c r="V23" i="32"/>
  <c r="W23" i="32"/>
  <c r="X23" i="32"/>
  <c r="Y23" i="32"/>
  <c r="Z23" i="32"/>
  <c r="AA23" i="32"/>
  <c r="AB23" i="32"/>
  <c r="AC23" i="32"/>
  <c r="AD23" i="32"/>
  <c r="AE23" i="32"/>
  <c r="F24" i="32"/>
  <c r="G24" i="32"/>
  <c r="H24" i="32"/>
  <c r="I24" i="32"/>
  <c r="J24" i="32"/>
  <c r="K24" i="32"/>
  <c r="L24" i="32"/>
  <c r="M24" i="32"/>
  <c r="N24" i="32"/>
  <c r="O24" i="32"/>
  <c r="P24" i="32"/>
  <c r="Q24" i="32"/>
  <c r="R24" i="32"/>
  <c r="S24" i="32"/>
  <c r="T24" i="32"/>
  <c r="U24" i="32"/>
  <c r="V24" i="32"/>
  <c r="W24" i="32"/>
  <c r="X24" i="32"/>
  <c r="Y24" i="32"/>
  <c r="Z24" i="32"/>
  <c r="AA24" i="32"/>
  <c r="AB24" i="32"/>
  <c r="AC24" i="32"/>
  <c r="AD24" i="32"/>
  <c r="AE24" i="32"/>
  <c r="F25" i="32"/>
  <c r="G25" i="32"/>
  <c r="H25" i="32"/>
  <c r="I25" i="32"/>
  <c r="J25" i="32"/>
  <c r="K25" i="32"/>
  <c r="L25" i="32"/>
  <c r="M25" i="32"/>
  <c r="N25" i="32"/>
  <c r="O25" i="32"/>
  <c r="P25" i="32"/>
  <c r="Q25" i="32"/>
  <c r="R25" i="32"/>
  <c r="S25" i="32"/>
  <c r="T25" i="32"/>
  <c r="U25" i="32"/>
  <c r="V25" i="32"/>
  <c r="W25" i="32"/>
  <c r="X25" i="32"/>
  <c r="Y25" i="32"/>
  <c r="Z25" i="32"/>
  <c r="AA25" i="32"/>
  <c r="AB25" i="32"/>
  <c r="AC25" i="32"/>
  <c r="AD25" i="32"/>
  <c r="AE25" i="32"/>
  <c r="E26" i="32"/>
  <c r="F26" i="32"/>
  <c r="G26" i="32"/>
  <c r="H26" i="32"/>
  <c r="I26" i="32"/>
  <c r="J26" i="32"/>
  <c r="K26" i="32"/>
  <c r="L26" i="32"/>
  <c r="M26" i="32"/>
  <c r="N26" i="32"/>
  <c r="O26" i="32"/>
  <c r="P26" i="32"/>
  <c r="Q26" i="32"/>
  <c r="R26" i="32"/>
  <c r="S26" i="32"/>
  <c r="T26" i="32"/>
  <c r="U26" i="32"/>
  <c r="V26" i="32"/>
  <c r="W26" i="32"/>
  <c r="X26" i="32"/>
  <c r="Y26" i="32"/>
  <c r="Z26" i="32"/>
  <c r="AA26" i="32"/>
  <c r="AB26" i="32"/>
  <c r="AC26" i="32"/>
  <c r="AD26" i="32"/>
  <c r="AE26" i="32"/>
  <c r="E27" i="32"/>
  <c r="F27" i="32"/>
  <c r="G27" i="32"/>
  <c r="H27" i="32"/>
  <c r="I27" i="32"/>
  <c r="J27" i="32"/>
  <c r="K27" i="32"/>
  <c r="L27" i="32"/>
  <c r="M27" i="32"/>
  <c r="N27" i="32"/>
  <c r="O27" i="32"/>
  <c r="P27" i="32"/>
  <c r="Q27" i="32"/>
  <c r="R27" i="32"/>
  <c r="S27" i="32"/>
  <c r="T27" i="32"/>
  <c r="U27" i="32"/>
  <c r="V27" i="32"/>
  <c r="W27" i="32"/>
  <c r="X27" i="32"/>
  <c r="Y27" i="32"/>
  <c r="Z27" i="32"/>
  <c r="AA27" i="32"/>
  <c r="AB27" i="32"/>
  <c r="AC27" i="32"/>
  <c r="AD27" i="32"/>
  <c r="AE27" i="32"/>
  <c r="F32" i="32"/>
  <c r="G32" i="32"/>
  <c r="H32" i="32"/>
  <c r="I32" i="32"/>
  <c r="J32" i="32"/>
  <c r="K32" i="32"/>
  <c r="L32" i="32"/>
  <c r="M32" i="32"/>
  <c r="N32" i="32"/>
  <c r="O32" i="32"/>
  <c r="P32" i="32"/>
  <c r="Q32" i="32"/>
  <c r="R32" i="32"/>
  <c r="S32" i="32"/>
  <c r="T32" i="32"/>
  <c r="U32" i="32"/>
  <c r="V32" i="32"/>
  <c r="W32" i="32"/>
  <c r="X32" i="32"/>
  <c r="Y32" i="32"/>
  <c r="Z32" i="32"/>
  <c r="AA32" i="32"/>
  <c r="AB32" i="32"/>
  <c r="AC32" i="32"/>
  <c r="AD32" i="32"/>
  <c r="AE32" i="32"/>
  <c r="F33" i="32"/>
  <c r="G33" i="32"/>
  <c r="H33" i="32"/>
  <c r="I33" i="32"/>
  <c r="J33" i="32"/>
  <c r="K33" i="32"/>
  <c r="L33" i="32"/>
  <c r="M33" i="32"/>
  <c r="N33" i="32"/>
  <c r="O33" i="32"/>
  <c r="P33" i="32"/>
  <c r="Q33" i="32"/>
  <c r="R33" i="32"/>
  <c r="S33" i="32"/>
  <c r="T33" i="32"/>
  <c r="U33" i="32"/>
  <c r="V33" i="32"/>
  <c r="W33" i="32"/>
  <c r="X33" i="32"/>
  <c r="Y33" i="32"/>
  <c r="Z33" i="32"/>
  <c r="AA33" i="32"/>
  <c r="AB33" i="32"/>
  <c r="AC33" i="32"/>
  <c r="AD33" i="32"/>
  <c r="AE33" i="32"/>
  <c r="F34" i="32"/>
  <c r="G34" i="32"/>
  <c r="H34" i="32"/>
  <c r="I34" i="32"/>
  <c r="J34" i="32"/>
  <c r="K34" i="32"/>
  <c r="L34" i="32"/>
  <c r="M34" i="32"/>
  <c r="N34" i="32"/>
  <c r="O34" i="32"/>
  <c r="P34" i="32"/>
  <c r="Q34" i="32"/>
  <c r="R34" i="32"/>
  <c r="S34" i="32"/>
  <c r="T34" i="32"/>
  <c r="U34" i="32"/>
  <c r="V34" i="32"/>
  <c r="W34" i="32"/>
  <c r="X34" i="32"/>
  <c r="Y34" i="32"/>
  <c r="Z34" i="32"/>
  <c r="AA34" i="32"/>
  <c r="AB34" i="32"/>
  <c r="AC34" i="32"/>
  <c r="AD34" i="32"/>
  <c r="AE34" i="32"/>
  <c r="F35" i="32"/>
  <c r="G35" i="32"/>
  <c r="H35" i="32"/>
  <c r="I35" i="32"/>
  <c r="J35" i="32"/>
  <c r="K35" i="32"/>
  <c r="L35" i="32"/>
  <c r="M35" i="32"/>
  <c r="N35" i="32"/>
  <c r="O35" i="32"/>
  <c r="P35" i="32"/>
  <c r="Q35" i="32"/>
  <c r="R35" i="32"/>
  <c r="S35" i="32"/>
  <c r="T35" i="32"/>
  <c r="U35" i="32"/>
  <c r="V35" i="32"/>
  <c r="W35" i="32"/>
  <c r="X35" i="32"/>
  <c r="Y35" i="32"/>
  <c r="Z35" i="32"/>
  <c r="AA35" i="32"/>
  <c r="AB35" i="32"/>
  <c r="AC35" i="32"/>
  <c r="AD35" i="32"/>
  <c r="AE35" i="32"/>
  <c r="F36" i="32"/>
  <c r="G36" i="32"/>
  <c r="H36" i="32"/>
  <c r="I36" i="32"/>
  <c r="J36" i="32"/>
  <c r="K36" i="32"/>
  <c r="L36" i="32"/>
  <c r="M36" i="32"/>
  <c r="N36" i="32"/>
  <c r="O36" i="32"/>
  <c r="P36" i="32"/>
  <c r="Q36" i="32"/>
  <c r="R36" i="32"/>
  <c r="S36" i="32"/>
  <c r="T36" i="32"/>
  <c r="U36" i="32"/>
  <c r="V36" i="32"/>
  <c r="W36" i="32"/>
  <c r="X36" i="32"/>
  <c r="Y36" i="32"/>
  <c r="Z36" i="32"/>
  <c r="AA36" i="32"/>
  <c r="AB36" i="32"/>
  <c r="AC36" i="32"/>
  <c r="AD36" i="32"/>
  <c r="AE36" i="32"/>
  <c r="D39" i="32"/>
  <c r="H37" i="5"/>
  <c r="H38" i="5"/>
  <c r="H44" i="5"/>
  <c r="H45" i="5"/>
  <c r="D52" i="5"/>
  <c r="E52" i="5"/>
  <c r="F52" i="5"/>
  <c r="G52" i="5"/>
  <c r="H52" i="5"/>
  <c r="I52" i="5"/>
  <c r="J52" i="5"/>
  <c r="K52" i="5"/>
  <c r="L52" i="5"/>
  <c r="D53" i="5"/>
  <c r="E53" i="5"/>
  <c r="F53" i="5"/>
  <c r="G53" i="5"/>
  <c r="H53" i="5"/>
  <c r="I53" i="5"/>
  <c r="J53" i="5"/>
  <c r="K53" i="5"/>
  <c r="L53" i="5"/>
  <c r="D60" i="5"/>
  <c r="E60" i="5"/>
  <c r="F60" i="5"/>
  <c r="G60" i="5"/>
  <c r="H60" i="5"/>
  <c r="I60" i="5"/>
  <c r="J60" i="5"/>
  <c r="K60" i="5"/>
  <c r="L60" i="5"/>
  <c r="D61" i="5"/>
  <c r="E61" i="5"/>
  <c r="F61" i="5"/>
  <c r="G61" i="5"/>
  <c r="H61" i="5"/>
  <c r="I61" i="5"/>
  <c r="J61" i="5"/>
  <c r="K61" i="5"/>
  <c r="L61" i="5"/>
  <c r="D62" i="5"/>
  <c r="E62" i="5"/>
  <c r="F62" i="5"/>
  <c r="G62" i="5"/>
  <c r="H62" i="5"/>
  <c r="I62" i="5"/>
  <c r="J62" i="5"/>
  <c r="K62" i="5"/>
  <c r="L62" i="5"/>
  <c r="D63" i="5"/>
  <c r="E63" i="5"/>
  <c r="F63" i="5"/>
  <c r="G63" i="5"/>
  <c r="H63" i="5"/>
  <c r="I63" i="5"/>
  <c r="J63" i="5"/>
  <c r="K63" i="5"/>
  <c r="L63" i="5"/>
  <c r="D64" i="5"/>
  <c r="E66" i="5"/>
  <c r="F66" i="5"/>
  <c r="G66" i="5"/>
  <c r="H66" i="5"/>
  <c r="I66" i="5"/>
  <c r="J66" i="5"/>
  <c r="K66" i="5"/>
  <c r="L66" i="5"/>
  <c r="E67" i="5"/>
  <c r="F67" i="5"/>
  <c r="G67" i="5"/>
  <c r="H67" i="5"/>
  <c r="I67" i="5"/>
  <c r="J67" i="5"/>
  <c r="K67" i="5"/>
  <c r="L67" i="5"/>
  <c r="M67" i="5"/>
  <c r="N67" i="5"/>
  <c r="O67" i="5"/>
  <c r="P67" i="5"/>
  <c r="Q67" i="5"/>
  <c r="R67" i="5"/>
  <c r="S67" i="5"/>
  <c r="T67" i="5"/>
  <c r="U67" i="5"/>
  <c r="V67" i="5"/>
  <c r="W67" i="5"/>
  <c r="X67" i="5"/>
  <c r="Y67" i="5"/>
  <c r="Z67" i="5"/>
  <c r="AA67" i="5"/>
  <c r="AB67" i="5"/>
  <c r="AC67" i="5"/>
  <c r="AD67" i="5"/>
  <c r="AE67" i="5"/>
  <c r="AF67" i="5"/>
  <c r="AG67" i="5"/>
  <c r="AH67" i="5"/>
  <c r="AI67" i="5"/>
  <c r="E70" i="5"/>
  <c r="F70" i="5"/>
  <c r="G70" i="5"/>
  <c r="H70" i="5"/>
  <c r="I70" i="5"/>
  <c r="J70" i="5"/>
  <c r="K70" i="5"/>
  <c r="L70" i="5"/>
  <c r="E71" i="5"/>
  <c r="F71" i="5"/>
  <c r="G71" i="5"/>
  <c r="H71" i="5"/>
  <c r="I71" i="5"/>
  <c r="J71" i="5"/>
  <c r="K71" i="5"/>
  <c r="L71" i="5"/>
  <c r="M71" i="5"/>
  <c r="N71" i="5"/>
  <c r="O71" i="5"/>
  <c r="P71" i="5"/>
  <c r="Q71" i="5"/>
  <c r="R71" i="5"/>
  <c r="S71" i="5"/>
  <c r="T71" i="5"/>
  <c r="U71" i="5"/>
  <c r="V71" i="5"/>
  <c r="W71" i="5"/>
  <c r="X71" i="5"/>
  <c r="Y71" i="5"/>
  <c r="Z71" i="5"/>
  <c r="AA71" i="5"/>
  <c r="AB71" i="5"/>
  <c r="AC71" i="5"/>
  <c r="AD71" i="5"/>
  <c r="AE71" i="5"/>
  <c r="AF71" i="5"/>
  <c r="AG71" i="5"/>
  <c r="AH71" i="5"/>
  <c r="AI71" i="5"/>
  <c r="F74" i="5"/>
  <c r="G74" i="5"/>
  <c r="H74" i="5"/>
  <c r="I74" i="5"/>
  <c r="J74" i="5"/>
  <c r="K74" i="5"/>
  <c r="L74" i="5"/>
  <c r="M74" i="5"/>
  <c r="N74" i="5"/>
  <c r="O74" i="5"/>
  <c r="P74" i="5"/>
  <c r="Q74" i="5"/>
  <c r="R74" i="5"/>
  <c r="S74" i="5"/>
  <c r="T74" i="5"/>
  <c r="U74" i="5"/>
  <c r="V74" i="5"/>
  <c r="W74" i="5"/>
  <c r="X74" i="5"/>
  <c r="Y74" i="5"/>
  <c r="Z74" i="5"/>
  <c r="AA74" i="5"/>
  <c r="AB74" i="5"/>
  <c r="AC74" i="5"/>
  <c r="AD74" i="5"/>
  <c r="AE74" i="5"/>
  <c r="AF74" i="5"/>
  <c r="AG74" i="5"/>
  <c r="AH74" i="5"/>
  <c r="AI74" i="5"/>
  <c r="D75" i="5"/>
  <c r="E75" i="5"/>
  <c r="F75" i="5"/>
  <c r="G75" i="5"/>
  <c r="H75" i="5"/>
  <c r="I75" i="5"/>
  <c r="J75" i="5"/>
  <c r="K75" i="5"/>
  <c r="L75" i="5"/>
  <c r="F76" i="5"/>
  <c r="G76" i="5"/>
  <c r="H76" i="5"/>
  <c r="I76" i="5"/>
  <c r="J76" i="5"/>
  <c r="K76" i="5"/>
  <c r="L76" i="5"/>
  <c r="M76" i="5"/>
  <c r="N76" i="5"/>
  <c r="O76" i="5"/>
  <c r="P76" i="5"/>
  <c r="Q76" i="5"/>
  <c r="R76" i="5"/>
  <c r="S76" i="5"/>
  <c r="T76" i="5"/>
  <c r="U76" i="5"/>
  <c r="V76" i="5"/>
  <c r="W76" i="5"/>
  <c r="X76" i="5"/>
  <c r="Y76" i="5"/>
  <c r="Z76" i="5"/>
  <c r="AA76" i="5"/>
  <c r="AB76" i="5"/>
  <c r="AC76" i="5"/>
  <c r="AD76" i="5"/>
  <c r="AE76" i="5"/>
  <c r="AF76" i="5"/>
  <c r="AG76" i="5"/>
  <c r="AH76" i="5"/>
  <c r="AI76" i="5"/>
  <c r="E77" i="5"/>
  <c r="F77" i="5"/>
  <c r="G77" i="5"/>
  <c r="H77" i="5"/>
  <c r="I77" i="5"/>
  <c r="J77" i="5"/>
  <c r="K77" i="5"/>
  <c r="L77" i="5"/>
  <c r="M77" i="5"/>
  <c r="N77" i="5"/>
  <c r="O77" i="5"/>
  <c r="P77" i="5"/>
  <c r="Q77" i="5"/>
  <c r="R77" i="5"/>
  <c r="S77" i="5"/>
  <c r="T77" i="5"/>
  <c r="U77" i="5"/>
  <c r="V77" i="5"/>
  <c r="W77" i="5"/>
  <c r="X77" i="5"/>
  <c r="Y77" i="5"/>
  <c r="Z77" i="5"/>
  <c r="AA77" i="5"/>
  <c r="AB77" i="5"/>
  <c r="AC77" i="5"/>
  <c r="AD77" i="5"/>
  <c r="AE77" i="5"/>
  <c r="AF77" i="5"/>
  <c r="AG77" i="5"/>
  <c r="AH77" i="5"/>
  <c r="AI77" i="5"/>
  <c r="E80" i="5"/>
  <c r="F80" i="5"/>
  <c r="G80" i="5"/>
  <c r="H80" i="5"/>
  <c r="I80" i="5"/>
  <c r="J80" i="5"/>
  <c r="K80" i="5"/>
  <c r="L80" i="5"/>
  <c r="D81" i="5"/>
  <c r="E81" i="5"/>
  <c r="F81" i="5"/>
  <c r="G81" i="5"/>
  <c r="H81" i="5"/>
  <c r="I81" i="5"/>
  <c r="J81" i="5"/>
  <c r="K81" i="5"/>
  <c r="L81" i="5"/>
  <c r="M81" i="5"/>
  <c r="N81" i="5"/>
  <c r="O81" i="5"/>
  <c r="P81" i="5"/>
  <c r="Q81" i="5"/>
  <c r="R81" i="5"/>
  <c r="S81" i="5"/>
  <c r="T81" i="5"/>
  <c r="U81" i="5"/>
  <c r="V81" i="5"/>
  <c r="W81" i="5"/>
  <c r="X81" i="5"/>
  <c r="Y81" i="5"/>
  <c r="Z81" i="5"/>
  <c r="AA81" i="5"/>
  <c r="AB81" i="5"/>
  <c r="AC81" i="5"/>
  <c r="AD81" i="5"/>
  <c r="AE81" i="5"/>
  <c r="AF81" i="5"/>
  <c r="AG81" i="5"/>
  <c r="AH81" i="5"/>
  <c r="AI81" i="5"/>
  <c r="F84" i="5"/>
  <c r="G84" i="5"/>
  <c r="H84" i="5"/>
  <c r="I84" i="5"/>
  <c r="J84" i="5"/>
  <c r="K84" i="5"/>
  <c r="L84" i="5"/>
  <c r="M84" i="5"/>
  <c r="N84" i="5"/>
  <c r="O84" i="5"/>
  <c r="P84" i="5"/>
  <c r="Q84" i="5"/>
  <c r="R84" i="5"/>
  <c r="S84" i="5"/>
  <c r="T84" i="5"/>
  <c r="U84" i="5"/>
  <c r="V84" i="5"/>
  <c r="W84" i="5"/>
  <c r="X84" i="5"/>
  <c r="Y84" i="5"/>
  <c r="Z84" i="5"/>
  <c r="AA84" i="5"/>
  <c r="AB84" i="5"/>
  <c r="AC84" i="5"/>
  <c r="AD84" i="5"/>
  <c r="AE84" i="5"/>
  <c r="AF84" i="5"/>
  <c r="AG84" i="5"/>
  <c r="AH84" i="5"/>
  <c r="AI84" i="5"/>
  <c r="D85" i="5"/>
  <c r="E85" i="5"/>
  <c r="F85" i="5"/>
  <c r="G85" i="5"/>
  <c r="H85" i="5"/>
  <c r="I85" i="5"/>
  <c r="J85" i="5"/>
  <c r="K85" i="5"/>
  <c r="L85" i="5"/>
  <c r="F86" i="5"/>
  <c r="G86" i="5"/>
  <c r="H86" i="5"/>
  <c r="I86" i="5"/>
  <c r="J86" i="5"/>
  <c r="K86" i="5"/>
  <c r="L86" i="5"/>
  <c r="M86" i="5"/>
  <c r="N86" i="5"/>
  <c r="O86" i="5"/>
  <c r="P86" i="5"/>
  <c r="Q86" i="5"/>
  <c r="R86" i="5"/>
  <c r="S86" i="5"/>
  <c r="T86" i="5"/>
  <c r="U86" i="5"/>
  <c r="V86" i="5"/>
  <c r="W86" i="5"/>
  <c r="X86" i="5"/>
  <c r="Y86" i="5"/>
  <c r="Z86" i="5"/>
  <c r="AA86" i="5"/>
  <c r="AB86" i="5"/>
  <c r="AC86" i="5"/>
  <c r="AD86" i="5"/>
  <c r="AE86" i="5"/>
  <c r="AF86" i="5"/>
  <c r="AG86" i="5"/>
  <c r="AH86" i="5"/>
  <c r="AI86" i="5"/>
  <c r="E87" i="5"/>
  <c r="F87" i="5"/>
  <c r="G87" i="5"/>
  <c r="H87" i="5"/>
  <c r="I87" i="5"/>
  <c r="J87" i="5"/>
  <c r="K87" i="5"/>
  <c r="L87" i="5"/>
  <c r="M87" i="5"/>
  <c r="N87" i="5"/>
  <c r="O87" i="5"/>
  <c r="P87" i="5"/>
  <c r="Q87" i="5"/>
  <c r="R87" i="5"/>
  <c r="S87" i="5"/>
  <c r="T87" i="5"/>
  <c r="U87" i="5"/>
  <c r="V87" i="5"/>
  <c r="W87" i="5"/>
  <c r="X87" i="5"/>
  <c r="Y87" i="5"/>
  <c r="Z87" i="5"/>
  <c r="AA87" i="5"/>
  <c r="AB87" i="5"/>
  <c r="AC87" i="5"/>
  <c r="AD87" i="5"/>
  <c r="AE87" i="5"/>
  <c r="AF87" i="5"/>
  <c r="AG87" i="5"/>
  <c r="AH87" i="5"/>
  <c r="AI87" i="5"/>
  <c r="E90" i="5"/>
  <c r="F90" i="5"/>
  <c r="G90" i="5"/>
  <c r="H90" i="5"/>
  <c r="I90" i="5"/>
  <c r="J90" i="5"/>
  <c r="K90" i="5"/>
  <c r="L90" i="5"/>
  <c r="E91" i="5"/>
  <c r="F91" i="5"/>
  <c r="G91" i="5"/>
  <c r="H91" i="5"/>
  <c r="I91" i="5"/>
  <c r="J91" i="5"/>
  <c r="K91" i="5"/>
  <c r="L91" i="5"/>
  <c r="M91" i="5"/>
  <c r="N91" i="5"/>
  <c r="O91" i="5"/>
  <c r="P91" i="5"/>
  <c r="Q91" i="5"/>
  <c r="R91" i="5"/>
  <c r="S91" i="5"/>
  <c r="T91" i="5"/>
  <c r="U91" i="5"/>
  <c r="V91" i="5"/>
  <c r="W91" i="5"/>
  <c r="X91" i="5"/>
  <c r="Y91" i="5"/>
  <c r="Z91" i="5"/>
  <c r="AA91" i="5"/>
  <c r="AB91" i="5"/>
  <c r="AC91" i="5"/>
  <c r="AD91" i="5"/>
  <c r="AE91" i="5"/>
  <c r="AF91" i="5"/>
  <c r="AG91" i="5"/>
  <c r="AH91" i="5"/>
  <c r="AI91" i="5"/>
  <c r="F95" i="5"/>
  <c r="G95" i="5"/>
  <c r="H95" i="5"/>
  <c r="I95" i="5"/>
  <c r="J95" i="5"/>
  <c r="K95" i="5"/>
  <c r="L95" i="5"/>
  <c r="M95" i="5"/>
  <c r="N95" i="5"/>
  <c r="O95" i="5"/>
  <c r="P95" i="5"/>
  <c r="Q95" i="5"/>
  <c r="R95" i="5"/>
  <c r="S95" i="5"/>
  <c r="T95" i="5"/>
  <c r="U95" i="5"/>
  <c r="V95" i="5"/>
  <c r="W95" i="5"/>
  <c r="X95" i="5"/>
  <c r="Y95" i="5"/>
  <c r="Z95" i="5"/>
  <c r="AA95" i="5"/>
  <c r="AB95" i="5"/>
  <c r="AC95" i="5"/>
  <c r="AD95" i="5"/>
  <c r="AE95" i="5"/>
  <c r="AF95" i="5"/>
  <c r="AG95" i="5"/>
  <c r="AH95" i="5"/>
  <c r="AI95" i="5"/>
  <c r="E96" i="5"/>
  <c r="F96" i="5"/>
  <c r="G96" i="5"/>
  <c r="H96" i="5"/>
  <c r="I96" i="5"/>
  <c r="J96" i="5"/>
  <c r="K96" i="5"/>
  <c r="L96" i="5"/>
  <c r="F97" i="5"/>
  <c r="E98" i="5"/>
  <c r="F98" i="5"/>
  <c r="G98" i="5"/>
  <c r="H98" i="5"/>
  <c r="I98" i="5"/>
  <c r="J98" i="5"/>
  <c r="K98" i="5"/>
  <c r="L98" i="5"/>
  <c r="M98" i="5"/>
  <c r="N98" i="5"/>
  <c r="O98" i="5"/>
  <c r="P98" i="5"/>
  <c r="Q98" i="5"/>
  <c r="R98" i="5"/>
  <c r="S98" i="5"/>
  <c r="T98" i="5"/>
  <c r="U98" i="5"/>
  <c r="V98" i="5"/>
  <c r="W98" i="5"/>
  <c r="X98" i="5"/>
  <c r="Y98" i="5"/>
  <c r="Z98" i="5"/>
  <c r="AA98" i="5"/>
  <c r="AB98" i="5"/>
  <c r="AC98" i="5"/>
  <c r="AD98" i="5"/>
  <c r="AE98" i="5"/>
  <c r="AF98" i="5"/>
  <c r="AG98" i="5"/>
  <c r="AH98" i="5"/>
  <c r="AI98" i="5"/>
  <c r="S100" i="5"/>
  <c r="S101" i="5"/>
  <c r="T101" i="5"/>
  <c r="U101" i="5"/>
  <c r="V101" i="5"/>
  <c r="W101" i="5"/>
  <c r="X101" i="5"/>
  <c r="Y101" i="5"/>
  <c r="Z101" i="5"/>
  <c r="G102" i="5"/>
  <c r="H102" i="5"/>
  <c r="I102" i="5"/>
  <c r="J102" i="5"/>
  <c r="K102" i="5"/>
  <c r="L102" i="5"/>
  <c r="M102" i="5"/>
  <c r="N102" i="5"/>
  <c r="O102" i="5"/>
  <c r="P102" i="5"/>
  <c r="Q102" i="5"/>
  <c r="R102" i="5"/>
  <c r="S102" i="5"/>
  <c r="T102" i="5"/>
  <c r="U102" i="5"/>
  <c r="V102" i="5"/>
  <c r="W102" i="5"/>
  <c r="X102" i="5"/>
  <c r="Y102" i="5"/>
  <c r="Z102" i="5"/>
  <c r="AA102" i="5"/>
  <c r="AB102" i="5"/>
  <c r="AC102" i="5"/>
  <c r="AD102" i="5"/>
  <c r="AE102" i="5"/>
  <c r="AF102" i="5"/>
  <c r="AG102" i="5"/>
  <c r="AH102" i="5"/>
  <c r="AI102" i="5"/>
  <c r="D103" i="5"/>
  <c r="F103" i="5"/>
  <c r="D104" i="5"/>
  <c r="F104" i="5"/>
  <c r="G104" i="5"/>
  <c r="H104" i="5"/>
  <c r="I104" i="5"/>
  <c r="J104" i="5"/>
  <c r="K104" i="5"/>
  <c r="L104" i="5"/>
  <c r="M104" i="5"/>
  <c r="N104" i="5"/>
  <c r="O104" i="5"/>
  <c r="P104" i="5"/>
  <c r="Q104" i="5"/>
  <c r="R104" i="5"/>
  <c r="S104" i="5"/>
  <c r="T104" i="5"/>
  <c r="U104" i="5"/>
  <c r="V104" i="5"/>
  <c r="W104" i="5"/>
  <c r="X104" i="5"/>
  <c r="Y104" i="5"/>
  <c r="Z104" i="5"/>
  <c r="AA104" i="5"/>
  <c r="AB104" i="5"/>
  <c r="AC104" i="5"/>
  <c r="AD104" i="5"/>
  <c r="AE104" i="5"/>
  <c r="F105" i="5"/>
  <c r="G105" i="5"/>
  <c r="H105" i="5"/>
  <c r="I105" i="5"/>
  <c r="J105" i="5"/>
  <c r="K105" i="5"/>
  <c r="L105" i="5"/>
  <c r="M105" i="5"/>
  <c r="N105" i="5"/>
  <c r="O105" i="5"/>
  <c r="P105" i="5"/>
  <c r="Q105" i="5"/>
  <c r="R105" i="5"/>
  <c r="S105" i="5"/>
  <c r="T105" i="5"/>
  <c r="U105" i="5"/>
  <c r="V105" i="5"/>
  <c r="W105" i="5"/>
  <c r="X105" i="5"/>
  <c r="Y105" i="5"/>
  <c r="Z105" i="5"/>
  <c r="AA105" i="5"/>
  <c r="AB105" i="5"/>
  <c r="AC105" i="5"/>
  <c r="AD105" i="5"/>
  <c r="AE105" i="5"/>
  <c r="AF105" i="5"/>
  <c r="AG105" i="5"/>
  <c r="AH105" i="5"/>
  <c r="AI105" i="5"/>
  <c r="F106" i="5"/>
  <c r="G106" i="5"/>
  <c r="H106" i="5"/>
  <c r="I106" i="5"/>
  <c r="J106" i="5"/>
  <c r="K106" i="5"/>
  <c r="L106" i="5"/>
  <c r="M106" i="5"/>
  <c r="N106" i="5"/>
  <c r="O106" i="5"/>
  <c r="P106" i="5"/>
  <c r="Q106" i="5"/>
  <c r="R106" i="5"/>
  <c r="S106" i="5"/>
  <c r="T106" i="5"/>
  <c r="U106" i="5"/>
  <c r="V106" i="5"/>
  <c r="W106" i="5"/>
  <c r="X106" i="5"/>
  <c r="Y106" i="5"/>
  <c r="Z106" i="5"/>
  <c r="AA106" i="5"/>
  <c r="AB106" i="5"/>
  <c r="AC106" i="5"/>
  <c r="AD106" i="5"/>
  <c r="AE106" i="5"/>
  <c r="AF106" i="5"/>
  <c r="AG106" i="5"/>
  <c r="AH106" i="5"/>
  <c r="AI106" i="5"/>
  <c r="D107" i="5"/>
  <c r="F107" i="5"/>
  <c r="G107" i="5"/>
  <c r="H107" i="5"/>
  <c r="I107" i="5"/>
  <c r="J107" i="5"/>
  <c r="K107" i="5"/>
  <c r="L107" i="5"/>
  <c r="M107" i="5"/>
  <c r="N107" i="5"/>
  <c r="O107" i="5"/>
  <c r="P107" i="5"/>
  <c r="Q107" i="5"/>
  <c r="R107" i="5"/>
  <c r="S107" i="5"/>
  <c r="T107" i="5"/>
  <c r="U107" i="5"/>
  <c r="V107" i="5"/>
  <c r="W107" i="5"/>
  <c r="X107" i="5"/>
  <c r="Y107" i="5"/>
  <c r="Z107" i="5"/>
  <c r="AA107" i="5"/>
  <c r="AB107" i="5"/>
  <c r="AC107" i="5"/>
  <c r="AD107" i="5"/>
  <c r="AE107" i="5"/>
  <c r="AF107" i="5"/>
  <c r="AG107" i="5"/>
  <c r="AH107" i="5"/>
  <c r="AI107" i="5"/>
  <c r="S108" i="5"/>
  <c r="T108" i="5"/>
  <c r="U108" i="5"/>
  <c r="V108" i="5"/>
  <c r="W108" i="5"/>
  <c r="X108" i="5"/>
  <c r="G109" i="5"/>
  <c r="H109" i="5"/>
  <c r="I109" i="5"/>
  <c r="J109" i="5"/>
  <c r="K109" i="5"/>
  <c r="L109" i="5"/>
  <c r="M109" i="5"/>
  <c r="N109" i="5"/>
  <c r="O109" i="5"/>
  <c r="P109" i="5"/>
  <c r="Q109" i="5"/>
  <c r="R109" i="5"/>
  <c r="S109" i="5"/>
  <c r="T109" i="5"/>
  <c r="U109" i="5"/>
  <c r="V109" i="5"/>
  <c r="W109" i="5"/>
  <c r="X109" i="5"/>
  <c r="Y109" i="5"/>
  <c r="Z109" i="5"/>
  <c r="AA109" i="5"/>
  <c r="AB109" i="5"/>
  <c r="AC109" i="5"/>
  <c r="AD109" i="5"/>
  <c r="AE109" i="5"/>
  <c r="AF109" i="5"/>
  <c r="AG109" i="5"/>
  <c r="AH109" i="5"/>
  <c r="AI109" i="5"/>
  <c r="D110" i="5"/>
  <c r="F110" i="5"/>
  <c r="D111" i="5"/>
  <c r="F111" i="5"/>
  <c r="G111" i="5"/>
  <c r="H111" i="5"/>
  <c r="I111" i="5"/>
  <c r="J111" i="5"/>
  <c r="K111" i="5"/>
  <c r="L111" i="5"/>
  <c r="M111" i="5"/>
  <c r="N111" i="5"/>
  <c r="O111" i="5"/>
  <c r="P111" i="5"/>
  <c r="Q111" i="5"/>
  <c r="R111" i="5"/>
  <c r="S111" i="5"/>
  <c r="T111" i="5"/>
  <c r="U111" i="5"/>
  <c r="V111" i="5"/>
  <c r="W111" i="5"/>
  <c r="X111" i="5"/>
  <c r="Y111" i="5"/>
  <c r="Z111" i="5"/>
  <c r="AA111" i="5"/>
  <c r="AB111" i="5"/>
  <c r="AC111" i="5"/>
  <c r="AD111" i="5"/>
  <c r="AE111" i="5"/>
  <c r="F112" i="5"/>
  <c r="G112" i="5"/>
  <c r="H112" i="5"/>
  <c r="I112" i="5"/>
  <c r="J112" i="5"/>
  <c r="K112" i="5"/>
  <c r="L112" i="5"/>
  <c r="M112" i="5"/>
  <c r="N112" i="5"/>
  <c r="O112" i="5"/>
  <c r="P112" i="5"/>
  <c r="Q112" i="5"/>
  <c r="R112" i="5"/>
  <c r="S112" i="5"/>
  <c r="T112" i="5"/>
  <c r="U112" i="5"/>
  <c r="V112" i="5"/>
  <c r="W112" i="5"/>
  <c r="X112" i="5"/>
  <c r="Y112" i="5"/>
  <c r="Z112" i="5"/>
  <c r="AA112" i="5"/>
  <c r="AB112" i="5"/>
  <c r="AC112" i="5"/>
  <c r="AD112" i="5"/>
  <c r="AE112" i="5"/>
  <c r="AF112" i="5"/>
  <c r="AG112" i="5"/>
  <c r="AH112" i="5"/>
  <c r="AI112" i="5"/>
  <c r="G115" i="5"/>
  <c r="H115" i="5"/>
  <c r="I115" i="5"/>
  <c r="J115" i="5"/>
  <c r="K115" i="5"/>
  <c r="L115" i="5"/>
  <c r="M115" i="5"/>
  <c r="N115" i="5"/>
  <c r="O115" i="5"/>
  <c r="P115" i="5"/>
  <c r="Q115" i="5"/>
  <c r="R115" i="5"/>
  <c r="S115" i="5"/>
  <c r="T115" i="5"/>
  <c r="U115" i="5"/>
  <c r="V115" i="5"/>
  <c r="W115" i="5"/>
  <c r="X115" i="5"/>
  <c r="Y115" i="5"/>
  <c r="Z115" i="5"/>
  <c r="AA115" i="5"/>
  <c r="AB115" i="5"/>
  <c r="AC115" i="5"/>
  <c r="AD115" i="5"/>
  <c r="AE115" i="5"/>
  <c r="AF115" i="5"/>
  <c r="AG115" i="5"/>
  <c r="AH115" i="5"/>
  <c r="AI115" i="5"/>
  <c r="D116" i="5"/>
  <c r="F116" i="5"/>
  <c r="G116" i="5"/>
  <c r="H116" i="5"/>
  <c r="I116" i="5"/>
  <c r="J116" i="5"/>
  <c r="K116" i="5"/>
  <c r="L116" i="5"/>
  <c r="M116" i="5"/>
  <c r="N116" i="5"/>
  <c r="O116" i="5"/>
  <c r="P116" i="5"/>
  <c r="Q116" i="5"/>
  <c r="R116" i="5"/>
  <c r="S116" i="5"/>
  <c r="T116" i="5"/>
  <c r="U116" i="5"/>
  <c r="V116" i="5"/>
  <c r="W116" i="5"/>
  <c r="X116" i="5"/>
  <c r="Y116" i="5"/>
  <c r="Z116" i="5"/>
  <c r="AA116" i="5"/>
  <c r="AB116" i="5"/>
  <c r="AC116" i="5"/>
  <c r="AD116" i="5"/>
  <c r="AE116" i="5"/>
  <c r="F117" i="5"/>
  <c r="G117" i="5"/>
  <c r="H117" i="5"/>
  <c r="I117" i="5"/>
  <c r="J117" i="5"/>
  <c r="K117" i="5"/>
  <c r="L117" i="5"/>
  <c r="M117" i="5"/>
  <c r="N117" i="5"/>
  <c r="O117" i="5"/>
  <c r="P117" i="5"/>
  <c r="Q117" i="5"/>
  <c r="R117" i="5"/>
  <c r="S117" i="5"/>
  <c r="T117" i="5"/>
  <c r="U117" i="5"/>
  <c r="V117" i="5"/>
  <c r="W117" i="5"/>
  <c r="X117" i="5"/>
  <c r="Y117" i="5"/>
  <c r="Z117" i="5"/>
  <c r="AA117" i="5"/>
  <c r="AB117" i="5"/>
  <c r="AC117" i="5"/>
  <c r="AD117" i="5"/>
  <c r="AE117" i="5"/>
  <c r="AF117" i="5"/>
  <c r="AG117" i="5"/>
  <c r="AH117" i="5"/>
  <c r="AI117" i="5"/>
  <c r="G121" i="5"/>
  <c r="H121" i="5"/>
  <c r="I121" i="5"/>
  <c r="J121" i="5"/>
  <c r="K121" i="5"/>
  <c r="L121" i="5"/>
  <c r="M121" i="5"/>
  <c r="N121" i="5"/>
  <c r="O121" i="5"/>
  <c r="P121" i="5"/>
  <c r="Q121" i="5"/>
  <c r="R121" i="5"/>
  <c r="S121" i="5"/>
  <c r="T121" i="5"/>
  <c r="U121" i="5"/>
  <c r="V121" i="5"/>
  <c r="W121" i="5"/>
  <c r="X121" i="5"/>
  <c r="Y121" i="5"/>
  <c r="Z121" i="5"/>
  <c r="AA121" i="5"/>
  <c r="AB121" i="5"/>
  <c r="AC121" i="5"/>
  <c r="AD121" i="5"/>
  <c r="AE121" i="5"/>
  <c r="AF121" i="5"/>
  <c r="AG121" i="5"/>
  <c r="AH121" i="5"/>
  <c r="AI121" i="5"/>
  <c r="D122" i="5"/>
  <c r="F122" i="5"/>
  <c r="D123" i="5"/>
  <c r="F123" i="5"/>
  <c r="G123" i="5"/>
  <c r="H123" i="5"/>
  <c r="I123" i="5"/>
  <c r="J123" i="5"/>
  <c r="K123" i="5"/>
  <c r="L123" i="5"/>
  <c r="M123" i="5"/>
  <c r="N123" i="5"/>
  <c r="O123" i="5"/>
  <c r="P123" i="5"/>
  <c r="Q123" i="5"/>
  <c r="R123" i="5"/>
  <c r="S123" i="5"/>
  <c r="T123" i="5"/>
  <c r="U123" i="5"/>
  <c r="V123" i="5"/>
  <c r="W123" i="5"/>
  <c r="X123" i="5"/>
  <c r="Y123" i="5"/>
  <c r="Z123" i="5"/>
  <c r="AA123" i="5"/>
  <c r="AB123" i="5"/>
  <c r="AC123" i="5"/>
  <c r="AD123" i="5"/>
  <c r="AE123" i="5"/>
  <c r="F124" i="5"/>
  <c r="G124" i="5"/>
  <c r="H124" i="5"/>
  <c r="I124" i="5"/>
  <c r="J124" i="5"/>
  <c r="K124" i="5"/>
  <c r="L124" i="5"/>
  <c r="M124" i="5"/>
  <c r="N124" i="5"/>
  <c r="O124" i="5"/>
  <c r="P124" i="5"/>
  <c r="Q124" i="5"/>
  <c r="R124" i="5"/>
  <c r="S124" i="5"/>
  <c r="T124" i="5"/>
  <c r="U124" i="5"/>
  <c r="V124" i="5"/>
  <c r="W124" i="5"/>
  <c r="X124" i="5"/>
  <c r="Y124" i="5"/>
  <c r="Z124" i="5"/>
  <c r="AA124" i="5"/>
  <c r="AB124" i="5"/>
  <c r="AC124" i="5"/>
  <c r="AD124" i="5"/>
  <c r="AE124" i="5"/>
  <c r="AF124" i="5"/>
  <c r="AG124" i="5"/>
  <c r="AH124" i="5"/>
  <c r="AI124" i="5"/>
  <c r="F125" i="5"/>
  <c r="G125" i="5"/>
  <c r="H125" i="5"/>
  <c r="I125" i="5"/>
  <c r="J125" i="5"/>
  <c r="K125" i="5"/>
  <c r="L125" i="5"/>
  <c r="M125" i="5"/>
  <c r="N125" i="5"/>
  <c r="O125" i="5"/>
  <c r="P125" i="5"/>
  <c r="Q125" i="5"/>
  <c r="R125" i="5"/>
  <c r="S125" i="5"/>
  <c r="T125" i="5"/>
  <c r="U125" i="5"/>
  <c r="V125" i="5"/>
  <c r="W125" i="5"/>
  <c r="X125" i="5"/>
  <c r="Y125" i="5"/>
  <c r="Z125" i="5"/>
  <c r="AA125" i="5"/>
  <c r="AB125" i="5"/>
  <c r="AC125" i="5"/>
  <c r="AD125" i="5"/>
  <c r="AE125" i="5"/>
  <c r="AF125" i="5"/>
  <c r="AG125" i="5"/>
  <c r="AH125" i="5"/>
  <c r="AI125" i="5"/>
  <c r="F126" i="5"/>
  <c r="G126" i="5"/>
  <c r="H126" i="5"/>
  <c r="I126" i="5"/>
  <c r="J126" i="5"/>
  <c r="K126" i="5"/>
  <c r="L126" i="5"/>
  <c r="M126" i="5"/>
  <c r="N126" i="5"/>
  <c r="O126" i="5"/>
  <c r="P126" i="5"/>
  <c r="Q126" i="5"/>
  <c r="R126" i="5"/>
  <c r="S126" i="5"/>
  <c r="T126" i="5"/>
  <c r="U126" i="5"/>
  <c r="V126" i="5"/>
  <c r="W126" i="5"/>
  <c r="X126" i="5"/>
  <c r="Y126" i="5"/>
  <c r="Z126" i="5"/>
  <c r="AA126" i="5"/>
  <c r="AB126" i="5"/>
  <c r="AC126" i="5"/>
  <c r="AD126" i="5"/>
  <c r="AE126" i="5"/>
  <c r="AF126" i="5"/>
  <c r="AG126" i="5"/>
  <c r="AH126" i="5"/>
  <c r="AI126" i="5"/>
  <c r="G130" i="5"/>
  <c r="H130" i="5"/>
  <c r="I130" i="5"/>
  <c r="J130" i="5"/>
  <c r="K130" i="5"/>
  <c r="L130" i="5"/>
  <c r="M130" i="5"/>
  <c r="N130" i="5"/>
  <c r="O130" i="5"/>
  <c r="P130" i="5"/>
  <c r="Q130" i="5"/>
  <c r="R130" i="5"/>
  <c r="S130" i="5"/>
  <c r="T130" i="5"/>
  <c r="U130" i="5"/>
  <c r="V130" i="5"/>
  <c r="W130" i="5"/>
  <c r="X130" i="5"/>
  <c r="Y130" i="5"/>
  <c r="Z130" i="5"/>
  <c r="AA130" i="5"/>
  <c r="AB130" i="5"/>
  <c r="AC130" i="5"/>
  <c r="AD130" i="5"/>
  <c r="AE130" i="5"/>
  <c r="AF130" i="5"/>
  <c r="AG130" i="5"/>
  <c r="AH130" i="5"/>
  <c r="AI130" i="5"/>
  <c r="D131" i="5"/>
  <c r="F131" i="5"/>
  <c r="D132" i="5"/>
  <c r="F132" i="5"/>
  <c r="G132" i="5"/>
  <c r="H132" i="5"/>
  <c r="I132" i="5"/>
  <c r="J132" i="5"/>
  <c r="K132" i="5"/>
  <c r="L132" i="5"/>
  <c r="M132" i="5"/>
  <c r="N132" i="5"/>
  <c r="O132" i="5"/>
  <c r="P132" i="5"/>
  <c r="Q132" i="5"/>
  <c r="R132" i="5"/>
  <c r="S132" i="5"/>
  <c r="T132" i="5"/>
  <c r="U132" i="5"/>
  <c r="V132" i="5"/>
  <c r="W132" i="5"/>
  <c r="X132" i="5"/>
  <c r="Y132" i="5"/>
  <c r="Z132" i="5"/>
  <c r="AA132" i="5"/>
  <c r="AB132" i="5"/>
  <c r="AC132" i="5"/>
  <c r="AD132" i="5"/>
  <c r="AE132" i="5"/>
  <c r="F133" i="5"/>
  <c r="G133" i="5"/>
  <c r="H133" i="5"/>
  <c r="I133" i="5"/>
  <c r="J133" i="5"/>
  <c r="K133" i="5"/>
  <c r="L133" i="5"/>
  <c r="M133" i="5"/>
  <c r="N133" i="5"/>
  <c r="O133" i="5"/>
  <c r="P133" i="5"/>
  <c r="Q133" i="5"/>
  <c r="R133" i="5"/>
  <c r="S133" i="5"/>
  <c r="T133" i="5"/>
  <c r="U133" i="5"/>
  <c r="V133" i="5"/>
  <c r="W133" i="5"/>
  <c r="X133" i="5"/>
  <c r="Y133" i="5"/>
  <c r="Z133" i="5"/>
  <c r="AA133" i="5"/>
  <c r="AB133" i="5"/>
  <c r="AC133" i="5"/>
  <c r="AD133" i="5"/>
  <c r="AE133" i="5"/>
  <c r="AF133" i="5"/>
  <c r="AG133" i="5"/>
  <c r="AH133" i="5"/>
  <c r="AI133" i="5"/>
  <c r="F134" i="5"/>
  <c r="G134" i="5"/>
  <c r="H134" i="5"/>
  <c r="I134" i="5"/>
  <c r="J134" i="5"/>
  <c r="K134" i="5"/>
  <c r="L134" i="5"/>
  <c r="M134" i="5"/>
  <c r="N134" i="5"/>
  <c r="O134" i="5"/>
  <c r="P134" i="5"/>
  <c r="Q134" i="5"/>
  <c r="R134" i="5"/>
  <c r="S134" i="5"/>
  <c r="T134" i="5"/>
  <c r="U134" i="5"/>
  <c r="V134" i="5"/>
  <c r="W134" i="5"/>
  <c r="X134" i="5"/>
  <c r="Y134" i="5"/>
  <c r="Z134" i="5"/>
  <c r="AA134" i="5"/>
  <c r="AB134" i="5"/>
  <c r="AC134" i="5"/>
  <c r="AD134" i="5"/>
  <c r="AE134" i="5"/>
  <c r="AF134" i="5"/>
  <c r="AG134" i="5"/>
  <c r="AH134" i="5"/>
  <c r="AI134" i="5"/>
  <c r="F135" i="5"/>
  <c r="G135" i="5"/>
  <c r="H135" i="5"/>
  <c r="I135" i="5"/>
  <c r="J135" i="5"/>
  <c r="K135" i="5"/>
  <c r="L135" i="5"/>
  <c r="M135" i="5"/>
  <c r="N135" i="5"/>
  <c r="O135" i="5"/>
  <c r="P135" i="5"/>
  <c r="Q135" i="5"/>
  <c r="R135" i="5"/>
  <c r="S135" i="5"/>
  <c r="T135" i="5"/>
  <c r="U135" i="5"/>
  <c r="V135" i="5"/>
  <c r="W135" i="5"/>
  <c r="X135" i="5"/>
  <c r="Y135" i="5"/>
  <c r="Z135" i="5"/>
  <c r="AA135" i="5"/>
  <c r="AB135" i="5"/>
  <c r="AC135" i="5"/>
  <c r="AD135" i="5"/>
  <c r="AE135" i="5"/>
  <c r="AF135" i="5"/>
  <c r="AG135" i="5"/>
  <c r="AH135" i="5"/>
  <c r="AI135" i="5"/>
  <c r="G137" i="5"/>
  <c r="H137" i="5"/>
  <c r="I137" i="5"/>
  <c r="J137" i="5"/>
  <c r="K137" i="5"/>
  <c r="L137" i="5"/>
  <c r="M137" i="5"/>
  <c r="N137" i="5"/>
  <c r="O137" i="5"/>
  <c r="P137" i="5"/>
  <c r="Q137" i="5"/>
  <c r="R137" i="5"/>
  <c r="S137" i="5"/>
  <c r="T137" i="5"/>
  <c r="U137" i="5"/>
  <c r="V137" i="5"/>
  <c r="W137" i="5"/>
  <c r="X137" i="5"/>
  <c r="Y137" i="5"/>
  <c r="Z137" i="5"/>
  <c r="AA137" i="5"/>
  <c r="AB137" i="5"/>
  <c r="AC137" i="5"/>
  <c r="AD137" i="5"/>
  <c r="AE137" i="5"/>
  <c r="AF137" i="5"/>
  <c r="AG137" i="5"/>
  <c r="AH137" i="5"/>
  <c r="AI137" i="5"/>
  <c r="F138" i="5"/>
  <c r="F139" i="5"/>
  <c r="G139" i="5"/>
  <c r="H139" i="5"/>
  <c r="I139" i="5"/>
  <c r="J139" i="5"/>
  <c r="K139" i="5"/>
  <c r="L139" i="5"/>
  <c r="M139" i="5"/>
  <c r="N139" i="5"/>
  <c r="O139" i="5"/>
  <c r="P139" i="5"/>
  <c r="Q139" i="5"/>
  <c r="R139" i="5"/>
  <c r="S139" i="5"/>
  <c r="T139" i="5"/>
  <c r="U139" i="5"/>
  <c r="V139" i="5"/>
  <c r="W139" i="5"/>
  <c r="X139" i="5"/>
  <c r="Y139" i="5"/>
  <c r="Z139" i="5"/>
  <c r="AA139" i="5"/>
  <c r="AB139" i="5"/>
  <c r="AC139" i="5"/>
  <c r="AD139" i="5"/>
  <c r="AE139" i="5"/>
  <c r="F140" i="5"/>
  <c r="G140" i="5"/>
  <c r="H140" i="5"/>
  <c r="I140" i="5"/>
  <c r="J140" i="5"/>
  <c r="K140" i="5"/>
  <c r="L140" i="5"/>
  <c r="M140" i="5"/>
  <c r="N140" i="5"/>
  <c r="O140" i="5"/>
  <c r="P140" i="5"/>
  <c r="Q140" i="5"/>
  <c r="R140" i="5"/>
  <c r="S140" i="5"/>
  <c r="T140" i="5"/>
  <c r="U140" i="5"/>
  <c r="V140" i="5"/>
  <c r="W140" i="5"/>
  <c r="X140" i="5"/>
  <c r="Y140" i="5"/>
  <c r="Z140" i="5"/>
  <c r="AA140" i="5"/>
  <c r="AB140" i="5"/>
  <c r="AC140" i="5"/>
  <c r="AD140" i="5"/>
  <c r="AE140" i="5"/>
  <c r="AF140" i="5"/>
  <c r="AG140" i="5"/>
  <c r="AH140" i="5"/>
  <c r="AI140" i="5"/>
  <c r="G143" i="5"/>
  <c r="H143" i="5"/>
  <c r="I143" i="5"/>
  <c r="J143" i="5"/>
  <c r="K143" i="5"/>
  <c r="L143" i="5"/>
  <c r="M143" i="5"/>
  <c r="N143" i="5"/>
  <c r="O143" i="5"/>
  <c r="P143" i="5"/>
  <c r="Q143" i="5"/>
  <c r="R143" i="5"/>
  <c r="S143" i="5"/>
  <c r="T143" i="5"/>
  <c r="U143" i="5"/>
  <c r="V143" i="5"/>
  <c r="W143" i="5"/>
  <c r="X143" i="5"/>
  <c r="Y143" i="5"/>
  <c r="Z143" i="5"/>
  <c r="AA143" i="5"/>
  <c r="AB143" i="5"/>
  <c r="AC143" i="5"/>
  <c r="AD143" i="5"/>
  <c r="AE143" i="5"/>
  <c r="AF143" i="5"/>
  <c r="AG143" i="5"/>
  <c r="AH143" i="5"/>
  <c r="AI143" i="5"/>
  <c r="F144" i="5"/>
  <c r="G144" i="5"/>
  <c r="H144" i="5"/>
  <c r="I144" i="5"/>
  <c r="J144" i="5"/>
  <c r="K144" i="5"/>
  <c r="L144" i="5"/>
  <c r="M144" i="5"/>
  <c r="N144" i="5"/>
  <c r="O144" i="5"/>
  <c r="P144" i="5"/>
  <c r="Q144" i="5"/>
  <c r="R144" i="5"/>
  <c r="S144" i="5"/>
  <c r="T144" i="5"/>
  <c r="U144" i="5"/>
  <c r="V144" i="5"/>
  <c r="W144" i="5"/>
  <c r="X144" i="5"/>
  <c r="Y144" i="5"/>
  <c r="Z144" i="5"/>
  <c r="AA144" i="5"/>
  <c r="AB144" i="5"/>
  <c r="AC144" i="5"/>
  <c r="AD144" i="5"/>
  <c r="AE144" i="5"/>
  <c r="F145" i="5"/>
  <c r="G145" i="5"/>
  <c r="H145" i="5"/>
  <c r="I145" i="5"/>
  <c r="J145" i="5"/>
  <c r="K145" i="5"/>
  <c r="L145" i="5"/>
  <c r="M145" i="5"/>
  <c r="N145" i="5"/>
  <c r="O145" i="5"/>
  <c r="P145" i="5"/>
  <c r="Q145" i="5"/>
  <c r="R145" i="5"/>
  <c r="S145" i="5"/>
  <c r="T145" i="5"/>
  <c r="U145" i="5"/>
  <c r="V145" i="5"/>
  <c r="W145" i="5"/>
  <c r="X145" i="5"/>
  <c r="Y145" i="5"/>
  <c r="Z145" i="5"/>
  <c r="AA145" i="5"/>
  <c r="AB145" i="5"/>
  <c r="AC145" i="5"/>
  <c r="AD145" i="5"/>
  <c r="AE145" i="5"/>
  <c r="AF145" i="5"/>
  <c r="AG145" i="5"/>
  <c r="AH145" i="5"/>
  <c r="AI145" i="5"/>
  <c r="F148" i="5"/>
  <c r="G148" i="5"/>
  <c r="H148" i="5"/>
  <c r="I148" i="5"/>
  <c r="J148" i="5"/>
  <c r="K148" i="5"/>
  <c r="L148" i="5"/>
  <c r="M148" i="5"/>
  <c r="N148" i="5"/>
  <c r="O148" i="5"/>
  <c r="P148" i="5"/>
  <c r="Q148" i="5"/>
  <c r="R148" i="5"/>
  <c r="S148" i="5"/>
  <c r="T148" i="5"/>
  <c r="U148" i="5"/>
  <c r="V148" i="5"/>
  <c r="W148" i="5"/>
  <c r="X148" i="5"/>
  <c r="Y148" i="5"/>
  <c r="Z148" i="5"/>
  <c r="AA148" i="5"/>
  <c r="AB148" i="5"/>
  <c r="AC148" i="5"/>
  <c r="AD148" i="5"/>
  <c r="AE148" i="5"/>
  <c r="F150" i="5"/>
  <c r="G150" i="5"/>
  <c r="H150" i="5"/>
  <c r="I150" i="5"/>
  <c r="J150" i="5"/>
  <c r="K150" i="5"/>
  <c r="L150" i="5"/>
  <c r="M150" i="5"/>
  <c r="N150" i="5"/>
  <c r="O150" i="5"/>
  <c r="P150" i="5"/>
  <c r="Q150" i="5"/>
  <c r="R150" i="5"/>
  <c r="S150" i="5"/>
  <c r="T150" i="5"/>
  <c r="U150" i="5"/>
  <c r="V150" i="5"/>
  <c r="W150" i="5"/>
  <c r="X150" i="5"/>
  <c r="Y150" i="5"/>
  <c r="Z150" i="5"/>
  <c r="AA150" i="5"/>
  <c r="AB150" i="5"/>
  <c r="AC150" i="5"/>
  <c r="AD150" i="5"/>
  <c r="AE150" i="5"/>
  <c r="E160" i="5"/>
  <c r="F160" i="5"/>
  <c r="G160" i="5"/>
  <c r="H160" i="5"/>
  <c r="I160" i="5"/>
  <c r="J160" i="5"/>
  <c r="K160" i="5"/>
  <c r="L160" i="5"/>
  <c r="M160" i="5"/>
  <c r="N160" i="5"/>
  <c r="O160" i="5"/>
  <c r="P160" i="5"/>
  <c r="Q160" i="5"/>
  <c r="R160" i="5"/>
  <c r="S160" i="5"/>
  <c r="T160" i="5"/>
  <c r="U160" i="5"/>
  <c r="V160" i="5"/>
  <c r="W160" i="5"/>
  <c r="X160" i="5"/>
  <c r="Y160" i="5"/>
  <c r="Z160" i="5"/>
  <c r="AA160" i="5"/>
  <c r="AB160" i="5"/>
  <c r="AC160" i="5"/>
  <c r="AD160" i="5"/>
  <c r="AE160" i="5"/>
  <c r="AF160" i="5"/>
  <c r="AG160" i="5"/>
  <c r="AH160" i="5"/>
  <c r="AI160" i="5"/>
  <c r="E162" i="5"/>
  <c r="F162" i="5"/>
  <c r="G162" i="5"/>
  <c r="H162" i="5"/>
  <c r="I162" i="5"/>
  <c r="J162" i="5"/>
  <c r="K162" i="5"/>
  <c r="L162" i="5"/>
  <c r="M162" i="5"/>
  <c r="N162" i="5"/>
  <c r="O162" i="5"/>
  <c r="P162" i="5"/>
  <c r="Q162" i="5"/>
  <c r="R162" i="5"/>
  <c r="S162" i="5"/>
  <c r="T162" i="5"/>
  <c r="U162" i="5"/>
  <c r="V162" i="5"/>
  <c r="W162" i="5"/>
  <c r="X162" i="5"/>
  <c r="Y162" i="5"/>
  <c r="Z162" i="5"/>
  <c r="AA162" i="5"/>
  <c r="AB162" i="5"/>
  <c r="AC162" i="5"/>
  <c r="AD162" i="5"/>
  <c r="AE162" i="5"/>
  <c r="AF162" i="5"/>
  <c r="AG162" i="5"/>
  <c r="AH162" i="5"/>
  <c r="AI162" i="5"/>
  <c r="F178" i="5"/>
  <c r="G178" i="5"/>
  <c r="H178" i="5"/>
  <c r="I178" i="5"/>
  <c r="J178" i="5"/>
  <c r="K178" i="5"/>
  <c r="L178" i="5"/>
  <c r="M178" i="5"/>
  <c r="N178" i="5"/>
  <c r="O178" i="5"/>
  <c r="P178" i="5"/>
  <c r="Q178" i="5"/>
  <c r="R178" i="5"/>
  <c r="S178" i="5"/>
  <c r="T178" i="5"/>
  <c r="U178" i="5"/>
  <c r="V178" i="5"/>
  <c r="W178" i="5"/>
  <c r="X178" i="5"/>
  <c r="Y178" i="5"/>
  <c r="Z178" i="5"/>
  <c r="AA178" i="5"/>
  <c r="AB178" i="5"/>
  <c r="AC178" i="5"/>
  <c r="AD178" i="5"/>
  <c r="AE178" i="5"/>
  <c r="F181" i="5"/>
  <c r="G181" i="5"/>
  <c r="H181" i="5"/>
  <c r="I181" i="5"/>
  <c r="J181" i="5"/>
  <c r="K181" i="5"/>
  <c r="L181" i="5"/>
  <c r="M181" i="5"/>
  <c r="N181" i="5"/>
  <c r="O181" i="5"/>
  <c r="P181" i="5"/>
  <c r="Q181" i="5"/>
  <c r="R181" i="5"/>
  <c r="S181" i="5"/>
  <c r="T181" i="5"/>
  <c r="U181" i="5"/>
  <c r="V181" i="5"/>
  <c r="W181" i="5"/>
  <c r="X181" i="5"/>
  <c r="Y181" i="5"/>
  <c r="Z181" i="5"/>
  <c r="AA181" i="5"/>
  <c r="AB181" i="5"/>
  <c r="AC181" i="5"/>
  <c r="AD181" i="5"/>
  <c r="AE181" i="5"/>
  <c r="F183" i="5"/>
  <c r="G183" i="5"/>
  <c r="H183" i="5"/>
  <c r="I183" i="5"/>
  <c r="J183" i="5"/>
  <c r="K183" i="5"/>
  <c r="L183" i="5"/>
  <c r="M183" i="5"/>
  <c r="N183" i="5"/>
  <c r="O183" i="5"/>
  <c r="P183" i="5"/>
  <c r="Q183" i="5"/>
  <c r="R183" i="5"/>
  <c r="S183" i="5"/>
  <c r="T183" i="5"/>
  <c r="U183" i="5"/>
  <c r="V183" i="5"/>
  <c r="W183" i="5"/>
  <c r="X183" i="5"/>
  <c r="Y183" i="5"/>
  <c r="Z183" i="5"/>
  <c r="AA183" i="5"/>
  <c r="AB183" i="5"/>
  <c r="AC183" i="5"/>
  <c r="AD183" i="5"/>
  <c r="AE183" i="5"/>
  <c r="F186" i="5"/>
  <c r="G186" i="5"/>
  <c r="H186" i="5"/>
  <c r="I186" i="5"/>
  <c r="J186" i="5"/>
  <c r="K186" i="5"/>
  <c r="L186" i="5"/>
  <c r="M186" i="5"/>
  <c r="N186" i="5"/>
  <c r="O186" i="5"/>
  <c r="P186" i="5"/>
  <c r="Q186" i="5"/>
  <c r="R186" i="5"/>
  <c r="S186" i="5"/>
  <c r="T186" i="5"/>
  <c r="U186" i="5"/>
  <c r="V186" i="5"/>
  <c r="W186" i="5"/>
  <c r="X186" i="5"/>
  <c r="Y186" i="5"/>
  <c r="Z186" i="5"/>
  <c r="AA186" i="5"/>
  <c r="AB186" i="5"/>
  <c r="AC186" i="5"/>
  <c r="AD186" i="5"/>
  <c r="AE186" i="5"/>
  <c r="D190" i="5"/>
  <c r="E190" i="5"/>
  <c r="F190" i="5"/>
  <c r="G190" i="5"/>
  <c r="H190" i="5"/>
  <c r="I190" i="5"/>
  <c r="J190" i="5"/>
  <c r="K190" i="5"/>
  <c r="L190" i="5"/>
  <c r="M190" i="5"/>
  <c r="N190" i="5"/>
  <c r="O190" i="5"/>
  <c r="P190" i="5"/>
  <c r="Q190" i="5"/>
  <c r="R190" i="5"/>
  <c r="S190" i="5"/>
  <c r="T190" i="5"/>
  <c r="U190" i="5"/>
  <c r="V190" i="5"/>
  <c r="W190" i="5"/>
  <c r="X190" i="5"/>
  <c r="Y190" i="5"/>
  <c r="Z190" i="5"/>
  <c r="AA190" i="5"/>
  <c r="AB190" i="5"/>
  <c r="AC190" i="5"/>
  <c r="AD190" i="5"/>
  <c r="AE190" i="5"/>
  <c r="AF190" i="5"/>
  <c r="AG190" i="5"/>
  <c r="AH190" i="5"/>
  <c r="AI190" i="5"/>
  <c r="D191" i="5"/>
  <c r="F191" i="5"/>
  <c r="G191" i="5"/>
  <c r="H191" i="5"/>
  <c r="I191" i="5"/>
  <c r="J191" i="5"/>
  <c r="K191" i="5"/>
  <c r="L191" i="5"/>
  <c r="M191" i="5"/>
  <c r="N191" i="5"/>
  <c r="O191" i="5"/>
  <c r="P191" i="5"/>
  <c r="Q191" i="5"/>
  <c r="R191" i="5"/>
  <c r="S191" i="5"/>
  <c r="T191" i="5"/>
  <c r="U191" i="5"/>
  <c r="V191" i="5"/>
  <c r="W191" i="5"/>
  <c r="X191" i="5"/>
  <c r="Y191" i="5"/>
  <c r="Z191" i="5"/>
  <c r="AA191" i="5"/>
  <c r="AB191" i="5"/>
  <c r="AC191" i="5"/>
  <c r="AD191" i="5"/>
  <c r="AE191" i="5"/>
  <c r="AF191" i="5"/>
  <c r="AG191" i="5"/>
  <c r="AH191" i="5"/>
  <c r="AI191" i="5"/>
  <c r="D192" i="5"/>
  <c r="E192" i="5"/>
  <c r="F192" i="5"/>
  <c r="G192" i="5"/>
  <c r="H192" i="5"/>
  <c r="I192" i="5"/>
  <c r="J192" i="5"/>
  <c r="K192" i="5"/>
  <c r="L192" i="5"/>
  <c r="M192" i="5"/>
  <c r="N192" i="5"/>
  <c r="O192" i="5"/>
  <c r="P192" i="5"/>
  <c r="Q192" i="5"/>
  <c r="R192" i="5"/>
  <c r="S192" i="5"/>
  <c r="T192" i="5"/>
  <c r="U192" i="5"/>
  <c r="V192" i="5"/>
  <c r="W192" i="5"/>
  <c r="X192" i="5"/>
  <c r="Y192" i="5"/>
  <c r="Z192" i="5"/>
  <c r="AA192" i="5"/>
  <c r="AB192" i="5"/>
  <c r="AC192" i="5"/>
  <c r="AD192" i="5"/>
  <c r="AE192" i="5"/>
  <c r="AF192" i="5"/>
  <c r="AG192" i="5"/>
  <c r="AH192" i="5"/>
  <c r="AI192" i="5"/>
  <c r="F194" i="5"/>
  <c r="G194" i="5"/>
  <c r="H194" i="5"/>
  <c r="I194" i="5"/>
  <c r="J194" i="5"/>
  <c r="K194" i="5"/>
  <c r="L194" i="5"/>
  <c r="M194" i="5"/>
  <c r="N194" i="5"/>
  <c r="O194" i="5"/>
  <c r="P194" i="5"/>
  <c r="Q194" i="5"/>
  <c r="R194" i="5"/>
  <c r="S194" i="5"/>
  <c r="T194" i="5"/>
  <c r="U194" i="5"/>
  <c r="V194" i="5"/>
  <c r="W194" i="5"/>
  <c r="X194" i="5"/>
  <c r="Y194" i="5"/>
  <c r="Z194" i="5"/>
  <c r="AA194" i="5"/>
  <c r="AB194" i="5"/>
  <c r="AC194" i="5"/>
  <c r="AD194" i="5"/>
  <c r="AE194" i="5"/>
  <c r="AF194" i="5"/>
  <c r="AG194" i="5"/>
  <c r="AH194" i="5"/>
  <c r="AI194" i="5"/>
  <c r="D195" i="5"/>
  <c r="E195" i="5"/>
  <c r="F195" i="5"/>
  <c r="G195" i="5"/>
  <c r="H195" i="5"/>
  <c r="I195" i="5"/>
  <c r="J195" i="5"/>
  <c r="K195" i="5"/>
  <c r="L195" i="5"/>
  <c r="M195" i="5"/>
  <c r="N195" i="5"/>
  <c r="O195" i="5"/>
  <c r="P195" i="5"/>
  <c r="Q195" i="5"/>
  <c r="R195" i="5"/>
  <c r="S195" i="5"/>
  <c r="T195" i="5"/>
  <c r="U195" i="5"/>
  <c r="V195" i="5"/>
  <c r="W195" i="5"/>
  <c r="X195" i="5"/>
  <c r="Y195" i="5"/>
  <c r="Z195" i="5"/>
  <c r="AA195" i="5"/>
  <c r="AB195" i="5"/>
  <c r="AC195" i="5"/>
  <c r="AD195" i="5"/>
  <c r="AE195" i="5"/>
  <c r="AF195" i="5"/>
  <c r="AG195" i="5"/>
  <c r="AH195" i="5"/>
  <c r="AI195" i="5"/>
  <c r="E196" i="5"/>
  <c r="F196" i="5"/>
  <c r="G196" i="5"/>
  <c r="H196" i="5"/>
  <c r="I196" i="5"/>
  <c r="J196" i="5"/>
  <c r="K196" i="5"/>
  <c r="L196" i="5"/>
  <c r="M196" i="5"/>
  <c r="N196" i="5"/>
  <c r="O196" i="5"/>
  <c r="P196" i="5"/>
  <c r="Q196" i="5"/>
  <c r="R196" i="5"/>
  <c r="S196" i="5"/>
  <c r="T196" i="5"/>
  <c r="U196" i="5"/>
  <c r="V196" i="5"/>
  <c r="W196" i="5"/>
  <c r="X196" i="5"/>
  <c r="Y196" i="5"/>
  <c r="Z196" i="5"/>
  <c r="AA196" i="5"/>
  <c r="AB196" i="5"/>
  <c r="AC196" i="5"/>
  <c r="AD196" i="5"/>
  <c r="AE196" i="5"/>
  <c r="AF196" i="5"/>
  <c r="AG196" i="5"/>
  <c r="AH196" i="5"/>
  <c r="AI196" i="5"/>
  <c r="D199" i="5"/>
  <c r="E199" i="5"/>
  <c r="F199" i="5"/>
  <c r="G199" i="5"/>
  <c r="H199" i="5"/>
  <c r="I199" i="5"/>
  <c r="J199" i="5"/>
  <c r="K199" i="5"/>
  <c r="L199" i="5"/>
  <c r="M199" i="5"/>
  <c r="N199" i="5"/>
  <c r="O199" i="5"/>
  <c r="P199" i="5"/>
  <c r="Q199" i="5"/>
  <c r="R199" i="5"/>
  <c r="S199" i="5"/>
  <c r="T199" i="5"/>
  <c r="U199" i="5"/>
  <c r="V199" i="5"/>
  <c r="W199" i="5"/>
  <c r="X199" i="5"/>
  <c r="Y199" i="5"/>
  <c r="Z199" i="5"/>
  <c r="AA199" i="5"/>
  <c r="AB199" i="5"/>
  <c r="AC199" i="5"/>
  <c r="AD199" i="5"/>
  <c r="AE199" i="5"/>
  <c r="AF199" i="5"/>
  <c r="AG199" i="5"/>
  <c r="AH199" i="5"/>
  <c r="AI199" i="5"/>
  <c r="D202" i="5"/>
  <c r="E202" i="5"/>
  <c r="F202" i="5"/>
  <c r="G202" i="5"/>
  <c r="H202" i="5"/>
  <c r="I202" i="5"/>
  <c r="J202" i="5"/>
  <c r="K202" i="5"/>
  <c r="L202" i="5"/>
  <c r="M202" i="5"/>
  <c r="N202" i="5"/>
  <c r="O202" i="5"/>
  <c r="P202" i="5"/>
  <c r="Q202" i="5"/>
  <c r="R202" i="5"/>
  <c r="S202" i="5"/>
  <c r="T202" i="5"/>
  <c r="U202" i="5"/>
  <c r="V202" i="5"/>
  <c r="W202" i="5"/>
  <c r="X202" i="5"/>
  <c r="Y202" i="5"/>
  <c r="Z202" i="5"/>
  <c r="AA202" i="5"/>
  <c r="AB202" i="5"/>
  <c r="AC202" i="5"/>
  <c r="AD202" i="5"/>
  <c r="AE202" i="5"/>
  <c r="AF202" i="5"/>
  <c r="AG202" i="5"/>
  <c r="AH202" i="5"/>
  <c r="AI202" i="5"/>
  <c r="E205" i="5"/>
  <c r="F205" i="5"/>
  <c r="G205" i="5"/>
  <c r="H205" i="5"/>
  <c r="I205" i="5"/>
  <c r="J205" i="5"/>
  <c r="K205" i="5"/>
  <c r="L205" i="5"/>
  <c r="M205" i="5"/>
  <c r="N205" i="5"/>
  <c r="O205" i="5"/>
  <c r="P205" i="5"/>
  <c r="Q205" i="5"/>
  <c r="R205" i="5"/>
  <c r="S205" i="5"/>
  <c r="T205" i="5"/>
  <c r="U205" i="5"/>
  <c r="V205" i="5"/>
  <c r="W205" i="5"/>
  <c r="X205" i="5"/>
  <c r="Y205" i="5"/>
  <c r="Z205" i="5"/>
  <c r="AA205" i="5"/>
  <c r="AB205" i="5"/>
  <c r="AC205" i="5"/>
  <c r="AD205" i="5"/>
  <c r="AE205" i="5"/>
  <c r="AF205" i="5"/>
  <c r="AG205" i="5"/>
  <c r="AH205" i="5"/>
  <c r="AI205" i="5"/>
  <c r="E207" i="5"/>
  <c r="F207" i="5"/>
  <c r="G207" i="5"/>
  <c r="H207" i="5"/>
  <c r="I207" i="5"/>
  <c r="J207" i="5"/>
  <c r="K207" i="5"/>
  <c r="L207" i="5"/>
  <c r="M207" i="5"/>
  <c r="N207" i="5"/>
  <c r="O207" i="5"/>
  <c r="P207" i="5"/>
  <c r="Q207" i="5"/>
  <c r="R207" i="5"/>
  <c r="S207" i="5"/>
  <c r="T207" i="5"/>
  <c r="U207" i="5"/>
  <c r="V207" i="5"/>
  <c r="W207" i="5"/>
  <c r="X207" i="5"/>
  <c r="Y207" i="5"/>
  <c r="Z207" i="5"/>
  <c r="AA207" i="5"/>
  <c r="AB207" i="5"/>
  <c r="AC207" i="5"/>
  <c r="AD207" i="5"/>
  <c r="AE207" i="5"/>
  <c r="AF207" i="5"/>
  <c r="AG207" i="5"/>
  <c r="AH207" i="5"/>
  <c r="AI207" i="5"/>
  <c r="E209" i="5"/>
  <c r="E210" i="5"/>
  <c r="E211" i="5"/>
  <c r="F211" i="5"/>
  <c r="G211" i="5"/>
  <c r="H211" i="5"/>
  <c r="I211" i="5"/>
  <c r="J211" i="5"/>
  <c r="K211" i="5"/>
  <c r="L211" i="5"/>
  <c r="M211" i="5"/>
  <c r="N211" i="5"/>
  <c r="O211" i="5"/>
  <c r="P211" i="5"/>
  <c r="Q211" i="5"/>
  <c r="R211" i="5"/>
  <c r="S211" i="5"/>
  <c r="T211" i="5"/>
  <c r="U211" i="5"/>
  <c r="V211" i="5"/>
  <c r="W211" i="5"/>
  <c r="X211" i="5"/>
  <c r="Y211" i="5"/>
  <c r="Z211" i="5"/>
  <c r="AA211" i="5"/>
  <c r="AB211" i="5"/>
  <c r="AC211" i="5"/>
  <c r="AD211" i="5"/>
  <c r="AE211" i="5"/>
  <c r="AF211" i="5"/>
  <c r="AG211" i="5"/>
  <c r="AH211" i="5"/>
  <c r="AI211" i="5"/>
  <c r="E215" i="5"/>
  <c r="F215" i="5"/>
  <c r="G215" i="5"/>
  <c r="H215" i="5"/>
  <c r="I215" i="5"/>
  <c r="J215" i="5"/>
  <c r="K215" i="5"/>
  <c r="L215" i="5"/>
  <c r="M215" i="5"/>
  <c r="N215" i="5"/>
  <c r="O215" i="5"/>
  <c r="P215" i="5"/>
  <c r="Q215" i="5"/>
  <c r="R215" i="5"/>
  <c r="S215" i="5"/>
  <c r="T215" i="5"/>
  <c r="U215" i="5"/>
  <c r="V215" i="5"/>
  <c r="W215" i="5"/>
  <c r="X215" i="5"/>
  <c r="Y215" i="5"/>
  <c r="Z215" i="5"/>
  <c r="AA215" i="5"/>
  <c r="AB215" i="5"/>
  <c r="AC215" i="5"/>
  <c r="AD215" i="5"/>
  <c r="AE215" i="5"/>
  <c r="AF215" i="5"/>
  <c r="AG215" i="5"/>
  <c r="AH215" i="5"/>
  <c r="AI215" i="5"/>
  <c r="E218" i="5"/>
  <c r="F218" i="5"/>
  <c r="G218" i="5"/>
  <c r="H218" i="5"/>
  <c r="I218" i="5"/>
  <c r="J218" i="5"/>
  <c r="K218" i="5"/>
  <c r="L218" i="5"/>
  <c r="M218" i="5"/>
  <c r="N218" i="5"/>
  <c r="O218" i="5"/>
  <c r="P218" i="5"/>
  <c r="Q218" i="5"/>
  <c r="R218" i="5"/>
  <c r="S218" i="5"/>
  <c r="T218" i="5"/>
  <c r="U218" i="5"/>
  <c r="V218" i="5"/>
  <c r="W218" i="5"/>
  <c r="X218" i="5"/>
  <c r="Y218" i="5"/>
  <c r="Z218" i="5"/>
  <c r="AA218" i="5"/>
  <c r="AB218" i="5"/>
  <c r="AC218" i="5"/>
  <c r="AD218" i="5"/>
  <c r="AE218" i="5"/>
  <c r="AF218" i="5"/>
  <c r="AG218" i="5"/>
  <c r="AH218" i="5"/>
  <c r="AI218" i="5"/>
  <c r="F219" i="5"/>
  <c r="G219" i="5"/>
  <c r="H219" i="5"/>
  <c r="I219" i="5"/>
  <c r="J219" i="5"/>
  <c r="K219" i="5"/>
  <c r="L219" i="5"/>
  <c r="M219" i="5"/>
  <c r="N219" i="5"/>
  <c r="O219" i="5"/>
  <c r="P219" i="5"/>
  <c r="Q219" i="5"/>
  <c r="R219" i="5"/>
  <c r="S219" i="5"/>
  <c r="T219" i="5"/>
  <c r="U219" i="5"/>
  <c r="V219" i="5"/>
  <c r="W219" i="5"/>
  <c r="X219" i="5"/>
  <c r="Y219" i="5"/>
  <c r="Z219" i="5"/>
  <c r="AA219" i="5"/>
  <c r="AB219" i="5"/>
  <c r="AC219" i="5"/>
  <c r="AD219" i="5"/>
  <c r="AE219" i="5"/>
  <c r="E220" i="5"/>
  <c r="F220" i="5"/>
  <c r="G220" i="5"/>
  <c r="H220" i="5"/>
  <c r="I220" i="5"/>
  <c r="J220" i="5"/>
  <c r="K220" i="5"/>
  <c r="L220" i="5"/>
  <c r="M220" i="5"/>
  <c r="N220" i="5"/>
  <c r="O220" i="5"/>
  <c r="P220" i="5"/>
  <c r="Q220" i="5"/>
  <c r="R220" i="5"/>
  <c r="S220" i="5"/>
  <c r="T220" i="5"/>
  <c r="U220" i="5"/>
  <c r="V220" i="5"/>
  <c r="W220" i="5"/>
  <c r="X220" i="5"/>
  <c r="Y220" i="5"/>
  <c r="Z220" i="5"/>
  <c r="AA220" i="5"/>
  <c r="AB220" i="5"/>
  <c r="AC220" i="5"/>
  <c r="AD220" i="5"/>
  <c r="AE220" i="5"/>
  <c r="AF220" i="5"/>
  <c r="AG220" i="5"/>
  <c r="AH220" i="5"/>
  <c r="AI220" i="5"/>
  <c r="E221" i="5"/>
  <c r="F221" i="5"/>
  <c r="G221" i="5"/>
  <c r="H221" i="5"/>
  <c r="I221" i="5"/>
  <c r="J221" i="5"/>
  <c r="K221" i="5"/>
  <c r="L221" i="5"/>
  <c r="M221" i="5"/>
  <c r="N221" i="5"/>
  <c r="O221" i="5"/>
  <c r="P221" i="5"/>
  <c r="Q221" i="5"/>
  <c r="R221" i="5"/>
  <c r="S221" i="5"/>
  <c r="T221" i="5"/>
  <c r="U221" i="5"/>
  <c r="V221" i="5"/>
  <c r="W221" i="5"/>
  <c r="X221" i="5"/>
  <c r="Y221" i="5"/>
  <c r="Z221" i="5"/>
  <c r="AA221" i="5"/>
  <c r="AB221" i="5"/>
  <c r="AC221" i="5"/>
  <c r="AD221" i="5"/>
  <c r="AE221" i="5"/>
  <c r="AF221" i="5"/>
  <c r="AG221" i="5"/>
  <c r="AH221" i="5"/>
  <c r="AI221" i="5"/>
  <c r="E222" i="5"/>
  <c r="F222" i="5"/>
  <c r="G222" i="5"/>
  <c r="H222" i="5"/>
  <c r="I222" i="5"/>
  <c r="J222" i="5"/>
  <c r="K222" i="5"/>
  <c r="L222" i="5"/>
  <c r="M222" i="5"/>
  <c r="N222" i="5"/>
  <c r="O222" i="5"/>
  <c r="P222" i="5"/>
  <c r="Q222" i="5"/>
  <c r="R222" i="5"/>
  <c r="S222" i="5"/>
  <c r="T222" i="5"/>
  <c r="U222" i="5"/>
  <c r="V222" i="5"/>
  <c r="W222" i="5"/>
  <c r="X222" i="5"/>
  <c r="Y222" i="5"/>
  <c r="Z222" i="5"/>
  <c r="AA222" i="5"/>
  <c r="AB222" i="5"/>
  <c r="AC222" i="5"/>
  <c r="AD222" i="5"/>
  <c r="AE222" i="5"/>
  <c r="AF222" i="5"/>
  <c r="AG222" i="5"/>
  <c r="AH222" i="5"/>
  <c r="AI222" i="5"/>
  <c r="E223" i="5"/>
  <c r="F223" i="5"/>
  <c r="G223" i="5"/>
  <c r="H223" i="5"/>
  <c r="I223" i="5"/>
  <c r="J223" i="5"/>
  <c r="K223" i="5"/>
  <c r="L223" i="5"/>
  <c r="M223" i="5"/>
  <c r="N223" i="5"/>
  <c r="O223" i="5"/>
  <c r="P223" i="5"/>
  <c r="Q223" i="5"/>
  <c r="R223" i="5"/>
  <c r="S223" i="5"/>
  <c r="T223" i="5"/>
  <c r="U223" i="5"/>
  <c r="V223" i="5"/>
  <c r="W223" i="5"/>
  <c r="X223" i="5"/>
  <c r="Y223" i="5"/>
  <c r="Z223" i="5"/>
  <c r="AA223" i="5"/>
  <c r="AB223" i="5"/>
  <c r="AC223" i="5"/>
  <c r="AD223" i="5"/>
  <c r="AE223" i="5"/>
  <c r="AF223" i="5"/>
  <c r="AG223" i="5"/>
  <c r="AH223" i="5"/>
  <c r="AI223" i="5"/>
  <c r="F224" i="5"/>
  <c r="G224" i="5"/>
  <c r="H224" i="5"/>
  <c r="I224" i="5"/>
  <c r="J224" i="5"/>
  <c r="K224" i="5"/>
  <c r="L224" i="5"/>
  <c r="M224" i="5"/>
  <c r="N224" i="5"/>
  <c r="O224" i="5"/>
  <c r="P224" i="5"/>
  <c r="Q224" i="5"/>
  <c r="R224" i="5"/>
  <c r="S224" i="5"/>
  <c r="T224" i="5"/>
  <c r="U224" i="5"/>
  <c r="V224" i="5"/>
  <c r="W224" i="5"/>
  <c r="X224" i="5"/>
  <c r="Y224" i="5"/>
  <c r="Z224" i="5"/>
  <c r="AA224" i="5"/>
  <c r="AB224" i="5"/>
  <c r="AC224" i="5"/>
  <c r="AD224" i="5"/>
  <c r="AE224" i="5"/>
  <c r="AF224" i="5"/>
  <c r="F225" i="5"/>
  <c r="G225" i="5"/>
  <c r="H225" i="5"/>
  <c r="I225" i="5"/>
  <c r="J225" i="5"/>
  <c r="K225" i="5"/>
  <c r="L225" i="5"/>
  <c r="M225" i="5"/>
  <c r="N225" i="5"/>
  <c r="O225" i="5"/>
  <c r="P225" i="5"/>
  <c r="Q225" i="5"/>
  <c r="R225" i="5"/>
  <c r="S225" i="5"/>
  <c r="T225" i="5"/>
  <c r="U225" i="5"/>
  <c r="V225" i="5"/>
  <c r="W225" i="5"/>
  <c r="X225" i="5"/>
  <c r="Y225" i="5"/>
  <c r="Z225" i="5"/>
  <c r="AA225" i="5"/>
  <c r="AB225" i="5"/>
  <c r="AC225" i="5"/>
  <c r="AD225" i="5"/>
  <c r="AE225" i="5"/>
  <c r="AF225" i="5"/>
  <c r="E226" i="5"/>
  <c r="F226" i="5"/>
  <c r="G226" i="5"/>
  <c r="H226" i="5"/>
  <c r="I226" i="5"/>
  <c r="J226" i="5"/>
  <c r="K226" i="5"/>
  <c r="L226" i="5"/>
  <c r="E227" i="5"/>
  <c r="F227" i="5"/>
  <c r="G227" i="5"/>
  <c r="H227" i="5"/>
  <c r="I227" i="5"/>
  <c r="J227" i="5"/>
  <c r="K227" i="5"/>
  <c r="L227" i="5"/>
  <c r="E228" i="5"/>
  <c r="F228" i="5"/>
  <c r="G228" i="5"/>
  <c r="H228" i="5"/>
  <c r="I228" i="5"/>
  <c r="J228" i="5"/>
  <c r="K228" i="5"/>
  <c r="L228" i="5"/>
  <c r="F229" i="5"/>
  <c r="G229" i="5"/>
  <c r="H229" i="5"/>
  <c r="I229" i="5"/>
  <c r="J229" i="5"/>
  <c r="K229" i="5"/>
  <c r="L229" i="5"/>
  <c r="M229" i="5"/>
  <c r="N229" i="5"/>
  <c r="O229" i="5"/>
  <c r="P229" i="5"/>
  <c r="Q229" i="5"/>
  <c r="R229" i="5"/>
  <c r="S229" i="5"/>
  <c r="T229" i="5"/>
  <c r="U229" i="5"/>
  <c r="V229" i="5"/>
  <c r="W229" i="5"/>
  <c r="X229" i="5"/>
  <c r="Y229" i="5"/>
  <c r="Z229" i="5"/>
  <c r="AA229" i="5"/>
  <c r="AB229" i="5"/>
  <c r="AC229" i="5"/>
  <c r="AD229" i="5"/>
  <c r="AE229" i="5"/>
  <c r="AF229" i="5"/>
  <c r="AG229" i="5"/>
  <c r="AH229" i="5"/>
  <c r="AI229" i="5"/>
  <c r="E231" i="5"/>
  <c r="F231" i="5"/>
  <c r="G231" i="5"/>
  <c r="H231" i="5"/>
  <c r="I231" i="5"/>
  <c r="J231" i="5"/>
  <c r="K231" i="5"/>
  <c r="L231" i="5"/>
  <c r="F238" i="5"/>
  <c r="G238" i="5"/>
  <c r="H238" i="5"/>
  <c r="I238" i="5"/>
  <c r="J238" i="5"/>
  <c r="K238" i="5"/>
  <c r="L238" i="5"/>
  <c r="M238" i="5"/>
  <c r="N238" i="5"/>
  <c r="O238" i="5"/>
  <c r="P238" i="5"/>
  <c r="Q238" i="5"/>
  <c r="R238" i="5"/>
  <c r="S238" i="5"/>
  <c r="T238" i="5"/>
  <c r="U238" i="5"/>
  <c r="V238" i="5"/>
  <c r="W238" i="5"/>
  <c r="X238" i="5"/>
  <c r="Y238" i="5"/>
  <c r="Z238" i="5"/>
  <c r="AA238" i="5"/>
  <c r="AB238" i="5"/>
  <c r="AC238" i="5"/>
  <c r="AD238" i="5"/>
  <c r="AE238" i="5"/>
  <c r="AF238" i="5"/>
  <c r="AG238" i="5"/>
  <c r="AH238" i="5"/>
  <c r="AI238" i="5"/>
  <c r="E239" i="5"/>
  <c r="F239" i="5"/>
  <c r="G239" i="5"/>
  <c r="H239" i="5"/>
  <c r="I239" i="5"/>
  <c r="J239" i="5"/>
  <c r="K239" i="5"/>
  <c r="L239" i="5"/>
  <c r="M239" i="5"/>
  <c r="N239" i="5"/>
  <c r="O239" i="5"/>
  <c r="P239" i="5"/>
  <c r="Q239" i="5"/>
  <c r="R239" i="5"/>
  <c r="S239" i="5"/>
  <c r="T239" i="5"/>
  <c r="U239" i="5"/>
  <c r="V239" i="5"/>
  <c r="W239" i="5"/>
  <c r="X239" i="5"/>
  <c r="Y239" i="5"/>
  <c r="Z239" i="5"/>
  <c r="AA239" i="5"/>
  <c r="AB239" i="5"/>
  <c r="AC239" i="5"/>
  <c r="AD239" i="5"/>
  <c r="AE239" i="5"/>
  <c r="AF239" i="5"/>
  <c r="AG239" i="5"/>
  <c r="AH239" i="5"/>
  <c r="AI239" i="5"/>
  <c r="E240" i="5"/>
  <c r="F240" i="5"/>
  <c r="G240" i="5"/>
  <c r="H240" i="5"/>
  <c r="I240" i="5"/>
  <c r="J240" i="5"/>
  <c r="K240" i="5"/>
  <c r="L240" i="5"/>
  <c r="M240" i="5"/>
  <c r="N240" i="5"/>
  <c r="O240" i="5"/>
  <c r="P240" i="5"/>
  <c r="Q240" i="5"/>
  <c r="R240" i="5"/>
  <c r="S240" i="5"/>
  <c r="T240" i="5"/>
  <c r="U240" i="5"/>
  <c r="V240" i="5"/>
  <c r="W240" i="5"/>
  <c r="X240" i="5"/>
  <c r="Y240" i="5"/>
  <c r="Z240" i="5"/>
  <c r="AA240" i="5"/>
  <c r="AB240" i="5"/>
  <c r="AC240" i="5"/>
  <c r="AD240" i="5"/>
  <c r="AE240" i="5"/>
  <c r="AF240" i="5"/>
  <c r="AG240" i="5"/>
  <c r="AH240" i="5"/>
  <c r="AI240" i="5"/>
  <c r="D258" i="5"/>
  <c r="F258" i="5"/>
  <c r="G258" i="5"/>
  <c r="H258" i="5"/>
  <c r="I258" i="5"/>
  <c r="J258" i="5"/>
  <c r="K258" i="5"/>
  <c r="L258" i="5"/>
  <c r="M258" i="5"/>
  <c r="N258" i="5"/>
  <c r="O258" i="5"/>
  <c r="P258" i="5"/>
  <c r="Q258" i="5"/>
  <c r="R258" i="5"/>
  <c r="S258" i="5"/>
  <c r="T258" i="5"/>
  <c r="U258" i="5"/>
  <c r="V258" i="5"/>
  <c r="W258" i="5"/>
  <c r="X258" i="5"/>
  <c r="Y258" i="5"/>
  <c r="Z258" i="5"/>
  <c r="AA258" i="5"/>
  <c r="AB258" i="5"/>
  <c r="AC258" i="5"/>
  <c r="AD258" i="5"/>
  <c r="AE258" i="5"/>
  <c r="D259" i="5"/>
  <c r="E259" i="5"/>
  <c r="F259" i="5"/>
  <c r="G259" i="5"/>
  <c r="H259" i="5"/>
  <c r="I259" i="5"/>
  <c r="J259" i="5"/>
  <c r="K259" i="5"/>
  <c r="L259" i="5"/>
  <c r="M259" i="5"/>
  <c r="N259" i="5"/>
  <c r="O259" i="5"/>
  <c r="P259" i="5"/>
  <c r="Q259" i="5"/>
  <c r="R259" i="5"/>
  <c r="S259" i="5"/>
  <c r="T259" i="5"/>
  <c r="U259" i="5"/>
  <c r="V259" i="5"/>
  <c r="W259" i="5"/>
  <c r="X259" i="5"/>
  <c r="Y259" i="5"/>
  <c r="Z259" i="5"/>
  <c r="AA259" i="5"/>
  <c r="AB259" i="5"/>
  <c r="AC259" i="5"/>
  <c r="AD259" i="5"/>
  <c r="AE259" i="5"/>
  <c r="AF259" i="5"/>
  <c r="AG259" i="5"/>
  <c r="AH259" i="5"/>
  <c r="AI259" i="5"/>
  <c r="D260" i="5"/>
  <c r="F260" i="5"/>
  <c r="G260" i="5"/>
  <c r="H260" i="5"/>
  <c r="I260" i="5"/>
  <c r="J260" i="5"/>
  <c r="K260" i="5"/>
  <c r="L260" i="5"/>
  <c r="M260" i="5"/>
  <c r="N260" i="5"/>
  <c r="O260" i="5"/>
  <c r="P260" i="5"/>
  <c r="Q260" i="5"/>
  <c r="R260" i="5"/>
  <c r="S260" i="5"/>
  <c r="T260" i="5"/>
  <c r="U260" i="5"/>
  <c r="V260" i="5"/>
  <c r="W260" i="5"/>
  <c r="X260" i="5"/>
  <c r="Y260" i="5"/>
  <c r="Z260" i="5"/>
  <c r="AA260" i="5"/>
  <c r="AB260" i="5"/>
  <c r="AC260" i="5"/>
  <c r="AD260" i="5"/>
  <c r="AE260" i="5"/>
  <c r="D261" i="5"/>
  <c r="E261" i="5"/>
  <c r="F261" i="5"/>
  <c r="G261" i="5"/>
  <c r="H261" i="5"/>
  <c r="I261" i="5"/>
  <c r="J261" i="5"/>
  <c r="K261" i="5"/>
  <c r="L261" i="5"/>
  <c r="M261" i="5"/>
  <c r="N261" i="5"/>
  <c r="O261" i="5"/>
  <c r="P261" i="5"/>
  <c r="Q261" i="5"/>
  <c r="R261" i="5"/>
  <c r="S261" i="5"/>
  <c r="T261" i="5"/>
  <c r="U261" i="5"/>
  <c r="V261" i="5"/>
  <c r="W261" i="5"/>
  <c r="X261" i="5"/>
  <c r="Y261" i="5"/>
  <c r="Z261" i="5"/>
  <c r="AA261" i="5"/>
  <c r="AB261" i="5"/>
  <c r="AC261" i="5"/>
  <c r="AD261" i="5"/>
  <c r="AE261" i="5"/>
  <c r="AF261" i="5"/>
  <c r="AG261" i="5"/>
  <c r="AH261" i="5"/>
  <c r="AI261" i="5"/>
  <c r="D262" i="5"/>
  <c r="E262" i="5"/>
  <c r="F262" i="5"/>
  <c r="G262" i="5"/>
  <c r="H262" i="5"/>
  <c r="I262" i="5"/>
  <c r="J262" i="5"/>
  <c r="K262" i="5"/>
  <c r="L262" i="5"/>
  <c r="M262" i="5"/>
  <c r="N262" i="5"/>
  <c r="O262" i="5"/>
  <c r="P262" i="5"/>
  <c r="Q262" i="5"/>
  <c r="R262" i="5"/>
  <c r="S262" i="5"/>
  <c r="T262" i="5"/>
  <c r="U262" i="5"/>
  <c r="V262" i="5"/>
  <c r="W262" i="5"/>
  <c r="X262" i="5"/>
  <c r="Y262" i="5"/>
  <c r="Z262" i="5"/>
  <c r="AA262" i="5"/>
  <c r="AB262" i="5"/>
  <c r="AC262" i="5"/>
  <c r="AD262" i="5"/>
  <c r="AE262" i="5"/>
  <c r="AF262" i="5"/>
  <c r="AG262" i="5"/>
  <c r="AH262" i="5"/>
  <c r="AI262" i="5"/>
  <c r="D263" i="5"/>
  <c r="E263" i="5"/>
  <c r="F263" i="5"/>
  <c r="G263" i="5"/>
  <c r="H263" i="5"/>
  <c r="I263" i="5"/>
  <c r="J263" i="5"/>
  <c r="K263" i="5"/>
  <c r="L263" i="5"/>
  <c r="M263" i="5"/>
  <c r="N263" i="5"/>
  <c r="O263" i="5"/>
  <c r="P263" i="5"/>
  <c r="Q263" i="5"/>
  <c r="R263" i="5"/>
  <c r="S263" i="5"/>
  <c r="T263" i="5"/>
  <c r="U263" i="5"/>
  <c r="V263" i="5"/>
  <c r="W263" i="5"/>
  <c r="X263" i="5"/>
  <c r="Y263" i="5"/>
  <c r="Z263" i="5"/>
  <c r="AA263" i="5"/>
  <c r="AB263" i="5"/>
  <c r="AC263" i="5"/>
  <c r="AD263" i="5"/>
  <c r="AE263" i="5"/>
  <c r="AF263" i="5"/>
  <c r="AG263" i="5"/>
  <c r="AH263" i="5"/>
  <c r="AI263" i="5"/>
  <c r="D265" i="5"/>
  <c r="E265" i="5"/>
  <c r="F265" i="5"/>
  <c r="G265" i="5"/>
  <c r="H265" i="5"/>
  <c r="I265" i="5"/>
  <c r="J265" i="5"/>
  <c r="K265" i="5"/>
  <c r="L265" i="5"/>
  <c r="M265" i="5"/>
  <c r="N265" i="5"/>
  <c r="O265" i="5"/>
  <c r="P265" i="5"/>
  <c r="Q265" i="5"/>
  <c r="R265" i="5"/>
  <c r="S265" i="5"/>
  <c r="T265" i="5"/>
  <c r="U265" i="5"/>
  <c r="V265" i="5"/>
  <c r="W265" i="5"/>
  <c r="X265" i="5"/>
  <c r="Y265" i="5"/>
  <c r="Z265" i="5"/>
  <c r="AA265" i="5"/>
  <c r="AB265" i="5"/>
  <c r="AC265" i="5"/>
  <c r="AD265" i="5"/>
  <c r="AE265" i="5"/>
  <c r="AF265" i="5"/>
  <c r="AG265" i="5"/>
  <c r="AH265" i="5"/>
  <c r="AI265" i="5"/>
  <c r="D269" i="5"/>
  <c r="F269" i="5"/>
  <c r="G269" i="5"/>
  <c r="H269" i="5"/>
  <c r="I269" i="5"/>
  <c r="J269" i="5"/>
  <c r="K269" i="5"/>
  <c r="L269" i="5"/>
  <c r="M269" i="5"/>
  <c r="N269" i="5"/>
  <c r="O269" i="5"/>
  <c r="P269" i="5"/>
  <c r="Q269" i="5"/>
  <c r="R269" i="5"/>
  <c r="S269" i="5"/>
  <c r="T269" i="5"/>
  <c r="U269" i="5"/>
  <c r="V269" i="5"/>
  <c r="W269" i="5"/>
  <c r="X269" i="5"/>
  <c r="Y269" i="5"/>
  <c r="Z269" i="5"/>
  <c r="AA269" i="5"/>
  <c r="AB269" i="5"/>
  <c r="AC269" i="5"/>
  <c r="AD269" i="5"/>
  <c r="AE269" i="5"/>
  <c r="D270" i="5"/>
  <c r="F270" i="5"/>
  <c r="G270" i="5"/>
  <c r="H270" i="5"/>
  <c r="I270" i="5"/>
  <c r="J270" i="5"/>
  <c r="K270" i="5"/>
  <c r="L270" i="5"/>
  <c r="M270" i="5"/>
  <c r="N270" i="5"/>
  <c r="O270" i="5"/>
  <c r="P270" i="5"/>
  <c r="Q270" i="5"/>
  <c r="R270" i="5"/>
  <c r="S270" i="5"/>
  <c r="T270" i="5"/>
  <c r="U270" i="5"/>
  <c r="V270" i="5"/>
  <c r="W270" i="5"/>
  <c r="X270" i="5"/>
  <c r="Y270" i="5"/>
  <c r="Z270" i="5"/>
  <c r="AA270" i="5"/>
  <c r="AB270" i="5"/>
  <c r="AC270" i="5"/>
  <c r="AD270" i="5"/>
  <c r="AE270" i="5"/>
  <c r="D271" i="5"/>
  <c r="F271" i="5"/>
  <c r="G271" i="5"/>
  <c r="H271" i="5"/>
  <c r="I271" i="5"/>
  <c r="J271" i="5"/>
  <c r="K271" i="5"/>
  <c r="L271" i="5"/>
  <c r="M271" i="5"/>
  <c r="N271" i="5"/>
  <c r="O271" i="5"/>
  <c r="P271" i="5"/>
  <c r="Q271" i="5"/>
  <c r="R271" i="5"/>
  <c r="S271" i="5"/>
  <c r="T271" i="5"/>
  <c r="U271" i="5"/>
  <c r="V271" i="5"/>
  <c r="W271" i="5"/>
  <c r="X271" i="5"/>
  <c r="Y271" i="5"/>
  <c r="Z271" i="5"/>
  <c r="AA271" i="5"/>
  <c r="AB271" i="5"/>
  <c r="AC271" i="5"/>
  <c r="AD271" i="5"/>
  <c r="AE271" i="5"/>
  <c r="D272" i="5"/>
  <c r="F272" i="5"/>
  <c r="G272" i="5"/>
  <c r="H272" i="5"/>
  <c r="I272" i="5"/>
  <c r="J272" i="5"/>
  <c r="K272" i="5"/>
  <c r="L272" i="5"/>
  <c r="M272" i="5"/>
  <c r="N272" i="5"/>
  <c r="O272" i="5"/>
  <c r="P272" i="5"/>
  <c r="Q272" i="5"/>
  <c r="R272" i="5"/>
  <c r="S272" i="5"/>
  <c r="T272" i="5"/>
  <c r="U272" i="5"/>
  <c r="V272" i="5"/>
  <c r="W272" i="5"/>
  <c r="X272" i="5"/>
  <c r="Y272" i="5"/>
  <c r="Z272" i="5"/>
  <c r="AA272" i="5"/>
  <c r="AB272" i="5"/>
  <c r="AC272" i="5"/>
  <c r="AD272" i="5"/>
  <c r="AE272" i="5"/>
  <c r="D273" i="5"/>
  <c r="F273" i="5"/>
  <c r="G273" i="5"/>
  <c r="H273" i="5"/>
  <c r="I273" i="5"/>
  <c r="J273" i="5"/>
  <c r="K273" i="5"/>
  <c r="L273" i="5"/>
  <c r="M273" i="5"/>
  <c r="N273" i="5"/>
  <c r="O273" i="5"/>
  <c r="P273" i="5"/>
  <c r="Q273" i="5"/>
  <c r="R273" i="5"/>
  <c r="S273" i="5"/>
  <c r="T273" i="5"/>
  <c r="U273" i="5"/>
  <c r="V273" i="5"/>
  <c r="W273" i="5"/>
  <c r="X273" i="5"/>
  <c r="Y273" i="5"/>
  <c r="Z273" i="5"/>
  <c r="AA273" i="5"/>
  <c r="AB273" i="5"/>
  <c r="AC273" i="5"/>
  <c r="AD273" i="5"/>
  <c r="AE273" i="5"/>
  <c r="D274" i="5"/>
  <c r="F274" i="5"/>
  <c r="G274" i="5"/>
  <c r="H274" i="5"/>
  <c r="I274" i="5"/>
  <c r="J274" i="5"/>
  <c r="K274" i="5"/>
  <c r="L274" i="5"/>
  <c r="M274" i="5"/>
  <c r="N274" i="5"/>
  <c r="O274" i="5"/>
  <c r="P274" i="5"/>
  <c r="Q274" i="5"/>
  <c r="R274" i="5"/>
  <c r="S274" i="5"/>
  <c r="T274" i="5"/>
  <c r="U274" i="5"/>
  <c r="V274" i="5"/>
  <c r="W274" i="5"/>
  <c r="X274" i="5"/>
  <c r="Y274" i="5"/>
  <c r="Z274" i="5"/>
  <c r="AA274" i="5"/>
  <c r="AB274" i="5"/>
  <c r="AC274" i="5"/>
  <c r="AD274" i="5"/>
  <c r="AE274" i="5"/>
  <c r="D276" i="5"/>
  <c r="F276" i="5"/>
  <c r="G276" i="5"/>
  <c r="H276" i="5"/>
  <c r="I276" i="5"/>
  <c r="J276" i="5"/>
  <c r="K276" i="5"/>
  <c r="L276" i="5"/>
  <c r="M276" i="5"/>
  <c r="N276" i="5"/>
  <c r="O276" i="5"/>
  <c r="P276" i="5"/>
  <c r="Q276" i="5"/>
  <c r="R276" i="5"/>
  <c r="S276" i="5"/>
  <c r="T276" i="5"/>
  <c r="U276" i="5"/>
  <c r="V276" i="5"/>
  <c r="W276" i="5"/>
  <c r="X276" i="5"/>
  <c r="Y276" i="5"/>
  <c r="Z276" i="5"/>
  <c r="AA276" i="5"/>
  <c r="AB276" i="5"/>
  <c r="AC276" i="5"/>
  <c r="AD276" i="5"/>
  <c r="AE276" i="5"/>
  <c r="D277" i="5"/>
  <c r="F277" i="5"/>
  <c r="G277" i="5"/>
  <c r="H277" i="5"/>
  <c r="I277" i="5"/>
  <c r="J277" i="5"/>
  <c r="K277" i="5"/>
  <c r="L277" i="5"/>
  <c r="M277" i="5"/>
  <c r="N277" i="5"/>
  <c r="O277" i="5"/>
  <c r="P277" i="5"/>
  <c r="Q277" i="5"/>
  <c r="R277" i="5"/>
  <c r="S277" i="5"/>
  <c r="T277" i="5"/>
  <c r="U277" i="5"/>
  <c r="V277" i="5"/>
  <c r="W277" i="5"/>
  <c r="X277" i="5"/>
  <c r="Y277" i="5"/>
  <c r="Z277" i="5"/>
  <c r="AA277" i="5"/>
  <c r="AB277" i="5"/>
  <c r="AC277" i="5"/>
  <c r="AD277" i="5"/>
  <c r="AE277" i="5"/>
  <c r="E279" i="5"/>
  <c r="F279" i="5"/>
  <c r="G279" i="5"/>
  <c r="H279" i="5"/>
  <c r="I279" i="5"/>
  <c r="J279" i="5"/>
  <c r="K279" i="5"/>
  <c r="L279" i="5"/>
  <c r="M279" i="5"/>
  <c r="N279" i="5"/>
  <c r="O279" i="5"/>
  <c r="P279" i="5"/>
  <c r="Q279" i="5"/>
  <c r="R279" i="5"/>
  <c r="S279" i="5"/>
  <c r="T279" i="5"/>
  <c r="U279" i="5"/>
  <c r="V279" i="5"/>
  <c r="W279" i="5"/>
  <c r="X279" i="5"/>
  <c r="Y279" i="5"/>
  <c r="Z279" i="5"/>
  <c r="AA279" i="5"/>
  <c r="AB279" i="5"/>
  <c r="AC279" i="5"/>
  <c r="AD279" i="5"/>
  <c r="AE279" i="5"/>
  <c r="AF279" i="5"/>
  <c r="AG279" i="5"/>
  <c r="AH279" i="5"/>
  <c r="AI279" i="5"/>
  <c r="F280" i="5"/>
  <c r="G280" i="5"/>
  <c r="H280" i="5"/>
  <c r="I280" i="5"/>
  <c r="J280" i="5"/>
  <c r="K280" i="5"/>
  <c r="L280" i="5"/>
  <c r="M280" i="5"/>
  <c r="N280" i="5"/>
  <c r="O280" i="5"/>
  <c r="P280" i="5"/>
  <c r="Q280" i="5"/>
  <c r="R280" i="5"/>
  <c r="S280" i="5"/>
  <c r="T280" i="5"/>
  <c r="U280" i="5"/>
  <c r="V280" i="5"/>
  <c r="W280" i="5"/>
  <c r="X280" i="5"/>
  <c r="Y280" i="5"/>
  <c r="Z280" i="5"/>
  <c r="AA280" i="5"/>
  <c r="AB280" i="5"/>
  <c r="AC280" i="5"/>
  <c r="AD280" i="5"/>
  <c r="AE280" i="5"/>
  <c r="F281" i="5"/>
  <c r="G281" i="5"/>
  <c r="H281" i="5"/>
  <c r="I281" i="5"/>
  <c r="J281" i="5"/>
  <c r="K281" i="5"/>
  <c r="L281" i="5"/>
  <c r="M281" i="5"/>
  <c r="N281" i="5"/>
  <c r="O281" i="5"/>
  <c r="P281" i="5"/>
  <c r="Q281" i="5"/>
  <c r="R281" i="5"/>
  <c r="S281" i="5"/>
  <c r="T281" i="5"/>
  <c r="U281" i="5"/>
  <c r="V281" i="5"/>
  <c r="W281" i="5"/>
  <c r="X281" i="5"/>
  <c r="Y281" i="5"/>
  <c r="Z281" i="5"/>
  <c r="AA281" i="5"/>
  <c r="AB281" i="5"/>
  <c r="AC281" i="5"/>
  <c r="AD281" i="5"/>
  <c r="AE281" i="5"/>
  <c r="E282" i="5"/>
  <c r="F282" i="5"/>
  <c r="G282" i="5"/>
  <c r="H282" i="5"/>
  <c r="I282" i="5"/>
  <c r="J282" i="5"/>
  <c r="K282" i="5"/>
  <c r="L282" i="5"/>
  <c r="M282" i="5"/>
  <c r="N282" i="5"/>
  <c r="O282" i="5"/>
  <c r="P282" i="5"/>
  <c r="Q282" i="5"/>
  <c r="R282" i="5"/>
  <c r="S282" i="5"/>
  <c r="T282" i="5"/>
  <c r="U282" i="5"/>
  <c r="V282" i="5"/>
  <c r="W282" i="5"/>
  <c r="X282" i="5"/>
  <c r="Y282" i="5"/>
  <c r="Z282" i="5"/>
  <c r="AA282" i="5"/>
  <c r="AB282" i="5"/>
  <c r="AC282" i="5"/>
  <c r="AD282" i="5"/>
  <c r="AE282" i="5"/>
  <c r="AF282" i="5"/>
  <c r="AG282" i="5"/>
  <c r="AH282" i="5"/>
  <c r="AI282" i="5"/>
  <c r="F286" i="5"/>
  <c r="G286" i="5"/>
  <c r="H286" i="5"/>
  <c r="I286" i="5"/>
  <c r="J286" i="5"/>
  <c r="K286" i="5"/>
  <c r="L286" i="5"/>
  <c r="M286" i="5"/>
  <c r="N286" i="5"/>
  <c r="O286" i="5"/>
  <c r="P286" i="5"/>
  <c r="Q286" i="5"/>
  <c r="R286" i="5"/>
  <c r="S286" i="5"/>
  <c r="T286" i="5"/>
  <c r="U286" i="5"/>
  <c r="V286" i="5"/>
  <c r="W286" i="5"/>
  <c r="X286" i="5"/>
  <c r="Y286" i="5"/>
  <c r="Z286" i="5"/>
  <c r="AA286" i="5"/>
  <c r="AB286" i="5"/>
  <c r="AC286" i="5"/>
  <c r="AD286" i="5"/>
  <c r="AE286" i="5"/>
  <c r="AF286" i="5"/>
  <c r="AG286" i="5"/>
  <c r="AH286" i="5"/>
  <c r="AI286" i="5"/>
  <c r="E287" i="5"/>
  <c r="F287" i="5"/>
  <c r="G287" i="5"/>
  <c r="H287" i="5"/>
  <c r="I287" i="5"/>
  <c r="J287" i="5"/>
  <c r="K287" i="5"/>
  <c r="L287" i="5"/>
  <c r="M287" i="5"/>
  <c r="N287" i="5"/>
  <c r="O287" i="5"/>
  <c r="P287" i="5"/>
  <c r="Q287" i="5"/>
  <c r="R287" i="5"/>
  <c r="S287" i="5"/>
  <c r="T287" i="5"/>
  <c r="U287" i="5"/>
  <c r="V287" i="5"/>
  <c r="W287" i="5"/>
  <c r="X287" i="5"/>
  <c r="Y287" i="5"/>
  <c r="Z287" i="5"/>
  <c r="AA287" i="5"/>
  <c r="AB287" i="5"/>
  <c r="AC287" i="5"/>
  <c r="AD287" i="5"/>
  <c r="AE287" i="5"/>
  <c r="AF287" i="5"/>
  <c r="AG287" i="5"/>
  <c r="AH287" i="5"/>
  <c r="AI287" i="5"/>
  <c r="E288" i="5"/>
  <c r="F288" i="5"/>
  <c r="G288" i="5"/>
  <c r="H288" i="5"/>
  <c r="I288" i="5"/>
  <c r="J288" i="5"/>
  <c r="K288" i="5"/>
  <c r="L288" i="5"/>
  <c r="M288" i="5"/>
  <c r="N288" i="5"/>
  <c r="O288" i="5"/>
  <c r="P288" i="5"/>
  <c r="Q288" i="5"/>
  <c r="R288" i="5"/>
  <c r="S288" i="5"/>
  <c r="T288" i="5"/>
  <c r="U288" i="5"/>
  <c r="V288" i="5"/>
  <c r="W288" i="5"/>
  <c r="X288" i="5"/>
  <c r="Y288" i="5"/>
  <c r="Z288" i="5"/>
  <c r="AA288" i="5"/>
  <c r="AB288" i="5"/>
  <c r="AC288" i="5"/>
  <c r="AD288" i="5"/>
  <c r="AE288" i="5"/>
  <c r="AF288" i="5"/>
  <c r="AG288" i="5"/>
  <c r="AH288" i="5"/>
  <c r="AI288" i="5"/>
  <c r="E289" i="5"/>
  <c r="F289" i="5"/>
  <c r="G289" i="5"/>
  <c r="H289" i="5"/>
  <c r="I289" i="5"/>
  <c r="J289" i="5"/>
  <c r="K289" i="5"/>
  <c r="L289" i="5"/>
  <c r="M289" i="5"/>
  <c r="N289" i="5"/>
  <c r="O289" i="5"/>
  <c r="P289" i="5"/>
  <c r="Q289" i="5"/>
  <c r="R289" i="5"/>
  <c r="S289" i="5"/>
  <c r="T289" i="5"/>
  <c r="U289" i="5"/>
  <c r="V289" i="5"/>
  <c r="W289" i="5"/>
  <c r="X289" i="5"/>
  <c r="Y289" i="5"/>
  <c r="Z289" i="5"/>
  <c r="AA289" i="5"/>
  <c r="AB289" i="5"/>
  <c r="AC289" i="5"/>
  <c r="AD289" i="5"/>
  <c r="AE289" i="5"/>
  <c r="AF289" i="5"/>
  <c r="AG289" i="5"/>
  <c r="AH289" i="5"/>
  <c r="AI289" i="5"/>
  <c r="E291" i="5"/>
  <c r="F291" i="5"/>
  <c r="G291" i="5"/>
  <c r="H291" i="5"/>
  <c r="I291" i="5"/>
  <c r="J291" i="5"/>
  <c r="K291" i="5"/>
  <c r="L291" i="5"/>
  <c r="M291" i="5"/>
  <c r="N291" i="5"/>
  <c r="O291" i="5"/>
  <c r="P291" i="5"/>
  <c r="Q291" i="5"/>
  <c r="R291" i="5"/>
  <c r="S291" i="5"/>
  <c r="T291" i="5"/>
  <c r="U291" i="5"/>
  <c r="V291" i="5"/>
  <c r="W291" i="5"/>
  <c r="X291" i="5"/>
  <c r="Y291" i="5"/>
  <c r="Z291" i="5"/>
  <c r="AA291" i="5"/>
  <c r="AB291" i="5"/>
  <c r="AC291" i="5"/>
  <c r="AD291" i="5"/>
  <c r="AE291" i="5"/>
  <c r="AF291" i="5"/>
  <c r="AG291" i="5"/>
  <c r="AH291" i="5"/>
  <c r="AI291" i="5"/>
  <c r="E293" i="5"/>
  <c r="F293" i="5"/>
  <c r="G293" i="5"/>
  <c r="H293" i="5"/>
  <c r="I293" i="5"/>
  <c r="J293" i="5"/>
  <c r="K293" i="5"/>
  <c r="L293" i="5"/>
  <c r="M293" i="5"/>
  <c r="N293" i="5"/>
  <c r="O293" i="5"/>
  <c r="P293" i="5"/>
  <c r="Q293" i="5"/>
  <c r="R293" i="5"/>
  <c r="S293" i="5"/>
  <c r="T293" i="5"/>
  <c r="U293" i="5"/>
  <c r="V293" i="5"/>
  <c r="W293" i="5"/>
  <c r="X293" i="5"/>
  <c r="Y293" i="5"/>
  <c r="Z293" i="5"/>
  <c r="AA293" i="5"/>
  <c r="AB293" i="5"/>
  <c r="AC293" i="5"/>
  <c r="AD293" i="5"/>
  <c r="AE293" i="5"/>
  <c r="AF293" i="5"/>
  <c r="AG293" i="5"/>
  <c r="AH293" i="5"/>
  <c r="AI293" i="5"/>
  <c r="E296" i="5"/>
  <c r="F296" i="5"/>
  <c r="G296" i="5"/>
  <c r="H296" i="5"/>
  <c r="I296" i="5"/>
  <c r="J296" i="5"/>
  <c r="K296" i="5"/>
  <c r="L296" i="5"/>
  <c r="M296" i="5"/>
  <c r="N296" i="5"/>
  <c r="O296" i="5"/>
  <c r="P296" i="5"/>
  <c r="Q296" i="5"/>
  <c r="R296" i="5"/>
  <c r="S296" i="5"/>
  <c r="T296" i="5"/>
  <c r="U296" i="5"/>
  <c r="V296" i="5"/>
  <c r="W296" i="5"/>
  <c r="X296" i="5"/>
  <c r="Y296" i="5"/>
  <c r="Z296" i="5"/>
  <c r="AA296" i="5"/>
  <c r="AB296" i="5"/>
  <c r="AC296" i="5"/>
  <c r="AD296" i="5"/>
  <c r="AE296" i="5"/>
  <c r="AF296" i="5"/>
  <c r="AG296" i="5"/>
  <c r="AH296" i="5"/>
  <c r="AI296" i="5"/>
  <c r="E298" i="5"/>
  <c r="F298" i="5"/>
  <c r="G298" i="5"/>
  <c r="H298" i="5"/>
  <c r="I298" i="5"/>
  <c r="J298" i="5"/>
  <c r="K298" i="5"/>
  <c r="L298" i="5"/>
  <c r="M298" i="5"/>
  <c r="N298" i="5"/>
  <c r="O298" i="5"/>
  <c r="P298" i="5"/>
  <c r="Q298" i="5"/>
  <c r="R298" i="5"/>
  <c r="S298" i="5"/>
  <c r="T298" i="5"/>
  <c r="U298" i="5"/>
  <c r="V298" i="5"/>
  <c r="W298" i="5"/>
  <c r="X298" i="5"/>
  <c r="Y298" i="5"/>
  <c r="Z298" i="5"/>
  <c r="AA298" i="5"/>
  <c r="AB298" i="5"/>
  <c r="AC298" i="5"/>
  <c r="AD298" i="5"/>
  <c r="AE298" i="5"/>
  <c r="AF298" i="5"/>
  <c r="AG298" i="5"/>
  <c r="AH298" i="5"/>
  <c r="AI298" i="5"/>
  <c r="F301" i="5"/>
  <c r="G301" i="5"/>
  <c r="H301" i="5"/>
  <c r="I301" i="5"/>
  <c r="J301" i="5"/>
  <c r="K301" i="5"/>
  <c r="L301" i="5"/>
  <c r="M301" i="5"/>
  <c r="N301" i="5"/>
  <c r="O301" i="5"/>
  <c r="P301" i="5"/>
  <c r="Q301" i="5"/>
  <c r="R301" i="5"/>
  <c r="S301" i="5"/>
  <c r="T301" i="5"/>
  <c r="U301" i="5"/>
  <c r="V301" i="5"/>
  <c r="W301" i="5"/>
  <c r="X301" i="5"/>
  <c r="Y301" i="5"/>
  <c r="Z301" i="5"/>
  <c r="AA301" i="5"/>
  <c r="AB301" i="5"/>
  <c r="AC301" i="5"/>
  <c r="AD301" i="5"/>
  <c r="AE301" i="5"/>
  <c r="AF301" i="5"/>
  <c r="AG301" i="5"/>
  <c r="AH301" i="5"/>
  <c r="AI301" i="5"/>
  <c r="E302" i="5"/>
  <c r="F302" i="5"/>
  <c r="G302" i="5"/>
  <c r="H302" i="5"/>
  <c r="I302" i="5"/>
  <c r="J302" i="5"/>
  <c r="K302" i="5"/>
  <c r="L302" i="5"/>
  <c r="M302" i="5"/>
  <c r="N302" i="5"/>
  <c r="O302" i="5"/>
  <c r="P302" i="5"/>
  <c r="Q302" i="5"/>
  <c r="R302" i="5"/>
  <c r="S302" i="5"/>
  <c r="T302" i="5"/>
  <c r="U302" i="5"/>
  <c r="V302" i="5"/>
  <c r="W302" i="5"/>
  <c r="X302" i="5"/>
  <c r="Y302" i="5"/>
  <c r="Z302" i="5"/>
  <c r="AA302" i="5"/>
  <c r="AB302" i="5"/>
  <c r="AC302" i="5"/>
  <c r="AD302" i="5"/>
  <c r="AE302" i="5"/>
  <c r="AF302" i="5"/>
  <c r="AG302" i="5"/>
  <c r="AH302" i="5"/>
  <c r="AI302" i="5"/>
  <c r="E303" i="5"/>
  <c r="F303" i="5"/>
  <c r="G303" i="5"/>
  <c r="H303" i="5"/>
  <c r="I303" i="5"/>
  <c r="J303" i="5"/>
  <c r="K303" i="5"/>
  <c r="L303" i="5"/>
  <c r="M303" i="5"/>
  <c r="N303" i="5"/>
  <c r="O303" i="5"/>
  <c r="P303" i="5"/>
  <c r="Q303" i="5"/>
  <c r="R303" i="5"/>
  <c r="S303" i="5"/>
  <c r="T303" i="5"/>
  <c r="U303" i="5"/>
  <c r="V303" i="5"/>
  <c r="W303" i="5"/>
  <c r="X303" i="5"/>
  <c r="Y303" i="5"/>
  <c r="Z303" i="5"/>
  <c r="AA303" i="5"/>
  <c r="AB303" i="5"/>
  <c r="AC303" i="5"/>
  <c r="AD303" i="5"/>
  <c r="AE303" i="5"/>
  <c r="AF303" i="5"/>
  <c r="AG303" i="5"/>
  <c r="AH303" i="5"/>
  <c r="AI303" i="5"/>
  <c r="U304" i="5"/>
  <c r="V304" i="5"/>
  <c r="W304" i="5"/>
  <c r="X304" i="5"/>
  <c r="Y304" i="5"/>
  <c r="Z304" i="5"/>
  <c r="AA304" i="5"/>
  <c r="AB304" i="5"/>
  <c r="AC304" i="5"/>
  <c r="AD304" i="5"/>
  <c r="AE304" i="5"/>
  <c r="AF304" i="5"/>
  <c r="AG304" i="5"/>
  <c r="AH304" i="5"/>
  <c r="AI304" i="5"/>
  <c r="E305" i="5"/>
  <c r="F305" i="5"/>
  <c r="G305" i="5"/>
  <c r="H305" i="5"/>
  <c r="I305" i="5"/>
  <c r="J305" i="5"/>
  <c r="K305" i="5"/>
  <c r="L305" i="5"/>
  <c r="M305" i="5"/>
  <c r="N305" i="5"/>
  <c r="O305" i="5"/>
  <c r="P305" i="5"/>
  <c r="Q305" i="5"/>
  <c r="R305" i="5"/>
  <c r="S305" i="5"/>
  <c r="T305" i="5"/>
  <c r="U305" i="5"/>
  <c r="V305" i="5"/>
  <c r="W305" i="5"/>
  <c r="X305" i="5"/>
  <c r="Y305" i="5"/>
  <c r="Z305" i="5"/>
  <c r="AA305" i="5"/>
  <c r="AB305" i="5"/>
  <c r="AC305" i="5"/>
  <c r="AD305" i="5"/>
  <c r="AE305" i="5"/>
  <c r="AF305" i="5"/>
  <c r="AG305" i="5"/>
  <c r="AH305" i="5"/>
  <c r="AI305" i="5"/>
  <c r="E308" i="5"/>
  <c r="F308" i="5"/>
  <c r="G308" i="5"/>
  <c r="H308" i="5"/>
  <c r="I308" i="5"/>
  <c r="J308" i="5"/>
  <c r="K308" i="5"/>
  <c r="L308" i="5"/>
  <c r="M308" i="5"/>
  <c r="N308" i="5"/>
  <c r="O308" i="5"/>
  <c r="P308" i="5"/>
  <c r="Q308" i="5"/>
  <c r="R308" i="5"/>
  <c r="S308" i="5"/>
  <c r="T308" i="5"/>
  <c r="U308" i="5"/>
  <c r="V308" i="5"/>
  <c r="W308" i="5"/>
  <c r="X308" i="5"/>
  <c r="Y308" i="5"/>
  <c r="Z308" i="5"/>
  <c r="AA308" i="5"/>
  <c r="AB308" i="5"/>
  <c r="AC308" i="5"/>
  <c r="AD308" i="5"/>
  <c r="AE308" i="5"/>
  <c r="AF308" i="5"/>
  <c r="AG308" i="5"/>
  <c r="AH308" i="5"/>
  <c r="AI308" i="5"/>
  <c r="E309" i="5"/>
  <c r="F309" i="5"/>
  <c r="G309" i="5"/>
  <c r="H309" i="5"/>
  <c r="I309" i="5"/>
  <c r="J309" i="5"/>
  <c r="K309" i="5"/>
  <c r="L309" i="5"/>
  <c r="M309" i="5"/>
  <c r="N309" i="5"/>
  <c r="O309" i="5"/>
  <c r="P309" i="5"/>
  <c r="Q309" i="5"/>
  <c r="R309" i="5"/>
  <c r="S309" i="5"/>
  <c r="T309" i="5"/>
  <c r="U309" i="5"/>
  <c r="V309" i="5"/>
  <c r="W309" i="5"/>
  <c r="X309" i="5"/>
  <c r="Y309" i="5"/>
  <c r="Z309" i="5"/>
  <c r="AA309" i="5"/>
  <c r="AB309" i="5"/>
  <c r="AC309" i="5"/>
  <c r="AD309" i="5"/>
  <c r="AE309" i="5"/>
  <c r="AF309" i="5"/>
  <c r="AG309" i="5"/>
  <c r="AH309" i="5"/>
  <c r="AI309" i="5"/>
  <c r="E310" i="5"/>
  <c r="F310" i="5"/>
  <c r="G310" i="5"/>
  <c r="H310" i="5"/>
  <c r="I310" i="5"/>
  <c r="J310" i="5"/>
  <c r="K310" i="5"/>
  <c r="L310" i="5"/>
  <c r="M310" i="5"/>
  <c r="N310" i="5"/>
  <c r="O310" i="5"/>
  <c r="P310" i="5"/>
  <c r="Q310" i="5"/>
  <c r="R310" i="5"/>
  <c r="S310" i="5"/>
  <c r="T310" i="5"/>
  <c r="U310" i="5"/>
  <c r="V310" i="5"/>
  <c r="W310" i="5"/>
  <c r="X310" i="5"/>
  <c r="Y310" i="5"/>
  <c r="Z310" i="5"/>
  <c r="AA310" i="5"/>
  <c r="AB310" i="5"/>
  <c r="AC310" i="5"/>
  <c r="AD310" i="5"/>
  <c r="AE310" i="5"/>
  <c r="AF310" i="5"/>
  <c r="AG310" i="5"/>
  <c r="AH310" i="5"/>
  <c r="AI310" i="5"/>
  <c r="E311" i="5"/>
  <c r="F311" i="5"/>
  <c r="G311" i="5"/>
  <c r="H311" i="5"/>
  <c r="I311" i="5"/>
  <c r="J311" i="5"/>
  <c r="K311" i="5"/>
  <c r="L311" i="5"/>
  <c r="M311" i="5"/>
  <c r="N311" i="5"/>
  <c r="O311" i="5"/>
  <c r="P311" i="5"/>
  <c r="Q311" i="5"/>
  <c r="R311" i="5"/>
  <c r="S311" i="5"/>
  <c r="T311" i="5"/>
  <c r="U311" i="5"/>
  <c r="V311" i="5"/>
  <c r="W311" i="5"/>
  <c r="X311" i="5"/>
  <c r="Y311" i="5"/>
  <c r="Z311" i="5"/>
  <c r="AA311" i="5"/>
  <c r="AB311" i="5"/>
  <c r="AC311" i="5"/>
  <c r="AD311" i="5"/>
  <c r="AE311" i="5"/>
  <c r="AF311" i="5"/>
  <c r="AG311" i="5"/>
  <c r="AH311" i="5"/>
  <c r="AI311" i="5"/>
  <c r="E312" i="5"/>
  <c r="F312" i="5"/>
  <c r="G312" i="5"/>
  <c r="H312" i="5"/>
  <c r="I312" i="5"/>
  <c r="J312" i="5"/>
  <c r="K312" i="5"/>
  <c r="L312" i="5"/>
  <c r="M312" i="5"/>
  <c r="N312" i="5"/>
  <c r="O312" i="5"/>
  <c r="P312" i="5"/>
  <c r="Q312" i="5"/>
  <c r="R312" i="5"/>
  <c r="S312" i="5"/>
  <c r="T312" i="5"/>
  <c r="U312" i="5"/>
  <c r="V312" i="5"/>
  <c r="W312" i="5"/>
  <c r="X312" i="5"/>
  <c r="Y312" i="5"/>
  <c r="Z312" i="5"/>
  <c r="AA312" i="5"/>
  <c r="AB312" i="5"/>
  <c r="AC312" i="5"/>
  <c r="AD312" i="5"/>
  <c r="AE312" i="5"/>
  <c r="AF312" i="5"/>
  <c r="AG312" i="5"/>
  <c r="AH312" i="5"/>
  <c r="AI312" i="5"/>
  <c r="E317" i="5"/>
  <c r="F317" i="5"/>
  <c r="G317" i="5"/>
  <c r="H317" i="5"/>
  <c r="I317" i="5"/>
  <c r="J317" i="5"/>
  <c r="K317" i="5"/>
  <c r="L317" i="5"/>
  <c r="M317" i="5"/>
  <c r="N317" i="5"/>
  <c r="O317" i="5"/>
  <c r="P317" i="5"/>
  <c r="Q317" i="5"/>
  <c r="R317" i="5"/>
  <c r="S317" i="5"/>
  <c r="T317" i="5"/>
  <c r="U317" i="5"/>
  <c r="V317" i="5"/>
  <c r="W317" i="5"/>
  <c r="X317" i="5"/>
  <c r="Y317" i="5"/>
  <c r="Z317" i="5"/>
  <c r="AA317" i="5"/>
  <c r="AB317" i="5"/>
  <c r="AC317" i="5"/>
  <c r="AD317" i="5"/>
  <c r="AE317" i="5"/>
  <c r="AF317" i="5"/>
  <c r="AG317" i="5"/>
  <c r="AH317" i="5"/>
  <c r="AI317" i="5"/>
  <c r="E321" i="5"/>
  <c r="F321" i="5"/>
  <c r="G321" i="5"/>
  <c r="H321" i="5"/>
  <c r="I321" i="5"/>
  <c r="J321" i="5"/>
  <c r="K321" i="5"/>
  <c r="L321" i="5"/>
  <c r="M321" i="5"/>
  <c r="N321" i="5"/>
  <c r="O321" i="5"/>
  <c r="P321" i="5"/>
  <c r="Q321" i="5"/>
  <c r="R321" i="5"/>
  <c r="S321" i="5"/>
  <c r="T321" i="5"/>
  <c r="U321" i="5"/>
  <c r="V321" i="5"/>
  <c r="W321" i="5"/>
  <c r="X321" i="5"/>
  <c r="Y321" i="5"/>
  <c r="Z321" i="5"/>
  <c r="AA321" i="5"/>
  <c r="AB321" i="5"/>
  <c r="AC321" i="5"/>
  <c r="AD321" i="5"/>
  <c r="AE321" i="5"/>
  <c r="AF321" i="5"/>
  <c r="AG321" i="5"/>
  <c r="AH321" i="5"/>
  <c r="AI321" i="5"/>
  <c r="F322" i="5"/>
  <c r="G322" i="5"/>
  <c r="H322" i="5"/>
  <c r="I322" i="5"/>
  <c r="J322" i="5"/>
  <c r="K322" i="5"/>
  <c r="L322" i="5"/>
  <c r="M322" i="5"/>
  <c r="N322" i="5"/>
  <c r="O322" i="5"/>
  <c r="P322" i="5"/>
  <c r="Q322" i="5"/>
  <c r="R322" i="5"/>
  <c r="S322" i="5"/>
  <c r="T322" i="5"/>
  <c r="U322" i="5"/>
  <c r="V322" i="5"/>
  <c r="W322" i="5"/>
  <c r="X322" i="5"/>
  <c r="Y322" i="5"/>
  <c r="Z322" i="5"/>
  <c r="AA322" i="5"/>
  <c r="AB322" i="5"/>
  <c r="AC322" i="5"/>
  <c r="AD322" i="5"/>
  <c r="AE322" i="5"/>
  <c r="E323" i="5"/>
  <c r="F323" i="5"/>
  <c r="G323" i="5"/>
  <c r="H323" i="5"/>
  <c r="I323" i="5"/>
  <c r="J323" i="5"/>
  <c r="K323" i="5"/>
  <c r="L323" i="5"/>
  <c r="M323" i="5"/>
  <c r="N323" i="5"/>
  <c r="O323" i="5"/>
  <c r="P323" i="5"/>
  <c r="Q323" i="5"/>
  <c r="R323" i="5"/>
  <c r="S323" i="5"/>
  <c r="T323" i="5"/>
  <c r="U323" i="5"/>
  <c r="V323" i="5"/>
  <c r="W323" i="5"/>
  <c r="X323" i="5"/>
  <c r="Y323" i="5"/>
  <c r="Z323" i="5"/>
  <c r="AA323" i="5"/>
  <c r="AB323" i="5"/>
  <c r="AC323" i="5"/>
  <c r="AD323" i="5"/>
  <c r="AE323" i="5"/>
  <c r="AF323" i="5"/>
  <c r="AG323" i="5"/>
  <c r="AH323" i="5"/>
  <c r="AI323" i="5"/>
  <c r="E324" i="5"/>
  <c r="F324" i="5"/>
  <c r="G324" i="5"/>
  <c r="H324" i="5"/>
  <c r="I324" i="5"/>
  <c r="J324" i="5"/>
  <c r="K324" i="5"/>
  <c r="L324" i="5"/>
  <c r="M324" i="5"/>
  <c r="N324" i="5"/>
  <c r="O324" i="5"/>
  <c r="P324" i="5"/>
  <c r="Q324" i="5"/>
  <c r="R324" i="5"/>
  <c r="S324" i="5"/>
  <c r="T324" i="5"/>
  <c r="U324" i="5"/>
  <c r="V324" i="5"/>
  <c r="W324" i="5"/>
  <c r="X324" i="5"/>
  <c r="Y324" i="5"/>
  <c r="Z324" i="5"/>
  <c r="AA324" i="5"/>
  <c r="AB324" i="5"/>
  <c r="AC324" i="5"/>
  <c r="AD324" i="5"/>
  <c r="AE324" i="5"/>
  <c r="AF324" i="5"/>
  <c r="AG324" i="5"/>
  <c r="AH324" i="5"/>
  <c r="AI324" i="5"/>
  <c r="F325" i="5"/>
  <c r="G325" i="5"/>
  <c r="H325" i="5"/>
  <c r="I325" i="5"/>
  <c r="J325" i="5"/>
  <c r="K325" i="5"/>
  <c r="L325" i="5"/>
  <c r="M325" i="5"/>
  <c r="N325" i="5"/>
  <c r="O325" i="5"/>
  <c r="P325" i="5"/>
  <c r="Q325" i="5"/>
  <c r="R325" i="5"/>
  <c r="S325" i="5"/>
  <c r="T325" i="5"/>
  <c r="U325" i="5"/>
  <c r="V325" i="5"/>
  <c r="W325" i="5"/>
  <c r="X325" i="5"/>
  <c r="Y325" i="5"/>
  <c r="Z325" i="5"/>
  <c r="AA325" i="5"/>
  <c r="AB325" i="5"/>
  <c r="AC325" i="5"/>
  <c r="AD325" i="5"/>
  <c r="AE325" i="5"/>
  <c r="E327" i="5"/>
  <c r="F327" i="5"/>
  <c r="G327" i="5"/>
  <c r="H327" i="5"/>
  <c r="I327" i="5"/>
  <c r="J327" i="5"/>
  <c r="K327" i="5"/>
  <c r="L327" i="5"/>
  <c r="M327" i="5"/>
  <c r="N327" i="5"/>
  <c r="O327" i="5"/>
  <c r="P327" i="5"/>
  <c r="Q327" i="5"/>
  <c r="R327" i="5"/>
  <c r="S327" i="5"/>
  <c r="T327" i="5"/>
  <c r="U327" i="5"/>
  <c r="V327" i="5"/>
  <c r="W327" i="5"/>
  <c r="X327" i="5"/>
  <c r="Y327" i="5"/>
  <c r="Z327" i="5"/>
  <c r="AA327" i="5"/>
  <c r="AB327" i="5"/>
  <c r="AC327" i="5"/>
  <c r="AD327" i="5"/>
  <c r="AE327" i="5"/>
  <c r="AF327" i="5"/>
  <c r="AG327" i="5"/>
  <c r="AH327" i="5"/>
  <c r="AI327" i="5"/>
  <c r="E328" i="5"/>
  <c r="F328" i="5"/>
  <c r="G328" i="5"/>
  <c r="H328" i="5"/>
  <c r="I328" i="5"/>
  <c r="J328" i="5"/>
  <c r="K328" i="5"/>
  <c r="L328" i="5"/>
  <c r="M328" i="5"/>
  <c r="N328" i="5"/>
  <c r="O328" i="5"/>
  <c r="P328" i="5"/>
  <c r="Q328" i="5"/>
  <c r="R328" i="5"/>
  <c r="S328" i="5"/>
  <c r="T328" i="5"/>
  <c r="U328" i="5"/>
  <c r="V328" i="5"/>
  <c r="W328" i="5"/>
  <c r="X328" i="5"/>
  <c r="Y328" i="5"/>
  <c r="Z328" i="5"/>
  <c r="AA328" i="5"/>
  <c r="AB328" i="5"/>
  <c r="AC328" i="5"/>
  <c r="AD328" i="5"/>
  <c r="AE328" i="5"/>
  <c r="AF328" i="5"/>
  <c r="AG328" i="5"/>
  <c r="AH328" i="5"/>
  <c r="AI328" i="5"/>
  <c r="E329" i="5"/>
  <c r="F329" i="5"/>
  <c r="G329" i="5"/>
  <c r="H329" i="5"/>
  <c r="I329" i="5"/>
  <c r="J329" i="5"/>
  <c r="K329" i="5"/>
  <c r="L329" i="5"/>
  <c r="M329" i="5"/>
  <c r="N329" i="5"/>
  <c r="O329" i="5"/>
  <c r="P329" i="5"/>
  <c r="Q329" i="5"/>
  <c r="R329" i="5"/>
  <c r="S329" i="5"/>
  <c r="T329" i="5"/>
  <c r="U329" i="5"/>
  <c r="V329" i="5"/>
  <c r="W329" i="5"/>
  <c r="X329" i="5"/>
  <c r="Y329" i="5"/>
  <c r="Z329" i="5"/>
  <c r="AA329" i="5"/>
  <c r="AB329" i="5"/>
  <c r="AC329" i="5"/>
  <c r="AD329" i="5"/>
  <c r="AE329" i="5"/>
  <c r="AF329" i="5"/>
  <c r="AG329" i="5"/>
  <c r="AH329" i="5"/>
  <c r="AI329" i="5"/>
  <c r="E330" i="5"/>
  <c r="F330" i="5"/>
  <c r="G330" i="5"/>
  <c r="H330" i="5"/>
  <c r="I330" i="5"/>
  <c r="J330" i="5"/>
  <c r="K330" i="5"/>
  <c r="L330" i="5"/>
  <c r="M330" i="5"/>
  <c r="N330" i="5"/>
  <c r="O330" i="5"/>
  <c r="P330" i="5"/>
  <c r="Q330" i="5"/>
  <c r="R330" i="5"/>
  <c r="S330" i="5"/>
  <c r="T330" i="5"/>
  <c r="U330" i="5"/>
  <c r="V330" i="5"/>
  <c r="W330" i="5"/>
  <c r="X330" i="5"/>
  <c r="Y330" i="5"/>
  <c r="Z330" i="5"/>
  <c r="AA330" i="5"/>
  <c r="AB330" i="5"/>
  <c r="AC330" i="5"/>
  <c r="AD330" i="5"/>
  <c r="AE330" i="5"/>
  <c r="AF330" i="5"/>
  <c r="AG330" i="5"/>
  <c r="AH330" i="5"/>
  <c r="AI330" i="5"/>
  <c r="E331" i="5"/>
  <c r="F331" i="5"/>
  <c r="G331" i="5"/>
  <c r="H331" i="5"/>
  <c r="I331" i="5"/>
  <c r="J331" i="5"/>
  <c r="K331" i="5"/>
  <c r="L331" i="5"/>
  <c r="M331" i="5"/>
  <c r="N331" i="5"/>
  <c r="O331" i="5"/>
  <c r="P331" i="5"/>
  <c r="Q331" i="5"/>
  <c r="R331" i="5"/>
  <c r="S331" i="5"/>
  <c r="T331" i="5"/>
  <c r="U331" i="5"/>
  <c r="V331" i="5"/>
  <c r="W331" i="5"/>
  <c r="X331" i="5"/>
  <c r="Y331" i="5"/>
  <c r="Z331" i="5"/>
  <c r="AA331" i="5"/>
  <c r="AB331" i="5"/>
  <c r="AC331" i="5"/>
  <c r="AD331" i="5"/>
  <c r="AE331" i="5"/>
  <c r="AF331" i="5"/>
  <c r="AG331" i="5"/>
  <c r="AH331" i="5"/>
  <c r="AI331" i="5"/>
  <c r="E334" i="5"/>
  <c r="F334" i="5"/>
  <c r="G334" i="5"/>
  <c r="H334" i="5"/>
  <c r="I334" i="5"/>
  <c r="J334" i="5"/>
  <c r="K334" i="5"/>
  <c r="L334" i="5"/>
  <c r="M334" i="5"/>
  <c r="N334" i="5"/>
  <c r="O334" i="5"/>
  <c r="P334" i="5"/>
  <c r="Q334" i="5"/>
  <c r="R334" i="5"/>
  <c r="S334" i="5"/>
  <c r="T334" i="5"/>
  <c r="U334" i="5"/>
  <c r="V334" i="5"/>
  <c r="W334" i="5"/>
  <c r="X334" i="5"/>
  <c r="Y334" i="5"/>
  <c r="Z334" i="5"/>
  <c r="AA334" i="5"/>
  <c r="AB334" i="5"/>
  <c r="AC334" i="5"/>
  <c r="AD334" i="5"/>
  <c r="AE334" i="5"/>
  <c r="AF334" i="5"/>
  <c r="AG334" i="5"/>
  <c r="AH334" i="5"/>
  <c r="AI334" i="5"/>
  <c r="E337" i="5"/>
  <c r="F337" i="5"/>
  <c r="G337" i="5"/>
  <c r="H337" i="5"/>
  <c r="I337" i="5"/>
  <c r="J337" i="5"/>
  <c r="K337" i="5"/>
  <c r="L337" i="5"/>
  <c r="M337" i="5"/>
  <c r="N337" i="5"/>
  <c r="O337" i="5"/>
  <c r="P337" i="5"/>
  <c r="Q337" i="5"/>
  <c r="R337" i="5"/>
  <c r="S337" i="5"/>
  <c r="T337" i="5"/>
  <c r="U337" i="5"/>
  <c r="V337" i="5"/>
  <c r="W337" i="5"/>
  <c r="X337" i="5"/>
  <c r="Y337" i="5"/>
  <c r="Z337" i="5"/>
  <c r="AA337" i="5"/>
  <c r="AB337" i="5"/>
  <c r="AC337" i="5"/>
  <c r="AD337" i="5"/>
  <c r="AE337" i="5"/>
  <c r="AF337" i="5"/>
  <c r="AG337" i="5"/>
  <c r="AH337" i="5"/>
  <c r="AI337" i="5"/>
  <c r="E338" i="5"/>
  <c r="F338" i="5"/>
  <c r="G338" i="5"/>
  <c r="H338" i="5"/>
  <c r="I338" i="5"/>
  <c r="J338" i="5"/>
  <c r="K338" i="5"/>
  <c r="L338" i="5"/>
  <c r="M338" i="5"/>
  <c r="N338" i="5"/>
  <c r="O338" i="5"/>
  <c r="P338" i="5"/>
  <c r="Q338" i="5"/>
  <c r="R338" i="5"/>
  <c r="S338" i="5"/>
  <c r="T338" i="5"/>
  <c r="U338" i="5"/>
  <c r="V338" i="5"/>
  <c r="W338" i="5"/>
  <c r="X338" i="5"/>
  <c r="Y338" i="5"/>
  <c r="Z338" i="5"/>
  <c r="AA338" i="5"/>
  <c r="AB338" i="5"/>
  <c r="AC338" i="5"/>
  <c r="AD338" i="5"/>
  <c r="AE338" i="5"/>
  <c r="AF338" i="5"/>
  <c r="AG338" i="5"/>
  <c r="AH338" i="5"/>
  <c r="AI338" i="5"/>
  <c r="E339" i="5"/>
  <c r="F339" i="5"/>
  <c r="G339" i="5"/>
  <c r="H339" i="5"/>
  <c r="I339" i="5"/>
  <c r="J339" i="5"/>
  <c r="K339" i="5"/>
  <c r="L339" i="5"/>
  <c r="M339" i="5"/>
  <c r="N339" i="5"/>
  <c r="O339" i="5"/>
  <c r="P339" i="5"/>
  <c r="Q339" i="5"/>
  <c r="R339" i="5"/>
  <c r="S339" i="5"/>
  <c r="T339" i="5"/>
  <c r="U339" i="5"/>
  <c r="V339" i="5"/>
  <c r="W339" i="5"/>
  <c r="X339" i="5"/>
  <c r="Y339" i="5"/>
  <c r="Z339" i="5"/>
  <c r="AA339" i="5"/>
  <c r="AB339" i="5"/>
  <c r="AC339" i="5"/>
  <c r="AD339" i="5"/>
  <c r="AE339" i="5"/>
  <c r="AF339" i="5"/>
  <c r="AG339" i="5"/>
  <c r="AH339" i="5"/>
  <c r="AI339" i="5"/>
  <c r="E340" i="5"/>
  <c r="F340" i="5"/>
  <c r="G340" i="5"/>
  <c r="H340" i="5"/>
  <c r="I340" i="5"/>
  <c r="J340" i="5"/>
  <c r="K340" i="5"/>
  <c r="L340" i="5"/>
  <c r="M340" i="5"/>
  <c r="N340" i="5"/>
  <c r="O340" i="5"/>
  <c r="P340" i="5"/>
  <c r="Q340" i="5"/>
  <c r="R340" i="5"/>
  <c r="S340" i="5"/>
  <c r="T340" i="5"/>
  <c r="U340" i="5"/>
  <c r="V340" i="5"/>
  <c r="W340" i="5"/>
  <c r="X340" i="5"/>
  <c r="Y340" i="5"/>
  <c r="Z340" i="5"/>
  <c r="AA340" i="5"/>
  <c r="AB340" i="5"/>
  <c r="AC340" i="5"/>
  <c r="AD340" i="5"/>
  <c r="AE340" i="5"/>
  <c r="AF340" i="5"/>
  <c r="AG340" i="5"/>
  <c r="AH340" i="5"/>
  <c r="AI340" i="5"/>
  <c r="F341" i="5"/>
  <c r="G341" i="5"/>
  <c r="H341" i="5"/>
  <c r="I341" i="5"/>
  <c r="J341" i="5"/>
  <c r="K341" i="5"/>
  <c r="L341" i="5"/>
  <c r="M341" i="5"/>
  <c r="N341" i="5"/>
  <c r="O341" i="5"/>
  <c r="P341" i="5"/>
  <c r="Q341" i="5"/>
  <c r="R341" i="5"/>
  <c r="S341" i="5"/>
  <c r="T341" i="5"/>
  <c r="U341" i="5"/>
  <c r="V341" i="5"/>
  <c r="W341" i="5"/>
  <c r="X341" i="5"/>
  <c r="Y341" i="5"/>
  <c r="Z341" i="5"/>
  <c r="AA341" i="5"/>
  <c r="AB341" i="5"/>
  <c r="AC341" i="5"/>
  <c r="AD341" i="5"/>
  <c r="AE341" i="5"/>
  <c r="AF341" i="5"/>
  <c r="E342" i="5"/>
  <c r="F342" i="5"/>
  <c r="G342" i="5"/>
  <c r="H342" i="5"/>
  <c r="I342" i="5"/>
  <c r="J342" i="5"/>
  <c r="K342" i="5"/>
  <c r="L342" i="5"/>
  <c r="M342" i="5"/>
  <c r="N342" i="5"/>
  <c r="O342" i="5"/>
  <c r="P342" i="5"/>
  <c r="Q342" i="5"/>
  <c r="R342" i="5"/>
  <c r="S342" i="5"/>
  <c r="T342" i="5"/>
  <c r="U342" i="5"/>
  <c r="V342" i="5"/>
  <c r="W342" i="5"/>
  <c r="X342" i="5"/>
  <c r="Y342" i="5"/>
  <c r="Z342" i="5"/>
  <c r="AA342" i="5"/>
  <c r="AB342" i="5"/>
  <c r="AC342" i="5"/>
  <c r="AD342" i="5"/>
  <c r="AE342" i="5"/>
  <c r="AF342" i="5"/>
  <c r="AG342" i="5"/>
  <c r="AH342" i="5"/>
  <c r="AI342" i="5"/>
  <c r="E344" i="5"/>
  <c r="F344" i="5"/>
  <c r="G344" i="5"/>
  <c r="H344" i="5"/>
  <c r="I344" i="5"/>
  <c r="J344" i="5"/>
  <c r="K344" i="5"/>
  <c r="L344" i="5"/>
  <c r="E345" i="5"/>
  <c r="F345" i="5"/>
  <c r="G345" i="5"/>
  <c r="H345" i="5"/>
  <c r="I345" i="5"/>
  <c r="J345" i="5"/>
  <c r="K345" i="5"/>
  <c r="L345" i="5"/>
  <c r="E347" i="5"/>
  <c r="F347" i="5"/>
  <c r="G347" i="5"/>
  <c r="H347" i="5"/>
  <c r="I347" i="5"/>
  <c r="J347" i="5"/>
  <c r="K347" i="5"/>
  <c r="L347" i="5"/>
  <c r="E348" i="5"/>
  <c r="F348" i="5"/>
  <c r="G348" i="5"/>
  <c r="H348" i="5"/>
  <c r="I348" i="5"/>
  <c r="J348" i="5"/>
  <c r="K348" i="5"/>
  <c r="L348" i="5"/>
  <c r="E349" i="5"/>
  <c r="F349" i="5"/>
  <c r="G349" i="5"/>
  <c r="H349" i="5"/>
  <c r="I349" i="5"/>
  <c r="J349" i="5"/>
  <c r="K349" i="5"/>
  <c r="L349" i="5"/>
  <c r="E350" i="5"/>
  <c r="F350" i="5"/>
  <c r="G350" i="5"/>
  <c r="H350" i="5"/>
  <c r="I350" i="5"/>
  <c r="J350" i="5"/>
  <c r="K350" i="5"/>
  <c r="L350" i="5"/>
  <c r="F352" i="5"/>
  <c r="G352" i="5"/>
  <c r="H352" i="5"/>
  <c r="I352" i="5"/>
  <c r="J352" i="5"/>
  <c r="K352" i="5"/>
  <c r="L352" i="5"/>
  <c r="M352" i="5"/>
  <c r="N352" i="5"/>
  <c r="O352" i="5"/>
  <c r="P352" i="5"/>
  <c r="Q352" i="5"/>
  <c r="R352" i="5"/>
  <c r="S352" i="5"/>
  <c r="T352" i="5"/>
  <c r="U352" i="5"/>
  <c r="V352" i="5"/>
  <c r="W352" i="5"/>
  <c r="X352" i="5"/>
  <c r="Y352" i="5"/>
  <c r="Z352" i="5"/>
  <c r="AA352" i="5"/>
  <c r="AB352" i="5"/>
  <c r="AC352" i="5"/>
  <c r="AD352" i="5"/>
  <c r="AE352" i="5"/>
  <c r="AF352" i="5"/>
  <c r="AG352" i="5"/>
  <c r="AH352" i="5"/>
  <c r="AI352" i="5"/>
  <c r="F353" i="5"/>
  <c r="G353" i="5"/>
  <c r="H353" i="5"/>
  <c r="I353" i="5"/>
  <c r="J353" i="5"/>
  <c r="K353" i="5"/>
  <c r="L353" i="5"/>
  <c r="M353" i="5"/>
  <c r="N353" i="5"/>
  <c r="O353" i="5"/>
  <c r="P353" i="5"/>
  <c r="Q353" i="5"/>
  <c r="R353" i="5"/>
  <c r="S353" i="5"/>
  <c r="T353" i="5"/>
  <c r="U353" i="5"/>
  <c r="V353" i="5"/>
  <c r="W353" i="5"/>
  <c r="X353" i="5"/>
  <c r="Y353" i="5"/>
  <c r="Z353" i="5"/>
  <c r="AA353" i="5"/>
  <c r="AB353" i="5"/>
  <c r="AC353" i="5"/>
  <c r="AD353" i="5"/>
  <c r="AE353" i="5"/>
  <c r="AF353" i="5"/>
  <c r="AG353" i="5"/>
  <c r="AH353" i="5"/>
  <c r="AI353" i="5"/>
  <c r="F355" i="5"/>
  <c r="G355" i="5"/>
  <c r="H355" i="5"/>
  <c r="I355" i="5"/>
  <c r="J355" i="5"/>
  <c r="K355" i="5"/>
  <c r="L355" i="5"/>
  <c r="M355" i="5"/>
  <c r="N355" i="5"/>
  <c r="O355" i="5"/>
  <c r="P355" i="5"/>
  <c r="Q355" i="5"/>
  <c r="R355" i="5"/>
  <c r="S355" i="5"/>
  <c r="T355" i="5"/>
  <c r="U355" i="5"/>
  <c r="V355" i="5"/>
  <c r="W355" i="5"/>
  <c r="X355" i="5"/>
  <c r="Y355" i="5"/>
  <c r="Z355" i="5"/>
  <c r="AA355" i="5"/>
  <c r="AB355" i="5"/>
  <c r="AC355" i="5"/>
  <c r="AD355" i="5"/>
  <c r="AE355" i="5"/>
  <c r="AF355" i="5"/>
  <c r="E356" i="5"/>
  <c r="F356" i="5"/>
  <c r="G356" i="5"/>
  <c r="H356" i="5"/>
  <c r="I356" i="5"/>
  <c r="J356" i="5"/>
  <c r="K356" i="5"/>
  <c r="L356" i="5"/>
  <c r="M356" i="5"/>
  <c r="N356" i="5"/>
  <c r="O356" i="5"/>
  <c r="P356" i="5"/>
  <c r="Q356" i="5"/>
  <c r="R356" i="5"/>
  <c r="S356" i="5"/>
  <c r="T356" i="5"/>
  <c r="U356" i="5"/>
  <c r="V356" i="5"/>
  <c r="W356" i="5"/>
  <c r="X356" i="5"/>
  <c r="Y356" i="5"/>
  <c r="Z356" i="5"/>
  <c r="AA356" i="5"/>
  <c r="AB356" i="5"/>
  <c r="AC356" i="5"/>
  <c r="AD356" i="5"/>
  <c r="AE356" i="5"/>
  <c r="AF356" i="5"/>
  <c r="AG356" i="5"/>
  <c r="AH356" i="5"/>
  <c r="AI356" i="5"/>
  <c r="F357" i="5"/>
  <c r="G357" i="5"/>
  <c r="H357" i="5"/>
  <c r="I357" i="5"/>
  <c r="J357" i="5"/>
  <c r="K357" i="5"/>
  <c r="L357" i="5"/>
  <c r="M357" i="5"/>
  <c r="N357" i="5"/>
  <c r="O357" i="5"/>
  <c r="P357" i="5"/>
  <c r="Q357" i="5"/>
  <c r="R357" i="5"/>
  <c r="S357" i="5"/>
  <c r="T357" i="5"/>
  <c r="U357" i="5"/>
  <c r="V357" i="5"/>
  <c r="W357" i="5"/>
  <c r="X357" i="5"/>
  <c r="Y357" i="5"/>
  <c r="Z357" i="5"/>
  <c r="AA357" i="5"/>
  <c r="AB357" i="5"/>
  <c r="AC357" i="5"/>
  <c r="AD357" i="5"/>
  <c r="AE357" i="5"/>
  <c r="E359" i="5"/>
  <c r="F359" i="5"/>
  <c r="G359" i="5"/>
  <c r="H359" i="5"/>
  <c r="I359" i="5"/>
  <c r="J359" i="5"/>
  <c r="K359" i="5"/>
  <c r="L359" i="5"/>
  <c r="M359" i="5"/>
  <c r="N359" i="5"/>
  <c r="O359" i="5"/>
  <c r="P359" i="5"/>
  <c r="Q359" i="5"/>
  <c r="R359" i="5"/>
  <c r="S359" i="5"/>
  <c r="T359" i="5"/>
  <c r="U359" i="5"/>
  <c r="V359" i="5"/>
  <c r="W359" i="5"/>
  <c r="X359" i="5"/>
  <c r="Y359" i="5"/>
  <c r="Z359" i="5"/>
  <c r="AA359" i="5"/>
  <c r="AB359" i="5"/>
  <c r="AC359" i="5"/>
  <c r="AD359" i="5"/>
  <c r="AE359" i="5"/>
  <c r="AF359" i="5"/>
  <c r="AG359" i="5"/>
  <c r="AH359" i="5"/>
  <c r="AI359" i="5"/>
  <c r="F362" i="5"/>
  <c r="G362" i="5"/>
  <c r="H362" i="5"/>
  <c r="I362" i="5"/>
  <c r="J362" i="5"/>
  <c r="K362" i="5"/>
  <c r="L362" i="5"/>
  <c r="M362" i="5"/>
  <c r="N362" i="5"/>
  <c r="O362" i="5"/>
  <c r="P362" i="5"/>
  <c r="Q362" i="5"/>
  <c r="R362" i="5"/>
  <c r="S362" i="5"/>
  <c r="T362" i="5"/>
  <c r="U362" i="5"/>
  <c r="V362" i="5"/>
  <c r="W362" i="5"/>
  <c r="X362" i="5"/>
  <c r="Y362" i="5"/>
  <c r="Z362" i="5"/>
  <c r="AA362" i="5"/>
  <c r="AB362" i="5"/>
  <c r="AC362" i="5"/>
  <c r="AD362" i="5"/>
  <c r="AE362" i="5"/>
  <c r="AF362" i="5"/>
  <c r="AG362" i="5"/>
  <c r="AH362" i="5"/>
  <c r="AI362" i="5"/>
  <c r="E363" i="5"/>
  <c r="F363" i="5"/>
  <c r="G363" i="5"/>
  <c r="H363" i="5"/>
  <c r="I363" i="5"/>
  <c r="J363" i="5"/>
  <c r="K363" i="5"/>
  <c r="L363" i="5"/>
  <c r="M363" i="5"/>
  <c r="N363" i="5"/>
  <c r="O363" i="5"/>
  <c r="P363" i="5"/>
  <c r="Q363" i="5"/>
  <c r="R363" i="5"/>
  <c r="S363" i="5"/>
  <c r="T363" i="5"/>
  <c r="U363" i="5"/>
  <c r="V363" i="5"/>
  <c r="W363" i="5"/>
  <c r="X363" i="5"/>
  <c r="Y363" i="5"/>
  <c r="Z363" i="5"/>
  <c r="AA363" i="5"/>
  <c r="AB363" i="5"/>
  <c r="AC363" i="5"/>
  <c r="AD363" i="5"/>
  <c r="AE363" i="5"/>
  <c r="AF363" i="5"/>
  <c r="AG363" i="5"/>
  <c r="AH363" i="5"/>
  <c r="AI363" i="5"/>
  <c r="E364" i="5"/>
  <c r="F364" i="5"/>
  <c r="G364" i="5"/>
  <c r="H364" i="5"/>
  <c r="I364" i="5"/>
  <c r="J364" i="5"/>
  <c r="K364" i="5"/>
  <c r="L364" i="5"/>
  <c r="M364" i="5"/>
  <c r="N364" i="5"/>
  <c r="O364" i="5"/>
  <c r="P364" i="5"/>
  <c r="Q364" i="5"/>
  <c r="R364" i="5"/>
  <c r="S364" i="5"/>
  <c r="T364" i="5"/>
  <c r="U364" i="5"/>
  <c r="V364" i="5"/>
  <c r="W364" i="5"/>
  <c r="X364" i="5"/>
  <c r="Y364" i="5"/>
  <c r="Z364" i="5"/>
  <c r="AA364" i="5"/>
  <c r="AB364" i="5"/>
  <c r="AC364" i="5"/>
  <c r="AD364" i="5"/>
  <c r="AE364" i="5"/>
  <c r="AF364" i="5"/>
  <c r="AG364" i="5"/>
  <c r="AH364" i="5"/>
  <c r="AI364" i="5"/>
  <c r="F368" i="5"/>
  <c r="G368" i="5"/>
  <c r="H368" i="5"/>
  <c r="I368" i="5"/>
  <c r="J368" i="5"/>
  <c r="K368" i="5"/>
  <c r="L368" i="5"/>
  <c r="M368" i="5"/>
  <c r="N368" i="5"/>
  <c r="O368" i="5"/>
  <c r="P368" i="5"/>
  <c r="Q368" i="5"/>
  <c r="R368" i="5"/>
  <c r="S368" i="5"/>
  <c r="T368" i="5"/>
  <c r="U368" i="5"/>
  <c r="V368" i="5"/>
  <c r="W368" i="5"/>
  <c r="X368" i="5"/>
  <c r="Y368" i="5"/>
  <c r="Z368" i="5"/>
  <c r="AA368" i="5"/>
  <c r="AB368" i="5"/>
  <c r="AC368" i="5"/>
  <c r="AD368" i="5"/>
  <c r="AE368" i="5"/>
  <c r="AF368" i="5"/>
  <c r="AG368" i="5"/>
  <c r="AH368" i="5"/>
  <c r="AI368" i="5"/>
  <c r="F369" i="5"/>
  <c r="G369" i="5"/>
  <c r="H369" i="5"/>
  <c r="I369" i="5"/>
  <c r="J369" i="5"/>
  <c r="K369" i="5"/>
  <c r="L369" i="5"/>
  <c r="M369" i="5"/>
  <c r="N369" i="5"/>
  <c r="O369" i="5"/>
  <c r="P369" i="5"/>
  <c r="Q369" i="5"/>
  <c r="R369" i="5"/>
  <c r="S369" i="5"/>
  <c r="T369" i="5"/>
  <c r="U369" i="5"/>
  <c r="V369" i="5"/>
  <c r="W369" i="5"/>
  <c r="X369" i="5"/>
  <c r="Y369" i="5"/>
  <c r="Z369" i="5"/>
  <c r="AA369" i="5"/>
  <c r="AB369" i="5"/>
  <c r="AC369" i="5"/>
  <c r="AD369" i="5"/>
  <c r="AE369" i="5"/>
  <c r="AF369" i="5"/>
  <c r="AG369" i="5"/>
  <c r="AH369" i="5"/>
  <c r="AI369" i="5"/>
  <c r="F370" i="5"/>
  <c r="G370" i="5"/>
  <c r="H370" i="5"/>
  <c r="I370" i="5"/>
  <c r="J370" i="5"/>
  <c r="K370" i="5"/>
  <c r="L370" i="5"/>
  <c r="M370" i="5"/>
  <c r="N370" i="5"/>
  <c r="O370" i="5"/>
  <c r="P370" i="5"/>
  <c r="Q370" i="5"/>
  <c r="R370" i="5"/>
  <c r="S370" i="5"/>
  <c r="T370" i="5"/>
  <c r="U370" i="5"/>
  <c r="V370" i="5"/>
  <c r="W370" i="5"/>
  <c r="X370" i="5"/>
  <c r="Y370" i="5"/>
  <c r="Z370" i="5"/>
  <c r="AA370" i="5"/>
  <c r="AB370" i="5"/>
  <c r="AC370" i="5"/>
  <c r="AD370" i="5"/>
  <c r="AE370" i="5"/>
  <c r="AF370" i="5"/>
  <c r="AG370" i="5"/>
  <c r="AH370" i="5"/>
  <c r="AI370" i="5"/>
  <c r="E371" i="5"/>
  <c r="F371" i="5"/>
  <c r="G371" i="5"/>
  <c r="H371" i="5"/>
  <c r="I371" i="5"/>
  <c r="J371" i="5"/>
  <c r="K371" i="5"/>
  <c r="L371" i="5"/>
  <c r="M371" i="5"/>
  <c r="N371" i="5"/>
  <c r="O371" i="5"/>
  <c r="P371" i="5"/>
  <c r="Q371" i="5"/>
  <c r="R371" i="5"/>
  <c r="S371" i="5"/>
  <c r="T371" i="5"/>
  <c r="U371" i="5"/>
  <c r="V371" i="5"/>
  <c r="W371" i="5"/>
  <c r="X371" i="5"/>
  <c r="Y371" i="5"/>
  <c r="Z371" i="5"/>
  <c r="AA371" i="5"/>
  <c r="AB371" i="5"/>
  <c r="AC371" i="5"/>
  <c r="AD371" i="5"/>
  <c r="AE371" i="5"/>
  <c r="AF371" i="5"/>
  <c r="AG371" i="5"/>
  <c r="AH371" i="5"/>
  <c r="AI371" i="5"/>
  <c r="F373" i="5"/>
  <c r="G373" i="5"/>
  <c r="H373" i="5"/>
  <c r="I373" i="5"/>
  <c r="J373" i="5"/>
  <c r="K373" i="5"/>
  <c r="L373" i="5"/>
  <c r="M373" i="5"/>
  <c r="N373" i="5"/>
  <c r="O373" i="5"/>
  <c r="P373" i="5"/>
  <c r="Q373" i="5"/>
  <c r="R373" i="5"/>
  <c r="S373" i="5"/>
  <c r="T373" i="5"/>
  <c r="U373" i="5"/>
  <c r="V373" i="5"/>
  <c r="W373" i="5"/>
  <c r="X373" i="5"/>
  <c r="Y373" i="5"/>
  <c r="Z373" i="5"/>
  <c r="AA373" i="5"/>
  <c r="AB373" i="5"/>
  <c r="AC373" i="5"/>
  <c r="AD373" i="5"/>
  <c r="AE373" i="5"/>
  <c r="AF373" i="5"/>
  <c r="AG373" i="5"/>
  <c r="AH373" i="5"/>
  <c r="AI373" i="5"/>
  <c r="E374" i="5"/>
  <c r="F374" i="5"/>
  <c r="G374" i="5"/>
  <c r="H374" i="5"/>
  <c r="I374" i="5"/>
  <c r="J374" i="5"/>
  <c r="K374" i="5"/>
  <c r="L374" i="5"/>
  <c r="M374" i="5"/>
  <c r="N374" i="5"/>
  <c r="O374" i="5"/>
  <c r="P374" i="5"/>
  <c r="Q374" i="5"/>
  <c r="R374" i="5"/>
  <c r="S374" i="5"/>
  <c r="T374" i="5"/>
  <c r="U374" i="5"/>
  <c r="V374" i="5"/>
  <c r="W374" i="5"/>
  <c r="X374" i="5"/>
  <c r="Y374" i="5"/>
  <c r="Z374" i="5"/>
  <c r="AA374" i="5"/>
  <c r="AB374" i="5"/>
  <c r="AC374" i="5"/>
  <c r="AD374" i="5"/>
  <c r="AE374" i="5"/>
  <c r="AF374" i="5"/>
  <c r="AG374" i="5"/>
  <c r="AH374" i="5"/>
  <c r="AI374" i="5"/>
  <c r="E375" i="5"/>
  <c r="F375" i="5"/>
  <c r="G375" i="5"/>
  <c r="H375" i="5"/>
  <c r="I375" i="5"/>
  <c r="J375" i="5"/>
  <c r="K375" i="5"/>
  <c r="L375" i="5"/>
  <c r="M375" i="5"/>
  <c r="N375" i="5"/>
  <c r="O375" i="5"/>
  <c r="P375" i="5"/>
  <c r="Q375" i="5"/>
  <c r="R375" i="5"/>
  <c r="S375" i="5"/>
  <c r="T375" i="5"/>
  <c r="U375" i="5"/>
  <c r="V375" i="5"/>
  <c r="W375" i="5"/>
  <c r="X375" i="5"/>
  <c r="Y375" i="5"/>
  <c r="Z375" i="5"/>
  <c r="AA375" i="5"/>
  <c r="AB375" i="5"/>
  <c r="AC375" i="5"/>
  <c r="AD375" i="5"/>
  <c r="AE375" i="5"/>
  <c r="AF375" i="5"/>
  <c r="AG375" i="5"/>
  <c r="AH375" i="5"/>
  <c r="AI375" i="5"/>
  <c r="E377" i="5"/>
  <c r="F377" i="5"/>
  <c r="G377" i="5"/>
  <c r="H377" i="5"/>
  <c r="I377" i="5"/>
  <c r="J377" i="5"/>
  <c r="K377" i="5"/>
  <c r="L377" i="5"/>
  <c r="M377" i="5"/>
  <c r="N377" i="5"/>
  <c r="O377" i="5"/>
  <c r="P377" i="5"/>
  <c r="Q377" i="5"/>
  <c r="R377" i="5"/>
  <c r="S377" i="5"/>
  <c r="T377" i="5"/>
  <c r="U377" i="5"/>
  <c r="V377" i="5"/>
  <c r="W377" i="5"/>
  <c r="X377" i="5"/>
  <c r="Y377" i="5"/>
  <c r="Z377" i="5"/>
  <c r="AA377" i="5"/>
  <c r="AB377" i="5"/>
  <c r="AC377" i="5"/>
  <c r="AD377" i="5"/>
  <c r="AE377" i="5"/>
  <c r="AF377" i="5"/>
  <c r="AG377" i="5"/>
  <c r="AH377" i="5"/>
  <c r="AI377" i="5"/>
  <c r="E380" i="5"/>
  <c r="F380" i="5"/>
  <c r="G380" i="5"/>
  <c r="H380" i="5"/>
  <c r="I380" i="5"/>
  <c r="J380" i="5"/>
  <c r="K380" i="5"/>
  <c r="L380" i="5"/>
  <c r="M380" i="5"/>
  <c r="N380" i="5"/>
  <c r="O380" i="5"/>
  <c r="P380" i="5"/>
  <c r="Q380" i="5"/>
  <c r="R380" i="5"/>
  <c r="S380" i="5"/>
  <c r="T380" i="5"/>
  <c r="U380" i="5"/>
  <c r="V380" i="5"/>
  <c r="W380" i="5"/>
  <c r="X380" i="5"/>
  <c r="Y380" i="5"/>
  <c r="Z380" i="5"/>
  <c r="AA380" i="5"/>
  <c r="AB380" i="5"/>
  <c r="AC380" i="5"/>
  <c r="AD380" i="5"/>
  <c r="AE380" i="5"/>
  <c r="AF380" i="5"/>
  <c r="AG380" i="5"/>
  <c r="AH380" i="5"/>
  <c r="AI380" i="5"/>
  <c r="E381" i="5"/>
  <c r="F381" i="5"/>
  <c r="G381" i="5"/>
  <c r="H381" i="5"/>
  <c r="I381" i="5"/>
  <c r="J381" i="5"/>
  <c r="K381" i="5"/>
  <c r="L381" i="5"/>
  <c r="M381" i="5"/>
  <c r="N381" i="5"/>
  <c r="O381" i="5"/>
  <c r="P381" i="5"/>
  <c r="Q381" i="5"/>
  <c r="R381" i="5"/>
  <c r="S381" i="5"/>
  <c r="T381" i="5"/>
  <c r="U381" i="5"/>
  <c r="V381" i="5"/>
  <c r="W381" i="5"/>
  <c r="X381" i="5"/>
  <c r="Y381" i="5"/>
  <c r="Z381" i="5"/>
  <c r="AA381" i="5"/>
  <c r="AB381" i="5"/>
  <c r="AC381" i="5"/>
  <c r="AD381" i="5"/>
  <c r="AE381" i="5"/>
  <c r="AF381" i="5"/>
  <c r="AG381" i="5"/>
  <c r="AH381" i="5"/>
  <c r="AI381" i="5"/>
  <c r="E383" i="5"/>
  <c r="F383" i="5"/>
  <c r="G383" i="5"/>
  <c r="H383" i="5"/>
  <c r="I383" i="5"/>
  <c r="J383" i="5"/>
  <c r="K383" i="5"/>
  <c r="L383" i="5"/>
  <c r="M383" i="5"/>
  <c r="N383" i="5"/>
  <c r="O383" i="5"/>
  <c r="P383" i="5"/>
  <c r="Q383" i="5"/>
  <c r="R383" i="5"/>
  <c r="S383" i="5"/>
  <c r="T383" i="5"/>
  <c r="U383" i="5"/>
  <c r="V383" i="5"/>
  <c r="W383" i="5"/>
  <c r="X383" i="5"/>
  <c r="Y383" i="5"/>
  <c r="Z383" i="5"/>
  <c r="AA383" i="5"/>
  <c r="AB383" i="5"/>
  <c r="AC383" i="5"/>
  <c r="AD383" i="5"/>
  <c r="AE383" i="5"/>
  <c r="AF383" i="5"/>
  <c r="AG383" i="5"/>
  <c r="AH383" i="5"/>
  <c r="AI383" i="5"/>
  <c r="E384" i="5"/>
  <c r="F384" i="5"/>
  <c r="G384" i="5"/>
  <c r="H384" i="5"/>
  <c r="I384" i="5"/>
  <c r="J384" i="5"/>
  <c r="K384" i="5"/>
  <c r="L384" i="5"/>
  <c r="M384" i="5"/>
  <c r="N384" i="5"/>
  <c r="O384" i="5"/>
  <c r="P384" i="5"/>
  <c r="Q384" i="5"/>
  <c r="R384" i="5"/>
  <c r="S384" i="5"/>
  <c r="T384" i="5"/>
  <c r="U384" i="5"/>
  <c r="V384" i="5"/>
  <c r="W384" i="5"/>
  <c r="X384" i="5"/>
  <c r="Y384" i="5"/>
  <c r="Z384" i="5"/>
  <c r="AA384" i="5"/>
  <c r="AB384" i="5"/>
  <c r="AC384" i="5"/>
  <c r="AD384" i="5"/>
  <c r="AE384" i="5"/>
  <c r="AF384" i="5"/>
  <c r="AG384" i="5"/>
  <c r="AH384" i="5"/>
  <c r="AI384" i="5"/>
  <c r="E385" i="5"/>
  <c r="F385" i="5"/>
  <c r="G385" i="5"/>
  <c r="H385" i="5"/>
  <c r="I385" i="5"/>
  <c r="J385" i="5"/>
  <c r="K385" i="5"/>
  <c r="L385" i="5"/>
  <c r="M385" i="5"/>
  <c r="N385" i="5"/>
  <c r="O385" i="5"/>
  <c r="P385" i="5"/>
  <c r="Q385" i="5"/>
  <c r="R385" i="5"/>
  <c r="S385" i="5"/>
  <c r="T385" i="5"/>
  <c r="U385" i="5"/>
  <c r="V385" i="5"/>
  <c r="W385" i="5"/>
  <c r="X385" i="5"/>
  <c r="Y385" i="5"/>
  <c r="Z385" i="5"/>
  <c r="AA385" i="5"/>
  <c r="AB385" i="5"/>
  <c r="AC385" i="5"/>
  <c r="AD385" i="5"/>
  <c r="AE385" i="5"/>
  <c r="AF385" i="5"/>
  <c r="AG385" i="5"/>
  <c r="AH385" i="5"/>
  <c r="AI385" i="5"/>
  <c r="F387" i="5"/>
  <c r="G387" i="5"/>
  <c r="H387" i="5"/>
  <c r="I387" i="5"/>
  <c r="J387" i="5"/>
  <c r="K387" i="5"/>
  <c r="L387" i="5"/>
  <c r="M387" i="5"/>
  <c r="N387" i="5"/>
  <c r="O387" i="5"/>
  <c r="P387" i="5"/>
  <c r="Q387" i="5"/>
  <c r="R387" i="5"/>
  <c r="S387" i="5"/>
  <c r="T387" i="5"/>
  <c r="U387" i="5"/>
  <c r="V387" i="5"/>
  <c r="W387" i="5"/>
  <c r="X387" i="5"/>
  <c r="Y387" i="5"/>
  <c r="Z387" i="5"/>
  <c r="AA387" i="5"/>
  <c r="AB387" i="5"/>
  <c r="AC387" i="5"/>
  <c r="AD387" i="5"/>
  <c r="AE387" i="5"/>
  <c r="AF387" i="5"/>
  <c r="AG387" i="5"/>
  <c r="AH387" i="5"/>
  <c r="AI387" i="5"/>
  <c r="E390" i="5"/>
  <c r="F390" i="5"/>
  <c r="G390" i="5"/>
  <c r="H390" i="5"/>
  <c r="I390" i="5"/>
  <c r="J390" i="5"/>
  <c r="K390" i="5"/>
  <c r="L390" i="5"/>
  <c r="M390" i="5"/>
  <c r="N390" i="5"/>
  <c r="O390" i="5"/>
  <c r="P390" i="5"/>
  <c r="Q390" i="5"/>
  <c r="R390" i="5"/>
  <c r="S390" i="5"/>
  <c r="T390" i="5"/>
  <c r="U390" i="5"/>
  <c r="V390" i="5"/>
  <c r="W390" i="5"/>
  <c r="X390" i="5"/>
  <c r="Y390" i="5"/>
  <c r="Z390" i="5"/>
  <c r="AA390" i="5"/>
  <c r="AB390" i="5"/>
  <c r="AC390" i="5"/>
  <c r="AD390" i="5"/>
  <c r="AE390" i="5"/>
  <c r="AF390" i="5"/>
  <c r="AG390" i="5"/>
  <c r="AH390" i="5"/>
  <c r="AI390" i="5"/>
  <c r="E392" i="5"/>
  <c r="F392" i="5"/>
  <c r="G392" i="5"/>
  <c r="H392" i="5"/>
  <c r="I392" i="5"/>
  <c r="J392" i="5"/>
  <c r="K392" i="5"/>
  <c r="L392" i="5"/>
  <c r="M392" i="5"/>
  <c r="N392" i="5"/>
  <c r="O392" i="5"/>
  <c r="P392" i="5"/>
  <c r="Q392" i="5"/>
  <c r="R392" i="5"/>
  <c r="S392" i="5"/>
  <c r="T392" i="5"/>
  <c r="U392" i="5"/>
  <c r="V392" i="5"/>
  <c r="W392" i="5"/>
  <c r="X392" i="5"/>
  <c r="Y392" i="5"/>
  <c r="Z392" i="5"/>
  <c r="AA392" i="5"/>
  <c r="AB392" i="5"/>
  <c r="AC392" i="5"/>
  <c r="AD392" i="5"/>
  <c r="AE392" i="5"/>
  <c r="AF392" i="5"/>
  <c r="AG392" i="5"/>
  <c r="AH392" i="5"/>
  <c r="AI392" i="5"/>
  <c r="E395" i="5"/>
  <c r="F395" i="5"/>
  <c r="G395" i="5"/>
  <c r="H395" i="5"/>
  <c r="I395" i="5"/>
  <c r="J395" i="5"/>
  <c r="K395" i="5"/>
  <c r="L395" i="5"/>
  <c r="M395" i="5"/>
  <c r="N395" i="5"/>
  <c r="O395" i="5"/>
  <c r="P395" i="5"/>
  <c r="Q395" i="5"/>
  <c r="R395" i="5"/>
  <c r="S395" i="5"/>
  <c r="T395" i="5"/>
  <c r="U395" i="5"/>
  <c r="V395" i="5"/>
  <c r="W395" i="5"/>
  <c r="X395" i="5"/>
  <c r="Y395" i="5"/>
  <c r="Z395" i="5"/>
  <c r="AA395" i="5"/>
  <c r="AB395" i="5"/>
  <c r="AC395" i="5"/>
  <c r="AD395" i="5"/>
  <c r="AE395" i="5"/>
  <c r="AF395" i="5"/>
  <c r="AG395" i="5"/>
  <c r="AH395" i="5"/>
  <c r="AI395" i="5"/>
  <c r="F396" i="5"/>
  <c r="G396" i="5"/>
  <c r="H396" i="5"/>
  <c r="I396" i="5"/>
  <c r="J396" i="5"/>
  <c r="K396" i="5"/>
  <c r="L396" i="5"/>
  <c r="M396" i="5"/>
  <c r="N396" i="5"/>
  <c r="O396" i="5"/>
  <c r="P396" i="5"/>
  <c r="Q396" i="5"/>
  <c r="R396" i="5"/>
  <c r="S396" i="5"/>
  <c r="T396" i="5"/>
  <c r="U396" i="5"/>
  <c r="V396" i="5"/>
  <c r="W396" i="5"/>
  <c r="X396" i="5"/>
  <c r="Y396" i="5"/>
  <c r="Z396" i="5"/>
  <c r="AA396" i="5"/>
  <c r="AB396" i="5"/>
  <c r="AC396" i="5"/>
  <c r="AD396" i="5"/>
  <c r="AE396" i="5"/>
  <c r="E397" i="5"/>
  <c r="F397" i="5"/>
  <c r="G397" i="5"/>
  <c r="H397" i="5"/>
  <c r="I397" i="5"/>
  <c r="J397" i="5"/>
  <c r="K397" i="5"/>
  <c r="L397" i="5"/>
  <c r="M397" i="5"/>
  <c r="N397" i="5"/>
  <c r="O397" i="5"/>
  <c r="P397" i="5"/>
  <c r="Q397" i="5"/>
  <c r="R397" i="5"/>
  <c r="S397" i="5"/>
  <c r="T397" i="5"/>
  <c r="U397" i="5"/>
  <c r="V397" i="5"/>
  <c r="W397" i="5"/>
  <c r="X397" i="5"/>
  <c r="Y397" i="5"/>
  <c r="Z397" i="5"/>
  <c r="AA397" i="5"/>
  <c r="AB397" i="5"/>
  <c r="AC397" i="5"/>
  <c r="AD397" i="5"/>
  <c r="AE397" i="5"/>
  <c r="AF397" i="5"/>
  <c r="AG397" i="5"/>
  <c r="AH397" i="5"/>
  <c r="AI397" i="5"/>
  <c r="E398" i="5"/>
  <c r="F398" i="5"/>
  <c r="G398" i="5"/>
  <c r="H398" i="5"/>
  <c r="I398" i="5"/>
  <c r="J398" i="5"/>
  <c r="K398" i="5"/>
  <c r="L398" i="5"/>
  <c r="M398" i="5"/>
  <c r="N398" i="5"/>
  <c r="O398" i="5"/>
  <c r="P398" i="5"/>
  <c r="Q398" i="5"/>
  <c r="R398" i="5"/>
  <c r="S398" i="5"/>
  <c r="T398" i="5"/>
  <c r="U398" i="5"/>
  <c r="V398" i="5"/>
  <c r="W398" i="5"/>
  <c r="X398" i="5"/>
  <c r="Y398" i="5"/>
  <c r="Z398" i="5"/>
  <c r="AA398" i="5"/>
  <c r="AB398" i="5"/>
  <c r="AC398" i="5"/>
  <c r="AD398" i="5"/>
  <c r="AE398" i="5"/>
  <c r="AF398" i="5"/>
  <c r="AG398" i="5"/>
  <c r="AH398" i="5"/>
  <c r="AI398" i="5"/>
  <c r="E400" i="5"/>
  <c r="F400" i="5"/>
  <c r="G400" i="5"/>
  <c r="H400" i="5"/>
  <c r="I400" i="5"/>
  <c r="J400" i="5"/>
  <c r="K400" i="5"/>
  <c r="L400" i="5"/>
  <c r="M400" i="5"/>
  <c r="N400" i="5"/>
  <c r="O400" i="5"/>
  <c r="P400" i="5"/>
  <c r="Q400" i="5"/>
  <c r="R400" i="5"/>
  <c r="S400" i="5"/>
  <c r="T400" i="5"/>
  <c r="U400" i="5"/>
  <c r="V400" i="5"/>
  <c r="W400" i="5"/>
  <c r="X400" i="5"/>
  <c r="Y400" i="5"/>
  <c r="Z400" i="5"/>
  <c r="AA400" i="5"/>
  <c r="AB400" i="5"/>
  <c r="AC400" i="5"/>
  <c r="AD400" i="5"/>
  <c r="AE400" i="5"/>
  <c r="AF400" i="5"/>
  <c r="AG400" i="5"/>
  <c r="AH400" i="5"/>
  <c r="AI400" i="5"/>
  <c r="F401" i="5"/>
  <c r="G401" i="5"/>
  <c r="H401" i="5"/>
  <c r="I401" i="5"/>
  <c r="J401" i="5"/>
  <c r="K401" i="5"/>
  <c r="L401" i="5"/>
  <c r="M401" i="5"/>
  <c r="N401" i="5"/>
  <c r="O401" i="5"/>
  <c r="P401" i="5"/>
  <c r="Q401" i="5"/>
  <c r="R401" i="5"/>
  <c r="S401" i="5"/>
  <c r="T401" i="5"/>
  <c r="U401" i="5"/>
  <c r="V401" i="5"/>
  <c r="W401" i="5"/>
  <c r="X401" i="5"/>
  <c r="Y401" i="5"/>
  <c r="Z401" i="5"/>
  <c r="AA401" i="5"/>
  <c r="AB401" i="5"/>
  <c r="AC401" i="5"/>
  <c r="AD401" i="5"/>
  <c r="AE401" i="5"/>
  <c r="AF401" i="5"/>
  <c r="AG401" i="5"/>
  <c r="AH401" i="5"/>
  <c r="AI401" i="5"/>
  <c r="E402" i="5"/>
  <c r="F402" i="5"/>
  <c r="G402" i="5"/>
  <c r="H402" i="5"/>
  <c r="I402" i="5"/>
  <c r="J402" i="5"/>
  <c r="K402" i="5"/>
  <c r="L402" i="5"/>
  <c r="M402" i="5"/>
  <c r="N402" i="5"/>
  <c r="O402" i="5"/>
  <c r="P402" i="5"/>
  <c r="Q402" i="5"/>
  <c r="R402" i="5"/>
  <c r="S402" i="5"/>
  <c r="T402" i="5"/>
  <c r="U402" i="5"/>
  <c r="V402" i="5"/>
  <c r="W402" i="5"/>
  <c r="X402" i="5"/>
  <c r="Y402" i="5"/>
  <c r="Z402" i="5"/>
  <c r="AA402" i="5"/>
  <c r="AB402" i="5"/>
  <c r="AC402" i="5"/>
  <c r="AD402" i="5"/>
  <c r="AE402" i="5"/>
  <c r="AF402" i="5"/>
  <c r="AG402" i="5"/>
  <c r="AH402" i="5"/>
  <c r="AI402" i="5"/>
  <c r="E404" i="5"/>
  <c r="F404" i="5"/>
  <c r="G404" i="5"/>
  <c r="H404" i="5"/>
  <c r="I404" i="5"/>
  <c r="J404" i="5"/>
  <c r="K404" i="5"/>
  <c r="L404" i="5"/>
  <c r="M404" i="5"/>
  <c r="N404" i="5"/>
  <c r="O404" i="5"/>
  <c r="P404" i="5"/>
  <c r="Q404" i="5"/>
  <c r="R404" i="5"/>
  <c r="S404" i="5"/>
  <c r="T404" i="5"/>
  <c r="U404" i="5"/>
  <c r="V404" i="5"/>
  <c r="W404" i="5"/>
  <c r="X404" i="5"/>
  <c r="Y404" i="5"/>
  <c r="Z404" i="5"/>
  <c r="AA404" i="5"/>
  <c r="AB404" i="5"/>
  <c r="AC404" i="5"/>
  <c r="AD404" i="5"/>
  <c r="AE404" i="5"/>
  <c r="AF404" i="5"/>
  <c r="AG404" i="5"/>
  <c r="AH404" i="5"/>
  <c r="AI404" i="5"/>
  <c r="D405" i="5"/>
  <c r="E409" i="5"/>
  <c r="F409" i="5"/>
  <c r="G409" i="5"/>
  <c r="H409" i="5"/>
  <c r="I409" i="5"/>
  <c r="J409" i="5"/>
  <c r="K409" i="5"/>
  <c r="L409" i="5"/>
  <c r="M409" i="5"/>
  <c r="N409" i="5"/>
  <c r="O409" i="5"/>
  <c r="P409" i="5"/>
  <c r="Q409" i="5"/>
  <c r="R409" i="5"/>
  <c r="S409" i="5"/>
  <c r="T409" i="5"/>
  <c r="U409" i="5"/>
  <c r="V409" i="5"/>
  <c r="W409" i="5"/>
  <c r="X409" i="5"/>
  <c r="Y409" i="5"/>
  <c r="Z409" i="5"/>
  <c r="AA409" i="5"/>
  <c r="AB409" i="5"/>
  <c r="AC409" i="5"/>
  <c r="AD409" i="5"/>
  <c r="AE409" i="5"/>
  <c r="AF409" i="5"/>
  <c r="AG409" i="5"/>
  <c r="AH409" i="5"/>
  <c r="AI409" i="5"/>
  <c r="F410" i="5"/>
  <c r="G410" i="5"/>
  <c r="H410" i="5"/>
  <c r="I410" i="5"/>
  <c r="J410" i="5"/>
  <c r="K410" i="5"/>
  <c r="L410" i="5"/>
  <c r="M410" i="5"/>
  <c r="N410" i="5"/>
  <c r="O410" i="5"/>
  <c r="P410" i="5"/>
  <c r="Q410" i="5"/>
  <c r="R410" i="5"/>
  <c r="S410" i="5"/>
  <c r="T410" i="5"/>
  <c r="U410" i="5"/>
  <c r="V410" i="5"/>
  <c r="W410" i="5"/>
  <c r="X410" i="5"/>
  <c r="Y410" i="5"/>
  <c r="Z410" i="5"/>
  <c r="AA410" i="5"/>
  <c r="AB410" i="5"/>
  <c r="AC410" i="5"/>
  <c r="AD410" i="5"/>
  <c r="AE410" i="5"/>
  <c r="E411" i="5"/>
  <c r="F411" i="5"/>
  <c r="G411" i="5"/>
  <c r="H411" i="5"/>
  <c r="I411" i="5"/>
  <c r="J411" i="5"/>
  <c r="K411" i="5"/>
  <c r="L411" i="5"/>
  <c r="M411" i="5"/>
  <c r="N411" i="5"/>
  <c r="O411" i="5"/>
  <c r="P411" i="5"/>
  <c r="Q411" i="5"/>
  <c r="R411" i="5"/>
  <c r="S411" i="5"/>
  <c r="T411" i="5"/>
  <c r="U411" i="5"/>
  <c r="V411" i="5"/>
  <c r="W411" i="5"/>
  <c r="X411" i="5"/>
  <c r="Y411" i="5"/>
  <c r="Z411" i="5"/>
  <c r="AA411" i="5"/>
  <c r="AB411" i="5"/>
  <c r="AC411" i="5"/>
  <c r="AD411" i="5"/>
  <c r="AE411" i="5"/>
  <c r="AF411" i="5"/>
  <c r="AG411" i="5"/>
  <c r="AH411" i="5"/>
  <c r="AI411" i="5"/>
  <c r="E412" i="5"/>
  <c r="F412" i="5"/>
  <c r="G412" i="5"/>
  <c r="H412" i="5"/>
  <c r="I412" i="5"/>
  <c r="J412" i="5"/>
  <c r="K412" i="5"/>
  <c r="L412" i="5"/>
  <c r="M412" i="5"/>
  <c r="N412" i="5"/>
  <c r="O412" i="5"/>
  <c r="P412" i="5"/>
  <c r="Q412" i="5"/>
  <c r="R412" i="5"/>
  <c r="S412" i="5"/>
  <c r="T412" i="5"/>
  <c r="U412" i="5"/>
  <c r="V412" i="5"/>
  <c r="W412" i="5"/>
  <c r="X412" i="5"/>
  <c r="Y412" i="5"/>
  <c r="Z412" i="5"/>
  <c r="AA412" i="5"/>
  <c r="AB412" i="5"/>
  <c r="AC412" i="5"/>
  <c r="AD412" i="5"/>
  <c r="AE412" i="5"/>
  <c r="AF412" i="5"/>
  <c r="AG412" i="5"/>
  <c r="AH412" i="5"/>
  <c r="AI412" i="5"/>
  <c r="F413" i="5"/>
  <c r="G413" i="5"/>
  <c r="H413" i="5"/>
  <c r="I413" i="5"/>
  <c r="J413" i="5"/>
  <c r="K413" i="5"/>
  <c r="L413" i="5"/>
  <c r="M413" i="5"/>
  <c r="N413" i="5"/>
  <c r="O413" i="5"/>
  <c r="P413" i="5"/>
  <c r="Q413" i="5"/>
  <c r="R413" i="5"/>
  <c r="S413" i="5"/>
  <c r="T413" i="5"/>
  <c r="U413" i="5"/>
  <c r="V413" i="5"/>
  <c r="W413" i="5"/>
  <c r="X413" i="5"/>
  <c r="Y413" i="5"/>
  <c r="Z413" i="5"/>
  <c r="AA413" i="5"/>
  <c r="AB413" i="5"/>
  <c r="AC413" i="5"/>
  <c r="AD413" i="5"/>
  <c r="AE413" i="5"/>
  <c r="F415" i="5"/>
  <c r="G415" i="5"/>
  <c r="H415" i="5"/>
  <c r="I415" i="5"/>
  <c r="J415" i="5"/>
  <c r="K415" i="5"/>
  <c r="L415" i="5"/>
  <c r="M415" i="5"/>
  <c r="N415" i="5"/>
  <c r="O415" i="5"/>
  <c r="P415" i="5"/>
  <c r="Q415" i="5"/>
  <c r="R415" i="5"/>
  <c r="S415" i="5"/>
  <c r="T415" i="5"/>
  <c r="U415" i="5"/>
  <c r="V415" i="5"/>
  <c r="W415" i="5"/>
  <c r="X415" i="5"/>
  <c r="Y415" i="5"/>
  <c r="Z415" i="5"/>
  <c r="AA415" i="5"/>
  <c r="AB415" i="5"/>
  <c r="AC415" i="5"/>
  <c r="AD415" i="5"/>
  <c r="AE415" i="5"/>
  <c r="AF415" i="5"/>
  <c r="E416" i="5"/>
  <c r="F416" i="5"/>
  <c r="G416" i="5"/>
  <c r="H416" i="5"/>
  <c r="I416" i="5"/>
  <c r="J416" i="5"/>
  <c r="K416" i="5"/>
  <c r="L416" i="5"/>
  <c r="AE417" i="5"/>
  <c r="AE418" i="5"/>
  <c r="E419" i="5"/>
  <c r="F419" i="5"/>
  <c r="G419" i="5"/>
  <c r="H419" i="5"/>
  <c r="I419" i="5"/>
  <c r="J419" i="5"/>
  <c r="K419" i="5"/>
  <c r="L419" i="5"/>
  <c r="M419" i="5"/>
  <c r="N419" i="5"/>
  <c r="O419" i="5"/>
  <c r="P419" i="5"/>
  <c r="Q419" i="5"/>
  <c r="R419" i="5"/>
  <c r="S419" i="5"/>
  <c r="T419" i="5"/>
  <c r="U419" i="5"/>
  <c r="V419" i="5"/>
  <c r="W419" i="5"/>
  <c r="X419" i="5"/>
  <c r="Y419" i="5"/>
  <c r="Z419" i="5"/>
  <c r="AA419" i="5"/>
  <c r="AB419" i="5"/>
  <c r="AC419" i="5"/>
  <c r="AD419" i="5"/>
  <c r="AE419" i="5"/>
  <c r="E420" i="5"/>
  <c r="F420" i="5"/>
  <c r="G420" i="5"/>
  <c r="H420" i="5"/>
  <c r="I420" i="5"/>
  <c r="J420" i="5"/>
  <c r="K420" i="5"/>
  <c r="L420" i="5"/>
  <c r="M420" i="5"/>
  <c r="N420" i="5"/>
  <c r="O420" i="5"/>
  <c r="P420" i="5"/>
  <c r="Q420" i="5"/>
  <c r="R420" i="5"/>
  <c r="S420" i="5"/>
  <c r="T420" i="5"/>
  <c r="U420" i="5"/>
  <c r="V420" i="5"/>
  <c r="W420" i="5"/>
  <c r="X420" i="5"/>
  <c r="Y420" i="5"/>
  <c r="Z420" i="5"/>
  <c r="AA420" i="5"/>
  <c r="AB420" i="5"/>
  <c r="AC420" i="5"/>
  <c r="AD420" i="5"/>
  <c r="AE420" i="5"/>
  <c r="D421" i="5"/>
  <c r="D422" i="5"/>
  <c r="E425" i="5"/>
  <c r="F425" i="5"/>
  <c r="G425" i="5"/>
  <c r="H425" i="5"/>
  <c r="I425" i="5"/>
  <c r="J425" i="5"/>
  <c r="K425" i="5"/>
  <c r="L425" i="5"/>
  <c r="M425" i="5"/>
  <c r="N425" i="5"/>
  <c r="O425" i="5"/>
  <c r="P425" i="5"/>
  <c r="Q425" i="5"/>
  <c r="R425" i="5"/>
  <c r="S425" i="5"/>
  <c r="T425" i="5"/>
  <c r="U425" i="5"/>
  <c r="V425" i="5"/>
  <c r="W425" i="5"/>
  <c r="X425" i="5"/>
  <c r="Y425" i="5"/>
  <c r="Z425" i="5"/>
  <c r="AA425" i="5"/>
  <c r="AB425" i="5"/>
  <c r="AC425" i="5"/>
  <c r="AD425" i="5"/>
  <c r="AE425" i="5"/>
  <c r="AF425" i="5"/>
  <c r="AG425" i="5"/>
  <c r="AH425" i="5"/>
  <c r="AI425" i="5"/>
  <c r="F426" i="5"/>
  <c r="G426" i="5"/>
  <c r="H426" i="5"/>
  <c r="I426" i="5"/>
  <c r="J426" i="5"/>
  <c r="K426" i="5"/>
  <c r="L426" i="5"/>
  <c r="M426" i="5"/>
  <c r="N426" i="5"/>
  <c r="O426" i="5"/>
  <c r="P426" i="5"/>
  <c r="Q426" i="5"/>
  <c r="R426" i="5"/>
  <c r="S426" i="5"/>
  <c r="T426" i="5"/>
  <c r="U426" i="5"/>
  <c r="V426" i="5"/>
  <c r="W426" i="5"/>
  <c r="X426" i="5"/>
  <c r="Y426" i="5"/>
  <c r="Z426" i="5"/>
  <c r="AA426" i="5"/>
  <c r="AB426" i="5"/>
  <c r="AC426" i="5"/>
  <c r="AD426" i="5"/>
  <c r="AE426" i="5"/>
  <c r="F427" i="5"/>
  <c r="G427" i="5"/>
  <c r="H427" i="5"/>
  <c r="I427" i="5"/>
  <c r="J427" i="5"/>
  <c r="K427" i="5"/>
  <c r="L427" i="5"/>
  <c r="M427" i="5"/>
  <c r="N427" i="5"/>
  <c r="O427" i="5"/>
  <c r="P427" i="5"/>
  <c r="Q427" i="5"/>
  <c r="R427" i="5"/>
  <c r="S427" i="5"/>
  <c r="T427" i="5"/>
  <c r="U427" i="5"/>
  <c r="V427" i="5"/>
  <c r="W427" i="5"/>
  <c r="X427" i="5"/>
  <c r="Y427" i="5"/>
  <c r="Z427" i="5"/>
  <c r="AA427" i="5"/>
  <c r="AB427" i="5"/>
  <c r="AC427" i="5"/>
  <c r="AD427" i="5"/>
  <c r="AE427" i="5"/>
  <c r="AF427" i="5"/>
  <c r="AG427" i="5"/>
  <c r="AH427" i="5"/>
  <c r="AI427" i="5"/>
  <c r="F428" i="5"/>
  <c r="G428" i="5"/>
  <c r="H428" i="5"/>
  <c r="I428" i="5"/>
  <c r="J428" i="5"/>
  <c r="K428" i="5"/>
  <c r="L428" i="5"/>
  <c r="M428" i="5"/>
  <c r="N428" i="5"/>
  <c r="O428" i="5"/>
  <c r="P428" i="5"/>
  <c r="Q428" i="5"/>
  <c r="R428" i="5"/>
  <c r="S428" i="5"/>
  <c r="T428" i="5"/>
  <c r="U428" i="5"/>
  <c r="V428" i="5"/>
  <c r="W428" i="5"/>
  <c r="X428" i="5"/>
  <c r="Y428" i="5"/>
  <c r="Z428" i="5"/>
  <c r="AA428" i="5"/>
  <c r="AB428" i="5"/>
  <c r="AC428" i="5"/>
  <c r="AD428" i="5"/>
  <c r="AE428" i="5"/>
  <c r="AF428" i="5"/>
  <c r="E429" i="5"/>
  <c r="F429" i="5"/>
  <c r="G429" i="5"/>
  <c r="H429" i="5"/>
  <c r="I429" i="5"/>
  <c r="J429" i="5"/>
  <c r="K429" i="5"/>
  <c r="L429" i="5"/>
  <c r="E430" i="5"/>
  <c r="F430" i="5"/>
  <c r="G430" i="5"/>
  <c r="H430" i="5"/>
  <c r="I430" i="5"/>
  <c r="J430" i="5"/>
  <c r="K430" i="5"/>
  <c r="L430" i="5"/>
  <c r="E431" i="5"/>
  <c r="F431" i="5"/>
  <c r="G431" i="5"/>
  <c r="H431" i="5"/>
  <c r="I431" i="5"/>
  <c r="J431" i="5"/>
  <c r="K431" i="5"/>
  <c r="L431" i="5"/>
  <c r="M431" i="5"/>
  <c r="N431" i="5"/>
  <c r="O431" i="5"/>
  <c r="P431" i="5"/>
  <c r="Q431" i="5"/>
  <c r="R431" i="5"/>
  <c r="S431" i="5"/>
  <c r="T431" i="5"/>
  <c r="U431" i="5"/>
  <c r="V431" i="5"/>
  <c r="W431" i="5"/>
  <c r="X431" i="5"/>
  <c r="Y431" i="5"/>
  <c r="Z431" i="5"/>
  <c r="AA431" i="5"/>
  <c r="AB431" i="5"/>
  <c r="AC431" i="5"/>
  <c r="AD431" i="5"/>
  <c r="AE431" i="5"/>
  <c r="AF431" i="5"/>
  <c r="AG431" i="5"/>
  <c r="AH431" i="5"/>
  <c r="AI431" i="5"/>
  <c r="F433" i="5"/>
  <c r="G433" i="5"/>
  <c r="H433" i="5"/>
  <c r="I433" i="5"/>
  <c r="J433" i="5"/>
  <c r="K433" i="5"/>
  <c r="L433" i="5"/>
  <c r="M433" i="5"/>
  <c r="N433" i="5"/>
  <c r="O433" i="5"/>
  <c r="P433" i="5"/>
  <c r="Q433" i="5"/>
  <c r="R433" i="5"/>
  <c r="S433" i="5"/>
  <c r="T433" i="5"/>
  <c r="U433" i="5"/>
  <c r="V433" i="5"/>
  <c r="W433" i="5"/>
  <c r="X433" i="5"/>
  <c r="Y433" i="5"/>
  <c r="Z433" i="5"/>
  <c r="AA433" i="5"/>
  <c r="AB433" i="5"/>
  <c r="AC433" i="5"/>
  <c r="AD433" i="5"/>
  <c r="AE433" i="5"/>
  <c r="AF433" i="5"/>
  <c r="AE434" i="5"/>
  <c r="AE435" i="5"/>
  <c r="E436" i="5"/>
  <c r="F436" i="5"/>
  <c r="G436" i="5"/>
  <c r="H436" i="5"/>
  <c r="I436" i="5"/>
  <c r="J436" i="5"/>
  <c r="K436" i="5"/>
  <c r="L436" i="5"/>
  <c r="M436" i="5"/>
  <c r="N436" i="5"/>
  <c r="O436" i="5"/>
  <c r="P436" i="5"/>
  <c r="Q436" i="5"/>
  <c r="R436" i="5"/>
  <c r="S436" i="5"/>
  <c r="T436" i="5"/>
  <c r="U436" i="5"/>
  <c r="V436" i="5"/>
  <c r="W436" i="5"/>
  <c r="X436" i="5"/>
  <c r="Y436" i="5"/>
  <c r="Z436" i="5"/>
  <c r="AA436" i="5"/>
  <c r="AB436" i="5"/>
  <c r="AC436" i="5"/>
  <c r="AD436" i="5"/>
  <c r="AE436" i="5"/>
  <c r="D438" i="5"/>
  <c r="D439" i="5"/>
  <c r="D447" i="5"/>
  <c r="F447" i="5"/>
  <c r="G447" i="5"/>
  <c r="H447" i="5"/>
  <c r="I447" i="5"/>
  <c r="J447" i="5"/>
  <c r="K447" i="5"/>
  <c r="L447" i="5"/>
  <c r="M447" i="5"/>
  <c r="N447" i="5"/>
  <c r="O447" i="5"/>
  <c r="P447" i="5"/>
  <c r="Q447" i="5"/>
  <c r="R447" i="5"/>
  <c r="S447" i="5"/>
  <c r="T447" i="5"/>
  <c r="U447" i="5"/>
  <c r="V447" i="5"/>
  <c r="W447" i="5"/>
  <c r="X447" i="5"/>
  <c r="Y447" i="5"/>
  <c r="Z447" i="5"/>
  <c r="AA447" i="5"/>
  <c r="AB447" i="5"/>
  <c r="AC447" i="5"/>
  <c r="AD447" i="5"/>
  <c r="AE447" i="5"/>
  <c r="F450" i="5"/>
  <c r="G450" i="5"/>
  <c r="H450" i="5"/>
  <c r="I450" i="5"/>
  <c r="J450" i="5"/>
  <c r="K450" i="5"/>
  <c r="L450" i="5"/>
  <c r="M450" i="5"/>
  <c r="N450" i="5"/>
  <c r="O450" i="5"/>
  <c r="P450" i="5"/>
  <c r="Q450" i="5"/>
  <c r="R450" i="5"/>
  <c r="S450" i="5"/>
  <c r="T450" i="5"/>
  <c r="U450" i="5"/>
  <c r="V450" i="5"/>
  <c r="W450" i="5"/>
  <c r="X450" i="5"/>
  <c r="Y450" i="5"/>
  <c r="Z450" i="5"/>
  <c r="AA450" i="5"/>
  <c r="AB450" i="5"/>
  <c r="AC450" i="5"/>
  <c r="AD450" i="5"/>
  <c r="AE450" i="5"/>
  <c r="D451" i="5"/>
  <c r="F451" i="5"/>
  <c r="G451" i="5"/>
  <c r="H451" i="5"/>
  <c r="I451" i="5"/>
  <c r="J451" i="5"/>
  <c r="K451" i="5"/>
  <c r="L451" i="5"/>
  <c r="M451" i="5"/>
  <c r="N451" i="5"/>
  <c r="O451" i="5"/>
  <c r="P451" i="5"/>
  <c r="Q451" i="5"/>
  <c r="R451" i="5"/>
  <c r="S451" i="5"/>
  <c r="T451" i="5"/>
  <c r="U451" i="5"/>
  <c r="V451" i="5"/>
  <c r="W451" i="5"/>
  <c r="X451" i="5"/>
  <c r="Y451" i="5"/>
  <c r="Z451" i="5"/>
  <c r="AA451" i="5"/>
  <c r="AB451" i="5"/>
  <c r="AC451" i="5"/>
  <c r="AD451" i="5"/>
  <c r="AE451" i="5"/>
  <c r="D452" i="5"/>
  <c r="F452" i="5"/>
  <c r="G452" i="5"/>
  <c r="H452" i="5"/>
  <c r="I452" i="5"/>
  <c r="J452" i="5"/>
  <c r="K452" i="5"/>
  <c r="L452" i="5"/>
  <c r="M452" i="5"/>
  <c r="N452" i="5"/>
  <c r="O452" i="5"/>
  <c r="P452" i="5"/>
  <c r="Q452" i="5"/>
  <c r="R452" i="5"/>
  <c r="S452" i="5"/>
  <c r="T452" i="5"/>
  <c r="U452" i="5"/>
  <c r="V452" i="5"/>
  <c r="W452" i="5"/>
  <c r="X452" i="5"/>
  <c r="Y452" i="5"/>
  <c r="Z452" i="5"/>
  <c r="AA452" i="5"/>
  <c r="AB452" i="5"/>
  <c r="AC452" i="5"/>
  <c r="AD452" i="5"/>
  <c r="AE452" i="5"/>
  <c r="F454" i="5"/>
  <c r="G454" i="5"/>
  <c r="H454" i="5"/>
  <c r="I454" i="5"/>
  <c r="J454" i="5"/>
  <c r="K454" i="5"/>
  <c r="L454" i="5"/>
  <c r="M454" i="5"/>
  <c r="N454" i="5"/>
  <c r="O454" i="5"/>
  <c r="P454" i="5"/>
  <c r="Q454" i="5"/>
  <c r="R454" i="5"/>
  <c r="S454" i="5"/>
  <c r="T454" i="5"/>
  <c r="U454" i="5"/>
  <c r="V454" i="5"/>
  <c r="W454" i="5"/>
  <c r="X454" i="5"/>
  <c r="Y454" i="5"/>
  <c r="Z454" i="5"/>
  <c r="AA454" i="5"/>
  <c r="AB454" i="5"/>
  <c r="AC454" i="5"/>
  <c r="AD454" i="5"/>
  <c r="AE454" i="5"/>
  <c r="F455" i="5"/>
  <c r="D472" i="5"/>
  <c r="F472" i="5"/>
  <c r="G472" i="5"/>
  <c r="H472" i="5"/>
  <c r="I472" i="5"/>
  <c r="J472" i="5"/>
  <c r="K472" i="5"/>
  <c r="L472" i="5"/>
  <c r="M472" i="5"/>
  <c r="N472" i="5"/>
  <c r="O472" i="5"/>
  <c r="P472" i="5"/>
  <c r="Q472" i="5"/>
  <c r="R472" i="5"/>
  <c r="S472" i="5"/>
  <c r="T472" i="5"/>
  <c r="U472" i="5"/>
  <c r="V472" i="5"/>
  <c r="W472" i="5"/>
  <c r="X472" i="5"/>
  <c r="Y472" i="5"/>
  <c r="Z472" i="5"/>
  <c r="AA472" i="5"/>
  <c r="AB472" i="5"/>
  <c r="AC472" i="5"/>
  <c r="AD472" i="5"/>
  <c r="AE472" i="5"/>
  <c r="D475" i="5"/>
  <c r="F475" i="5"/>
  <c r="G475" i="5"/>
  <c r="H475" i="5"/>
  <c r="I475" i="5"/>
  <c r="J475" i="5"/>
  <c r="K475" i="5"/>
  <c r="L475" i="5"/>
  <c r="M475" i="5"/>
  <c r="N475" i="5"/>
  <c r="O475" i="5"/>
  <c r="P475" i="5"/>
  <c r="Q475" i="5"/>
  <c r="R475" i="5"/>
  <c r="S475" i="5"/>
  <c r="T475" i="5"/>
  <c r="U475" i="5"/>
  <c r="V475" i="5"/>
  <c r="W475" i="5"/>
  <c r="X475" i="5"/>
  <c r="Y475" i="5"/>
  <c r="Z475" i="5"/>
  <c r="AA475" i="5"/>
  <c r="AB475" i="5"/>
  <c r="AC475" i="5"/>
  <c r="AD475" i="5"/>
  <c r="AE475" i="5"/>
  <c r="D476" i="5"/>
  <c r="E476" i="5"/>
  <c r="F476" i="5"/>
  <c r="G476" i="5"/>
  <c r="H476" i="5"/>
  <c r="I476" i="5"/>
  <c r="J476" i="5"/>
  <c r="K476" i="5"/>
  <c r="L476" i="5"/>
  <c r="D478" i="5"/>
  <c r="AE478" i="5"/>
  <c r="E480" i="5"/>
  <c r="F480" i="5"/>
  <c r="G480" i="5"/>
  <c r="H480" i="5"/>
  <c r="I480" i="5"/>
  <c r="J480" i="5"/>
  <c r="K480" i="5"/>
  <c r="L480" i="5"/>
  <c r="M480" i="5"/>
  <c r="N480" i="5"/>
  <c r="O480" i="5"/>
  <c r="P480" i="5"/>
  <c r="Q480" i="5"/>
  <c r="R480" i="5"/>
  <c r="S480" i="5"/>
  <c r="T480" i="5"/>
  <c r="U480" i="5"/>
  <c r="V480" i="5"/>
  <c r="W480" i="5"/>
  <c r="X480" i="5"/>
  <c r="Y480" i="5"/>
  <c r="Z480" i="5"/>
  <c r="AA480" i="5"/>
  <c r="AB480" i="5"/>
  <c r="AC480" i="5"/>
  <c r="AD480" i="5"/>
  <c r="AE480" i="5"/>
  <c r="D482" i="5"/>
  <c r="D48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More, Chandrarao (IN - Mumbai)</author>
  </authors>
  <commentList>
    <comment ref="B106" authorId="0" shapeId="0" xr:uid="{A09E43E5-F9DF-42A5-BBCF-AF27A8D6198F}">
      <text>
        <r>
          <rPr>
            <sz val="9"/>
            <color indexed="81"/>
            <rFont val="Tahoma"/>
            <family val="2"/>
          </rPr>
          <t>Store incidental charges, contingencies, work contract establishment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<sst xmlns="http://schemas.openxmlformats.org/spreadsheetml/2006/main" count="3532" uniqueCount="1256">
  <si>
    <t>%</t>
  </si>
  <si>
    <t>IDC</t>
  </si>
  <si>
    <t>CUF</t>
  </si>
  <si>
    <t>FSP</t>
  </si>
  <si>
    <t>Depreciation</t>
  </si>
  <si>
    <t>Equity</t>
  </si>
  <si>
    <t>Grant/ Capital Subsidy</t>
  </si>
  <si>
    <t>Commerical Loan 2</t>
  </si>
  <si>
    <t>Commerical Loan 1</t>
  </si>
  <si>
    <t>Funding</t>
  </si>
  <si>
    <t>Total</t>
  </si>
  <si>
    <t>Rs Cr</t>
  </si>
  <si>
    <t>Phasing</t>
  </si>
  <si>
    <t>Inputs</t>
  </si>
  <si>
    <t>Units</t>
  </si>
  <si>
    <t>Particulars</t>
  </si>
  <si>
    <t>Rs/kWh</t>
  </si>
  <si>
    <t>Additional O&amp;M</t>
  </si>
  <si>
    <t>Consider Acc Dep Benefits</t>
  </si>
  <si>
    <t>Maximum allowed Depreciation</t>
  </si>
  <si>
    <t>Rate of Depreciation (Book)</t>
  </si>
  <si>
    <t>Accelerated Depreciation</t>
  </si>
  <si>
    <t>Capacity Degradation</t>
  </si>
  <si>
    <t>O&amp;M</t>
  </si>
  <si>
    <t>Capital Expenditure</t>
  </si>
  <si>
    <t>CUF of the project</t>
  </si>
  <si>
    <t>MW</t>
  </si>
  <si>
    <t>Capacity of the Project</t>
  </si>
  <si>
    <t>#</t>
  </si>
  <si>
    <t>Discounting Factor</t>
  </si>
  <si>
    <t>Tax Rate</t>
  </si>
  <si>
    <t>IRG to be considered</t>
  </si>
  <si>
    <t>Circularity</t>
  </si>
  <si>
    <t>Others</t>
  </si>
  <si>
    <t>Margin Money for WC</t>
  </si>
  <si>
    <t>Maintenance spares</t>
  </si>
  <si>
    <t>Months</t>
  </si>
  <si>
    <t>Receivables</t>
  </si>
  <si>
    <t>Working Capital</t>
  </si>
  <si>
    <t>Minimum Cash Balance</t>
  </si>
  <si>
    <t>Repayment of Cash Deficit Loan</t>
  </si>
  <si>
    <t>Interest Rates on Cash Deficit Loan</t>
  </si>
  <si>
    <t>Cash Deficit Loan</t>
  </si>
  <si>
    <t>Interest on DSRA</t>
  </si>
  <si>
    <t>Bank Guarantee Fee</t>
  </si>
  <si>
    <t>DSRA Source</t>
  </si>
  <si>
    <t>months</t>
  </si>
  <si>
    <t>DSRA Months</t>
  </si>
  <si>
    <t>Interest Rates</t>
  </si>
  <si>
    <t>Years</t>
  </si>
  <si>
    <t>Repayment Period</t>
  </si>
  <si>
    <t>Moratorium Period (from start of operations)</t>
  </si>
  <si>
    <t>Commercial Loan 2</t>
  </si>
  <si>
    <t>Interest Rate</t>
  </si>
  <si>
    <t>Commercial Loan 1</t>
  </si>
  <si>
    <t>Date</t>
  </si>
  <si>
    <t>Last financial year of operation</t>
  </si>
  <si>
    <t>Last day of operation</t>
  </si>
  <si>
    <t>First operational Financial year</t>
  </si>
  <si>
    <t>Number of year in operation</t>
  </si>
  <si>
    <t>Start of Operation</t>
  </si>
  <si>
    <t>Project Details</t>
  </si>
  <si>
    <t>Conversion Factor</t>
  </si>
  <si>
    <t>PV Module</t>
  </si>
  <si>
    <t>Contingency</t>
  </si>
  <si>
    <t>Taxes</t>
  </si>
  <si>
    <t>Insurance</t>
  </si>
  <si>
    <t>MWp</t>
  </si>
  <si>
    <t>Inverter size</t>
  </si>
  <si>
    <t>Wp</t>
  </si>
  <si>
    <t>Levelized Tariff (Rs/ kWh)</t>
  </si>
  <si>
    <t>Rs Lakh /MW</t>
  </si>
  <si>
    <t>Unit</t>
  </si>
  <si>
    <t>Balance of System (BoS)</t>
  </si>
  <si>
    <t>PV System</t>
  </si>
  <si>
    <t>Inverter (including switchgear)</t>
  </si>
  <si>
    <t>Float Devices</t>
  </si>
  <si>
    <t>CapEX</t>
  </si>
  <si>
    <t>Change in WC</t>
  </si>
  <si>
    <t>Repayment</t>
  </si>
  <si>
    <t>PAT</t>
  </si>
  <si>
    <t>Interest on Cash Deficit Loan</t>
  </si>
  <si>
    <t>Interest on WC Loan</t>
  </si>
  <si>
    <t>Interest on Debt</t>
  </si>
  <si>
    <t>Minimum DSCR</t>
  </si>
  <si>
    <t>Average DSCR</t>
  </si>
  <si>
    <t>DSCR</t>
  </si>
  <si>
    <t>Debt Repayment</t>
  </si>
  <si>
    <t>Check</t>
  </si>
  <si>
    <t>TOTAL LIABILITIES</t>
  </si>
  <si>
    <t>Working Capital Loan</t>
  </si>
  <si>
    <t>Grants</t>
  </si>
  <si>
    <t>Reserve and Surplus</t>
  </si>
  <si>
    <t>Liabilities</t>
  </si>
  <si>
    <t>TOTAL ASSETS</t>
  </si>
  <si>
    <t>Cash &amp; Bank Balance</t>
  </si>
  <si>
    <t>Current Assets</t>
  </si>
  <si>
    <t>CWIP</t>
  </si>
  <si>
    <t>Net Fixed Assets</t>
  </si>
  <si>
    <t>Accumulated Depreciation</t>
  </si>
  <si>
    <t>GFA</t>
  </si>
  <si>
    <t>Assets</t>
  </si>
  <si>
    <t>Balance Sheet Statement</t>
  </si>
  <si>
    <t>Closing Cash Balance</t>
  </si>
  <si>
    <t>Cash generated during the year</t>
  </si>
  <si>
    <t>Opening cash balance</t>
  </si>
  <si>
    <t>Cash Schedule</t>
  </si>
  <si>
    <t>Cash Flow from Financing Activities</t>
  </si>
  <si>
    <t>Change in WC Loan</t>
  </si>
  <si>
    <t>Cash Deficit Loan Repayment</t>
  </si>
  <si>
    <t>Commercial Loan 2 - Repayment</t>
  </si>
  <si>
    <t>Commerical Loan 1 - Repayment</t>
  </si>
  <si>
    <t>Grant</t>
  </si>
  <si>
    <t>Commerical Loan 1 - Additions</t>
  </si>
  <si>
    <t>Cash Flow from Investing Activities</t>
  </si>
  <si>
    <t>Cash Flow from Operating Activities</t>
  </si>
  <si>
    <t>O&amp;M Cost</t>
  </si>
  <si>
    <t>Revenue</t>
  </si>
  <si>
    <t>Cash flow statement</t>
  </si>
  <si>
    <t>Profits After Tax (PAT)</t>
  </si>
  <si>
    <t>Tax</t>
  </si>
  <si>
    <t>Profits Before Tax (PBT)</t>
  </si>
  <si>
    <t>Interest on Loan</t>
  </si>
  <si>
    <t>PBIT</t>
  </si>
  <si>
    <t>PBITDA</t>
  </si>
  <si>
    <t>Expenditure</t>
  </si>
  <si>
    <t>P&amp;L Account</t>
  </si>
  <si>
    <t>Financial Statements &amp; IRR</t>
  </si>
  <si>
    <t>Acc Dep Benefits</t>
  </si>
  <si>
    <t>ROE</t>
  </si>
  <si>
    <t>Interest on WC</t>
  </si>
  <si>
    <t>Interest on Term Loan</t>
  </si>
  <si>
    <t>Discount Factor</t>
  </si>
  <si>
    <t>Tariff Workings</t>
  </si>
  <si>
    <t>Interest Charge</t>
  </si>
  <si>
    <t>Closing</t>
  </si>
  <si>
    <t>Repayments</t>
  </si>
  <si>
    <t>Addition</t>
  </si>
  <si>
    <t>Opening</t>
  </si>
  <si>
    <t>Cash Balance</t>
  </si>
  <si>
    <t>Cash deficit Loan</t>
  </si>
  <si>
    <t>Repayment of cash deficit loan</t>
  </si>
  <si>
    <t>Interest on Cash deficit Loan</t>
  </si>
  <si>
    <t>Debt</t>
  </si>
  <si>
    <t>Interest</t>
  </si>
  <si>
    <t>O&amp;M Expenses</t>
  </si>
  <si>
    <t>Cash Deficit Loan Requirement Computation</t>
  </si>
  <si>
    <t>Pre-Tax RoE</t>
  </si>
  <si>
    <t>Post-Tax RoE</t>
  </si>
  <si>
    <t>Cumulative Equity</t>
  </si>
  <si>
    <t>Interest on Working Capital</t>
  </si>
  <si>
    <t>Bank borrowing</t>
  </si>
  <si>
    <t>Tariff</t>
  </si>
  <si>
    <t>Generation</t>
  </si>
  <si>
    <t>Effective capacity</t>
  </si>
  <si>
    <t>Degradation</t>
  </si>
  <si>
    <t>Capacity</t>
  </si>
  <si>
    <t>Tax Benefit</t>
  </si>
  <si>
    <t>Net Depreciation Benefit</t>
  </si>
  <si>
    <t>Benefits of Accelerated Depreciation</t>
  </si>
  <si>
    <t>Depreciation during the year</t>
  </si>
  <si>
    <t xml:space="preserve">Opening </t>
  </si>
  <si>
    <t>Closing - NFA</t>
  </si>
  <si>
    <t>Addition - NFA</t>
  </si>
  <si>
    <t>Opening NFA</t>
  </si>
  <si>
    <t>Max depreciation</t>
  </si>
  <si>
    <t>Closing GFA</t>
  </si>
  <si>
    <t>Accumulated depreciation</t>
  </si>
  <si>
    <t>Additions</t>
  </si>
  <si>
    <t>Opening GFA</t>
  </si>
  <si>
    <t>GFA Schedule</t>
  </si>
  <si>
    <t>Book Depreciation</t>
  </si>
  <si>
    <t>Capitalised</t>
  </si>
  <si>
    <t>CWIP Schedule</t>
  </si>
  <si>
    <t>GFA &amp; Depreciation Schedule</t>
  </si>
  <si>
    <t>Commercial Loan 2 Schedule</t>
  </si>
  <si>
    <t>Commerical Loan 1 Schedule</t>
  </si>
  <si>
    <t>Equity Schedule</t>
  </si>
  <si>
    <t>Cumulative Grant</t>
  </si>
  <si>
    <t>Grant Schedule</t>
  </si>
  <si>
    <t>Capex</t>
  </si>
  <si>
    <t>Cumulative number of year in operation</t>
  </si>
  <si>
    <t>Proportion of year in operation</t>
  </si>
  <si>
    <t>Days in Operations</t>
  </si>
  <si>
    <t>Days in year</t>
  </si>
  <si>
    <t>Operational Year Number</t>
  </si>
  <si>
    <t>Is Operational ?</t>
  </si>
  <si>
    <t>Levelized Tariff</t>
  </si>
  <si>
    <t>Yearly Assumptions for generation model</t>
  </si>
  <si>
    <t>Capital Expenditure - Generation</t>
  </si>
  <si>
    <t>Project Assumptions</t>
  </si>
  <si>
    <t>COD</t>
  </si>
  <si>
    <t>Life of Project</t>
  </si>
  <si>
    <t>Funding Assumptions</t>
  </si>
  <si>
    <t>Debt Assumptions</t>
  </si>
  <si>
    <t>Return Assumption</t>
  </si>
  <si>
    <t>Working Capital Assumptions</t>
  </si>
  <si>
    <t>Return on Equity (RoE) - Post Tax</t>
  </si>
  <si>
    <t>Rs per Unit</t>
  </si>
  <si>
    <t>Rs per sq m</t>
  </si>
  <si>
    <t>Rs per Wp</t>
  </si>
  <si>
    <t>Other Cost</t>
  </si>
  <si>
    <t>Rs Lakh</t>
  </si>
  <si>
    <t>Capex Breakup</t>
  </si>
  <si>
    <t>Panel Platform - Floats</t>
  </si>
  <si>
    <t>Project IRR</t>
  </si>
  <si>
    <t>Equity IRR</t>
  </si>
  <si>
    <t>Commercial Loan - Additions</t>
  </si>
  <si>
    <t>Tax Shield</t>
  </si>
  <si>
    <t>Terminal Value</t>
  </si>
  <si>
    <t>NPV @ 10%</t>
  </si>
  <si>
    <t>Increase in Debt</t>
  </si>
  <si>
    <t>Increase/ (Decrease) in Cash Deficit Loan</t>
  </si>
  <si>
    <t>Increase/ (Decrease) in WC Loan</t>
  </si>
  <si>
    <t>Phasing - Capex</t>
  </si>
  <si>
    <t>Floating Solar Project Cost</t>
  </si>
  <si>
    <t>Capex including IDC</t>
  </si>
  <si>
    <t>Contingency, Insurance</t>
  </si>
  <si>
    <t>Rate</t>
  </si>
  <si>
    <t>kM</t>
  </si>
  <si>
    <t>Solar Park</t>
  </si>
  <si>
    <t>Rs Lakh/MW</t>
  </si>
  <si>
    <t>(Sector Norms)</t>
  </si>
  <si>
    <t>DSRA</t>
  </si>
  <si>
    <t>Debt Service Requirement</t>
  </si>
  <si>
    <t>Interest Income</t>
  </si>
  <si>
    <t>BG Cost</t>
  </si>
  <si>
    <t>Change in DSRA</t>
  </si>
  <si>
    <t>Interest Income on DSRA</t>
  </si>
  <si>
    <t>BG cost for DSRA</t>
  </si>
  <si>
    <t>BG Cost on DSRA</t>
  </si>
  <si>
    <t>Depreciation (Tax)</t>
  </si>
  <si>
    <t>Tax Computation</t>
  </si>
  <si>
    <t>PBT</t>
  </si>
  <si>
    <t>Book Depreication</t>
  </si>
  <si>
    <t>Tax Depreciation</t>
  </si>
  <si>
    <t>Taxable Income</t>
  </si>
  <si>
    <t>Corporate Tax Calculations</t>
  </si>
  <si>
    <t>Unabsorbed Depreciation + Business Losses</t>
  </si>
  <si>
    <t>Set Off</t>
  </si>
  <si>
    <t>Taxable Income after UD + BL</t>
  </si>
  <si>
    <t>Corporate Tax Rate</t>
  </si>
  <si>
    <t>Corporate Tax</t>
  </si>
  <si>
    <t>MAT Calculations</t>
  </si>
  <si>
    <t>Book Profits</t>
  </si>
  <si>
    <t>MAT Rate</t>
  </si>
  <si>
    <t>MAT</t>
  </si>
  <si>
    <t>MAT Credit</t>
  </si>
  <si>
    <t>Opening Balance</t>
  </si>
  <si>
    <t>Used</t>
  </si>
  <si>
    <t>Expired</t>
  </si>
  <si>
    <t>Closing Balance</t>
  </si>
  <si>
    <t>Tax Payable</t>
  </si>
  <si>
    <t>MAT payable</t>
  </si>
  <si>
    <t>Corporate Tax Payable</t>
  </si>
  <si>
    <t>MAT Credit offset</t>
  </si>
  <si>
    <t>Effective Tax Payable</t>
  </si>
  <si>
    <t>Effective Tax rate</t>
  </si>
  <si>
    <t>Tariff Options (TRUE: Levelized; FALSE: Yearly Tariff)</t>
  </si>
  <si>
    <t>GST</t>
  </si>
  <si>
    <t>O&amp;M per MW (excld GST)</t>
  </si>
  <si>
    <t>O&amp;M per MW (incld GST)</t>
  </si>
  <si>
    <t>Dismantling Cost</t>
  </si>
  <si>
    <t>FCFE</t>
  </si>
  <si>
    <t>FCFF</t>
  </si>
  <si>
    <t>Dismantling Cost (% of GFA)</t>
  </si>
  <si>
    <t>No.</t>
  </si>
  <si>
    <t>Nos</t>
  </si>
  <si>
    <t>A</t>
  </si>
  <si>
    <t>Sub-station</t>
  </si>
  <si>
    <t>B</t>
  </si>
  <si>
    <t>Transmission Line</t>
  </si>
  <si>
    <t>C</t>
  </si>
  <si>
    <t>Transmission Liine</t>
  </si>
  <si>
    <t>Augmentation</t>
  </si>
  <si>
    <t>Erection, testing, commissioning charges</t>
  </si>
  <si>
    <t>Transport Charges</t>
  </si>
  <si>
    <t>Insurance and Labour</t>
  </si>
  <si>
    <t>Centage charges</t>
  </si>
  <si>
    <t>% of hard cost</t>
  </si>
  <si>
    <t>Labour &amp; Equipment Handling  charges</t>
  </si>
  <si>
    <t>Supervision &amp; Quality Control Charges</t>
  </si>
  <si>
    <t>33kV Incomer Feeder Bays (25MW) to 33 kV Bus</t>
  </si>
  <si>
    <t xml:space="preserve">33kV incoming feeders for Power transformer </t>
  </si>
  <si>
    <t>220kV Power Transformer Bay</t>
  </si>
  <si>
    <t>220 kV Line Bay+ Bus Section Bay</t>
  </si>
  <si>
    <t xml:space="preserve">Control &amp; Communication </t>
  </si>
  <si>
    <t xml:space="preserve">Centage charges on Total cost of Supply </t>
  </si>
  <si>
    <t>EHV Cabling</t>
  </si>
  <si>
    <t>Miscelaneous ( Control and Protection)</t>
  </si>
  <si>
    <t>Quantity</t>
  </si>
  <si>
    <t>Ex Works Prices ( Supply)</t>
  </si>
  <si>
    <t>a</t>
  </si>
  <si>
    <t>Circuit Breakers</t>
  </si>
  <si>
    <t>36kV Rated voltage, 3 Ph, 50 Hz, triple pole ,outdoor type ,Vacuum Circuit Breaker, rated short circuit breaking current  25 kA for 3 sec., spring mechanism, breaker operation &amp; protection circuit with 110VDC, with supporting structure &amp; necessary equipment    etc complete for rated normal current of 1250A</t>
  </si>
  <si>
    <t>b</t>
  </si>
  <si>
    <t>Lightening Arrestor</t>
  </si>
  <si>
    <t>36 kV,  10 KA, BIL 650 kVp, single phase 50 Hz, station class, gapless type, outdoor, Lightening arrester along with surge counter.</t>
  </si>
  <si>
    <t>c</t>
  </si>
  <si>
    <t>Isolator</t>
  </si>
  <si>
    <t>36 kV, 3 Phase ,50 HZ, 40 kA,  BIL 170 kVp, outdoor, Turn and twist type, centre break isolator with earth switch,  supporting structures &amp; other accessories complete .</t>
  </si>
  <si>
    <t>d</t>
  </si>
  <si>
    <t>Current Transformer</t>
  </si>
  <si>
    <t>Single phase   36 kV, 30 VA, 50 HZ, 25kA, BIL 170 kVp,  outdoor, 3 core current transformer for line circuit breaker complete with accuracy class Core 1‐0.2 and other cores     5P20 ,with all other necessary accessories -( 400/ 1‐1‐1 A)</t>
  </si>
  <si>
    <t>e</t>
  </si>
  <si>
    <t>Potential Transformer</t>
  </si>
  <si>
    <t>Single phase, 33 kV, 50 Hz, 40 kA, BIL ‐ 170 kVp, 2 core, hermetically sealed, Class F ,outdoor voltage transformer having voltage ratio.145/√3 kV / 110 /  √3 V, Accuracy class 0.5 and 3 P respectively &amp; having  burden 100 VA</t>
  </si>
  <si>
    <t>36kV Rated voltage, 3 Ph, 50 Hz, triple pole ,outdoor type ,Vacuum Circuit Breaker, rated short circuit breaking current  25 kA for 3 sec., spring mechanism, breaker operation &amp; protection circuit with 110VDC, with supporting structure &amp; necessary equipment    etc complete for rated normal current of 2500A</t>
  </si>
  <si>
    <t>Single phase   36 kV, 30 VA, 50 HZ, 25kA, BIL 170 kVp,  outdoor, 3 core current transformer for line circuit breaker complete with accuracy class Core 1‐0.2 and other cores     5P20 ,with all other necessary accessories -( 750/ 1‐1‐1 A)</t>
  </si>
  <si>
    <t>220kV Bays for Power Transformer, Bus Section , Lines</t>
  </si>
  <si>
    <t>245 kV Rated voltage, 3 Ph, 50 Hz, triple pole ,outdoor type , SF6 Circuit Breaker, rated short circuit breaking current 40 kA for 1 sec., spring mechanism, breaker operation &amp; protection circuit with 220VDC/110VDC, with supporting structure &amp; necessary equipment   etc complete for rated normal current of 1600 A</t>
  </si>
  <si>
    <t>245 kV,  10 KA, BIL 650 kVp, single phase 50 Hz, station class, gapless type, outdoor, Lightening arrester along with surge counter.</t>
  </si>
  <si>
    <t>245 kV, 3 Phase ,50 HZ, 50 kA,    BIL 1050 kVp, outdoor, Horizontal centre break type isolator and Horizontal Centre rotating Double Break type isolator shall be gang operated through motor from local as well as from remote control panel. There should be provision for mechanical operation by hand of isolator locally. Earth Switch shall be provided on the line side of the isolator and shall be gang operated mechanically by hand</t>
  </si>
  <si>
    <t>Single phase   245 kV, 40 VA, 50 HZ, 50 kA, BIL 1050 kVp,  outdoor, 5core current transformer for line circuit breaker complete with accuracy class core 1‐0.2 and other cores 5P20 ,with all other necessary accessories. ( 400 /1‐ 1‐1‐1‐1 A)</t>
  </si>
  <si>
    <t>Single phase, 220 kV, 50 Hz, 50    kA, BIL    1050 kVp, 3 core, hermetically sealed, Class F ,outdoor voltage transformer having voltage ratio. 220/√3 kV / 110 /  √3 V, Accuracy class 0.5 and 3 P respectively &amp; having  burden 100 VA</t>
  </si>
  <si>
    <t>Battery</t>
  </si>
  <si>
    <t>Supplying Dry type Maintenance free batteries along with all necessary accessories. (Such as cell inter connectors, centre zero 3‐0‐3 Volt DC. voltmeter, mounting rack/stand etc. complete.) all conforming to relevant latest IS. ( 110 cells, 2.0 volts. each, total 220 VDC,300 AH. Capacity )</t>
  </si>
  <si>
    <t xml:space="preserve">Battery Charger  </t>
  </si>
  <si>
    <t>Supplying float cum boost Battery charger 3 phase,415 VAC (+/‐ 10 %),50 Hz  (+/‐ 5%.) ,Ambient temp. up to 500 c., for following battery voltages and  AH  ratings. along with all necessary accessories ( such as transformer, rectifier, electronic circuit, circuit breaker, meters, selector switches etc.) conforming to relevant  Indian Standards. For Dry type Maintenance free Battery. (20 V,300 AH )</t>
  </si>
  <si>
    <t xml:space="preserve">D.C.Distrubution Boards.(D.C.D.B.) </t>
  </si>
  <si>
    <t xml:space="preserve">220 V DCDB having    one incoming double pole MCB of suitable capacity &amp; 10 nos.16 amps and 5 nos.32 amp. Outgoing feeder with MCB  </t>
  </si>
  <si>
    <t>Relays</t>
  </si>
  <si>
    <t>Transformer Differential Relay 87‐T, Numerical Type,    control voltage
110/220 V DC aux. Supply, flush mounting as per IS 3231.</t>
  </si>
  <si>
    <t>Over Current &amp; Earth Fault Relay of approved make combinbed 3 phase over current + 1 earth fault relay (50+51 RYBN) non directional protection, with high set instantaneous trip features 1 Amp, 220/110 V DC aux. Supply etc. complete.</t>
  </si>
  <si>
    <t>Numerical Restricted Earth Fault Relay of approved make with high set instantaneous trip features 1 Amp, 220/110 V DC aux. Supply along with control wiring etc complete</t>
  </si>
  <si>
    <t>Numerical High Speed Trip Relay of approved make with high set instantaneous trip features 1 Amp, 220/110 V DC aux. Supply along with control wiring etc complete</t>
  </si>
  <si>
    <t>Trip Supervision Relay of approved make with high set 220/110 V DC
aux. Supply along with control wiring etc. complete.</t>
  </si>
  <si>
    <t>Metering</t>
  </si>
  <si>
    <t>Metering Kiosk having facility for measurement and metering with Instrument Transformers of appropriate rating and Class</t>
  </si>
  <si>
    <t>ABT meter  having facility for measurement and metering of KW, KVA, RKVA, KWH, RKVAH, M.D.P.F. and frequency etc. with class 2.0 accuracy and C.T. ratio 50/5 Amp. and P.T. Ratio 33000/√‾3/110/√‾3 V  with all digital meters</t>
  </si>
  <si>
    <t>From</t>
  </si>
  <si>
    <t>Pooling S/S</t>
  </si>
  <si>
    <t>To</t>
  </si>
  <si>
    <t>BkTPS S/S</t>
  </si>
  <si>
    <t>km</t>
  </si>
  <si>
    <t xml:space="preserve">Double Circuit-Double Strung Line </t>
  </si>
  <si>
    <t>MT</t>
  </si>
  <si>
    <t>meter</t>
  </si>
  <si>
    <t>Transmission Line Supply of Material as per specifications</t>
  </si>
  <si>
    <t>Supply of 220kV Towers including fasteners</t>
  </si>
  <si>
    <t xml:space="preserve">ACCC Conductor, Earthwire Conductor &amp; Accessories  </t>
  </si>
  <si>
    <t xml:space="preserve">ACCC Zebra Conductor Equivalent </t>
  </si>
  <si>
    <t xml:space="preserve">Earthwire  Conductor </t>
  </si>
  <si>
    <t xml:space="preserve">OPGW Earth Wire (24 Fibers) </t>
  </si>
  <si>
    <t xml:space="preserve">ACCC Conductor  Hardwares &amp; Accessories </t>
  </si>
  <si>
    <t>Hardware</t>
  </si>
  <si>
    <t>Single Suspension Hardware with AGS Assembly for Zebra Eq. ACCC Conductor</t>
  </si>
  <si>
    <t>Double Suspension Hardware with AGS Assembly for Zebra Eq. ACCC Conductor</t>
  </si>
  <si>
    <t>Single Tention Hardware for Zebra Eq. ACCC Conductor</t>
  </si>
  <si>
    <t>Double Tention Hardware for Zebra Eq. ACCC Conductor</t>
  </si>
  <si>
    <t>Accessories</t>
  </si>
  <si>
    <t xml:space="preserve">Mid span compression Joints suitable for ACCC Zebra Conductor Eq. </t>
  </si>
  <si>
    <t xml:space="preserve">Repairing Sleeve suitable for ACCC Zebra Conductor Eq. </t>
  </si>
  <si>
    <t xml:space="preserve">Vibration Damper suitable for ACCC Zebra Conductor Eq. </t>
  </si>
  <si>
    <t xml:space="preserve">PI Clamp for for ACCC Zebra Conductor Eq. </t>
  </si>
  <si>
    <t>Jumper cone - for each jumper in case of tention tower</t>
  </si>
  <si>
    <t>220 KV  Insulator with  Stringing Accessories</t>
  </si>
  <si>
    <t>220 KV, 120 KN  polymer Insulators</t>
  </si>
  <si>
    <t>120/160 KN  Polymer Insulators</t>
  </si>
  <si>
    <t>Set</t>
  </si>
  <si>
    <t xml:space="preserve"> 220kV  Tower  Earthing</t>
  </si>
  <si>
    <t>Earthing of of 220kV Double Ckt Tower  comprising of 3 meter long ISI marked B class 40 MM Dia GI Pipe along with GI Flat 50 X 6 mm</t>
  </si>
  <si>
    <t>220kV Tower Accessories</t>
  </si>
  <si>
    <t>Tangent Towers incl. contingencies</t>
  </si>
  <si>
    <t>Small Angle Towers incl. contingencies</t>
  </si>
  <si>
    <t>Medium Angle Towers incl. contingencies</t>
  </si>
  <si>
    <t>Large Angle and Dead End Towers incl. contingencies</t>
  </si>
  <si>
    <t>Survey and Field Assessment</t>
  </si>
  <si>
    <t>Preliminary Survey with GPS survey, theodilite &amp; total station, marking route on topo sheets represents actual field conditions</t>
  </si>
  <si>
    <t xml:space="preserve">Detailed Survey with GPS, total stations, Digital theodolite etc., along the approved alignments preparation of profiles, tower spotting, tower schedules and soil resistivity </t>
  </si>
  <si>
    <t>Check Survey, peg marking the tower positions on ground, conforming to the approved Profile and tower schedules using GPS, Total stations, Digital theodolites etc.</t>
  </si>
  <si>
    <t xml:space="preserve">Setting with stub for all types of towers with stub setting template which includes erection of stubs, fixing of jacks for supporting template, alignment and leveling excluding cost of excavation and concrete (excluding transportation charges) </t>
  </si>
  <si>
    <t>Foundation Cost for 220kV Double Ckt Tower including excavation, cement, reinforcement etc</t>
  </si>
  <si>
    <t xml:space="preserve">Super structure erection of all type of towers including extensions except RC towers including fitting of step bolts, danger plates, number plates, phase plates, circuit plates, bird guards,  anti-climbing devices etc. </t>
  </si>
  <si>
    <t xml:space="preserve">Mounting of Insulators and Stringing </t>
  </si>
  <si>
    <t>Mounting of Insulators and stringing of single circuit with  ACCC Zebra Conductor including laying, jointing, tensioning, sagging clamping and fixing spacers (excluding transportation charges).</t>
  </si>
  <si>
    <t>Stringing of one (1) no. OPGW earthwire, including laying jointing, tensioning etc., with necessary accessories (excluding transportation charges).</t>
  </si>
  <si>
    <t>Earthing of transmission towers:</t>
  </si>
  <si>
    <t>set</t>
  </si>
  <si>
    <t>ROW / Crop &amp; Land Compensation</t>
  </si>
  <si>
    <t>Km</t>
  </si>
  <si>
    <t xml:space="preserve">Land Compensation for Tower Base </t>
  </si>
  <si>
    <t>per Tower</t>
  </si>
  <si>
    <t>Land Compensation for  ROW of the line</t>
  </si>
  <si>
    <t>Lumsum</t>
  </si>
  <si>
    <t xml:space="preserve">Erection Charges </t>
  </si>
  <si>
    <t>Unit Rate</t>
  </si>
  <si>
    <t>Mtr</t>
  </si>
  <si>
    <t>220kV Bays for  Transmission Lines</t>
  </si>
  <si>
    <t>mtr</t>
  </si>
  <si>
    <t>230 kV(), Single Core  1200 Sq. mm. Alumintum conductor XLPE Insulated, Corrugated Aluminium Sheath, Aluminium wire armoured, HOPE outer sheathed power cable</t>
  </si>
  <si>
    <t>230 kV straight through joint for 230 kV 1C X 1200 Sq.mm XLPE Alu cable</t>
  </si>
  <si>
    <t>230 kV outdoor termination kit for 230 kV 1CX1200  Sq.mm XLPE Alu cable</t>
  </si>
  <si>
    <t>230 kV outdoor termination structure</t>
  </si>
  <si>
    <t>PVSyst File</t>
  </si>
  <si>
    <t>GlobHor</t>
  </si>
  <si>
    <t>DiffHor</t>
  </si>
  <si>
    <t>T_Amb</t>
  </si>
  <si>
    <t>GlobInc</t>
  </si>
  <si>
    <t>GlobEff</t>
  </si>
  <si>
    <t>EArray</t>
  </si>
  <si>
    <t>E_Grid</t>
  </si>
  <si>
    <t>kWh/m²</t>
  </si>
  <si>
    <t>°C</t>
  </si>
  <si>
    <t>MWh</t>
  </si>
  <si>
    <t>PR</t>
  </si>
  <si>
    <t>Capacity (MW)</t>
  </si>
  <si>
    <t>Days</t>
  </si>
  <si>
    <t>January</t>
  </si>
  <si>
    <t>February</t>
  </si>
  <si>
    <t>March</t>
  </si>
  <si>
    <t>April</t>
  </si>
  <si>
    <t>May</t>
  </si>
  <si>
    <t>June</t>
  </si>
  <si>
    <t>July</t>
  </si>
  <si>
    <t>August</t>
  </si>
  <si>
    <t>September</t>
  </si>
  <si>
    <t>October</t>
  </si>
  <si>
    <t>November</t>
  </si>
  <si>
    <t>December</t>
  </si>
  <si>
    <t>Year</t>
  </si>
  <si>
    <t>General</t>
  </si>
  <si>
    <t>Rs Lakhs</t>
  </si>
  <si>
    <t>Rs Lakh/ MW</t>
  </si>
  <si>
    <t>DC Capacity</t>
  </si>
  <si>
    <t>Rs per unit</t>
  </si>
  <si>
    <t>Rs per MW</t>
  </si>
  <si>
    <t>Start of Project</t>
  </si>
  <si>
    <t>Construction Period</t>
  </si>
  <si>
    <t>Land</t>
  </si>
  <si>
    <t>Rs Lakh per Acre</t>
  </si>
  <si>
    <t>Site Development</t>
  </si>
  <si>
    <t>Road Infrastructure</t>
  </si>
  <si>
    <t>Building and Civil Infrastructure</t>
  </si>
  <si>
    <t>Evacuation Infrastructure</t>
  </si>
  <si>
    <t>Other Charges</t>
  </si>
  <si>
    <t>Local Area Development Charges</t>
  </si>
  <si>
    <t xml:space="preserve">Registration Cost </t>
  </si>
  <si>
    <t>Legal Charges</t>
  </si>
  <si>
    <t>Regulatory Charges</t>
  </si>
  <si>
    <t>Infrastructure</t>
  </si>
  <si>
    <t>Solar Project</t>
  </si>
  <si>
    <t>Rs Lakh per kM</t>
  </si>
  <si>
    <t>Rs Lakh per Unit</t>
  </si>
  <si>
    <t>Storage</t>
  </si>
  <si>
    <t>Pooling Sub-station</t>
  </si>
  <si>
    <t>AC Capacity - Project</t>
  </si>
  <si>
    <t>Technical Design</t>
  </si>
  <si>
    <t>Summary</t>
  </si>
  <si>
    <t>m</t>
  </si>
  <si>
    <t>Other Charges - Total</t>
  </si>
  <si>
    <t>Infrastructure Development</t>
  </si>
  <si>
    <t>Generation Project</t>
  </si>
  <si>
    <t>Solar PV System</t>
  </si>
  <si>
    <t>Infrastructure Cost part of Generation Tariff</t>
  </si>
  <si>
    <t>Capex incl. IDC</t>
  </si>
  <si>
    <t>Infrastructure Charges</t>
  </si>
  <si>
    <t>Lease Rent</t>
  </si>
  <si>
    <t>Water Use charges</t>
  </si>
  <si>
    <t>Road, building maintenance</t>
  </si>
  <si>
    <t>SLDC Charges</t>
  </si>
  <si>
    <t>A&amp;G Charges</t>
  </si>
  <si>
    <t>Transmission O&amp;M Charges</t>
  </si>
  <si>
    <t>O&amp;M - Generation</t>
  </si>
  <si>
    <t>O&amp;M - Infrastructure</t>
  </si>
  <si>
    <t>Rs Lakh/ Litre</t>
  </si>
  <si>
    <t>% of Assets</t>
  </si>
  <si>
    <t>Escalation</t>
  </si>
  <si>
    <t>Nos #</t>
  </si>
  <si>
    <t>O&amp;M (Rs L)</t>
  </si>
  <si>
    <t>Annual O&amp;M Norms</t>
  </si>
  <si>
    <t>FY 23</t>
  </si>
  <si>
    <t>FY 24</t>
  </si>
  <si>
    <t>Sub-station bays</t>
  </si>
  <si>
    <t>220 kV Sub-station (Rs Lakh/ bay)</t>
  </si>
  <si>
    <t>Transformer (MVA)</t>
  </si>
  <si>
    <t>220 kV Transformer (Rs L/MVA)</t>
  </si>
  <si>
    <t>Net</t>
  </si>
  <si>
    <t>O&amp;M Escalation</t>
  </si>
  <si>
    <t>Generation O&amp;M</t>
  </si>
  <si>
    <t>Infrastructure O&amp;M</t>
  </si>
  <si>
    <t>O&amp;M Total</t>
  </si>
  <si>
    <t>Project Tariff</t>
  </si>
  <si>
    <t>Transmission O&amp;M</t>
  </si>
  <si>
    <t>Capital Cost - Total</t>
  </si>
  <si>
    <t>Economic Benefit</t>
  </si>
  <si>
    <t>Avoided Fuel Cost</t>
  </si>
  <si>
    <t>Job Creation</t>
  </si>
  <si>
    <t>Project Terminal Value</t>
  </si>
  <si>
    <t>Economic IRR</t>
  </si>
  <si>
    <t>Discount Factor (WACC)</t>
  </si>
  <si>
    <t>Project NPV</t>
  </si>
  <si>
    <t>Enery Charge</t>
  </si>
  <si>
    <t>Fixed Charge</t>
  </si>
  <si>
    <t>Escalation in Total Charge</t>
  </si>
  <si>
    <t>Levelized Tariff-Solar</t>
  </si>
  <si>
    <t>Net Generation-Solar</t>
  </si>
  <si>
    <t>MU</t>
  </si>
  <si>
    <t>CO2 emission savings</t>
  </si>
  <si>
    <t>t-CO2</t>
  </si>
  <si>
    <t>Economic Cost of CO2 Emission Savings</t>
  </si>
  <si>
    <t>Manpower Growth</t>
  </si>
  <si>
    <t>No of Manpower</t>
  </si>
  <si>
    <t>Escalation in Manpower</t>
  </si>
  <si>
    <t>Escalation in Remuneration</t>
  </si>
  <si>
    <t>Economic Assumptions</t>
  </si>
  <si>
    <t>Net Generation- Thermal Plant-BKTPS</t>
  </si>
  <si>
    <t>Energy Charge</t>
  </si>
  <si>
    <t>Reduced Carbon Emission</t>
  </si>
  <si>
    <t>CO2 Emission</t>
  </si>
  <si>
    <t>Economic Cost of CO2 emission</t>
  </si>
  <si>
    <t>USD/tonne</t>
  </si>
  <si>
    <t>Current Exchange Rate</t>
  </si>
  <si>
    <t>INR/USD</t>
  </si>
  <si>
    <t>Economic Discount Rate</t>
  </si>
  <si>
    <t>Economic Analysis</t>
  </si>
  <si>
    <t>Rs/ kWh</t>
  </si>
  <si>
    <t>Reduced Carbon Emissions</t>
  </si>
  <si>
    <t>Incremental Benefits</t>
  </si>
  <si>
    <t>Total Benefits</t>
  </si>
  <si>
    <t>Net Benefits</t>
  </si>
  <si>
    <t>Rs / tonne</t>
  </si>
  <si>
    <t>Rs / kWh</t>
  </si>
  <si>
    <t>Rs/ ton</t>
  </si>
  <si>
    <t>Resource cost saving</t>
  </si>
  <si>
    <t>Remuneration per person</t>
  </si>
  <si>
    <t>EIRR</t>
  </si>
  <si>
    <t>Bakreswar</t>
  </si>
  <si>
    <t>Rs Crore</t>
  </si>
  <si>
    <t>FIRR</t>
  </si>
  <si>
    <t>WACC</t>
  </si>
  <si>
    <t xml:space="preserve">India </t>
  </si>
  <si>
    <t>NA</t>
  </si>
  <si>
    <t>State Regulations</t>
  </si>
  <si>
    <t>Please Select Switch</t>
  </si>
  <si>
    <t>Net Generation</t>
  </si>
  <si>
    <t>CO2 Emissions</t>
  </si>
  <si>
    <t>As per CEA</t>
  </si>
  <si>
    <t>No of Workers</t>
  </si>
  <si>
    <t>Estimates of the job creation potential during the solar park construction </t>
  </si>
  <si>
    <t>Estimates of the job creation potential during the solar park operation and maintenance</t>
  </si>
  <si>
    <t>SCF</t>
  </si>
  <si>
    <t>SWRF</t>
  </si>
  <si>
    <t>Unkilled Labour</t>
  </si>
  <si>
    <t>SERF</t>
  </si>
  <si>
    <t>INR/month</t>
  </si>
  <si>
    <t>Skilled Labour</t>
  </si>
  <si>
    <t>Highly Skilled Labour</t>
  </si>
  <si>
    <t>Yes</t>
  </si>
  <si>
    <t>Other Charges/Statutory Charges</t>
  </si>
  <si>
    <t>Cost of Green Belt</t>
  </si>
  <si>
    <t>Floats-Long Secondary</t>
  </si>
  <si>
    <t>Floats- Short Secondary</t>
  </si>
  <si>
    <t>Waste disposal and liquid sewage treatment plant</t>
  </si>
  <si>
    <t>Any other envisaged</t>
  </si>
  <si>
    <t>Per Unit Cost of Coal</t>
  </si>
  <si>
    <t>D</t>
  </si>
  <si>
    <t>Lighting</t>
  </si>
  <si>
    <t>Drainage System</t>
  </si>
  <si>
    <t xml:space="preserve">Medical facilities </t>
  </si>
  <si>
    <t xml:space="preserve">Solid waste collection, recycling and storage </t>
  </si>
  <si>
    <t>Optional</t>
  </si>
  <si>
    <t>BkTPS</t>
  </si>
  <si>
    <t>WBPDCL</t>
  </si>
  <si>
    <t>Bandel TPS-I</t>
  </si>
  <si>
    <t>Kolaghat TPS</t>
  </si>
  <si>
    <t>Remuneration/Month (in INR)</t>
  </si>
  <si>
    <t>No of Units</t>
  </si>
  <si>
    <t>Module Size</t>
  </si>
  <si>
    <t>Technical</t>
  </si>
  <si>
    <t>Mooring Line</t>
  </si>
  <si>
    <t>Anchors</t>
  </si>
  <si>
    <t>Floats- Cables</t>
  </si>
  <si>
    <t>Total Cost</t>
  </si>
  <si>
    <t>Cost (Rs Lakh)</t>
  </si>
  <si>
    <t>II</t>
  </si>
  <si>
    <t>F</t>
  </si>
  <si>
    <t>I</t>
  </si>
  <si>
    <t>G</t>
  </si>
  <si>
    <t>Inverter-Transformer Platform</t>
  </si>
  <si>
    <t>Anchoring</t>
  </si>
  <si>
    <t>Mooring</t>
  </si>
  <si>
    <t>Rs</t>
  </si>
  <si>
    <t>Installation Cost</t>
  </si>
  <si>
    <t>DC Cables &amp; Connectors</t>
  </si>
  <si>
    <t xml:space="preserve">SCADA </t>
  </si>
  <si>
    <t>AC Cables (1.9/3.3kV) - From Inverter - Inverter Transformer</t>
  </si>
  <si>
    <t xml:space="preserve">HT Panels &amp; RMU </t>
  </si>
  <si>
    <t>HT Cables &amp; Terminations</t>
  </si>
  <si>
    <t>Plant Illumination System</t>
  </si>
  <si>
    <t>LT System &amp; Auxiliary System</t>
  </si>
  <si>
    <t>Inverter Transformers</t>
  </si>
  <si>
    <t>Earthing System</t>
  </si>
  <si>
    <t>Gates</t>
  </si>
  <si>
    <t>Anchor Type - Gravity</t>
  </si>
  <si>
    <t>E</t>
  </si>
  <si>
    <t>Other Infrastructure</t>
  </si>
  <si>
    <t>Fencing</t>
  </si>
  <si>
    <t>Offices</t>
  </si>
  <si>
    <t>Housing</t>
  </si>
  <si>
    <t>Common Infrastructure</t>
  </si>
  <si>
    <t>Waste disposal &amp; liquid sewage treatment plant</t>
  </si>
  <si>
    <t>Master Control Room (MCR)</t>
  </si>
  <si>
    <t>III</t>
  </si>
  <si>
    <t xml:space="preserve">Infrastructure </t>
  </si>
  <si>
    <t>Other Costs</t>
  </si>
  <si>
    <t>Service Cost/Installation Cost</t>
  </si>
  <si>
    <t>Mooring Accessories</t>
  </si>
  <si>
    <t>Mooring Line Accessories</t>
  </si>
  <si>
    <t>Inverter 4.4 MW</t>
  </si>
  <si>
    <t>SCADA  Hardware and Software for 200MW</t>
  </si>
  <si>
    <t>SCADA Hardware and Software for 200MW @ MCR</t>
  </si>
  <si>
    <t>Communication cable-CAT-6 cable for SCADA</t>
  </si>
  <si>
    <t>Fiber Optic Cable for SCADA between Inv. Station to MCR  - 12 fibre</t>
  </si>
  <si>
    <t xml:space="preserve">RS485 Communication Cable 2Px0.5 sqmm Shielded GS wire Armoured </t>
  </si>
  <si>
    <t>NOS</t>
  </si>
  <si>
    <t>MTR</t>
  </si>
  <si>
    <t>No of Module Floats per Sub Plot</t>
  </si>
  <si>
    <t>Project Capacity</t>
  </si>
  <si>
    <t>MW DC</t>
  </si>
  <si>
    <t>Inverter Rating (in kW) &amp; Qty  (At 50ᵒ C Temp)</t>
  </si>
  <si>
    <t>Total Modules</t>
  </si>
  <si>
    <t>Module rating</t>
  </si>
  <si>
    <t># Module per string</t>
  </si>
  <si>
    <t xml:space="preserve">PV Modules </t>
  </si>
  <si>
    <t>Spare Modules</t>
  </si>
  <si>
    <t>lot</t>
  </si>
  <si>
    <t>EL Testing</t>
  </si>
  <si>
    <t>Thermography</t>
  </si>
  <si>
    <t>Floating Module Mounting Structure</t>
  </si>
  <si>
    <t>OMF (Module Float)</t>
  </si>
  <si>
    <t>OLSF (Long Secondary Float)</t>
  </si>
  <si>
    <t>OSSF (Small Secondary Float)</t>
  </si>
  <si>
    <t>OSSFx (Small Secondary Walkway Float)</t>
  </si>
  <si>
    <t>Anchoring and Mooring System</t>
  </si>
  <si>
    <t>Structure for mounting SCB with canopy</t>
  </si>
  <si>
    <t xml:space="preserve">1.8 kV DC, 1Cx 6 Sq.mm. string cables in line with EN50618 </t>
  </si>
  <si>
    <t>String cable dressing</t>
  </si>
  <si>
    <t>Cable Ties-300 mm</t>
  </si>
  <si>
    <t>Cable Ties-550 mm</t>
  </si>
  <si>
    <t>32 ID / 40mm OD DWC Pipe (UV Protection &amp; Helogen Free)</t>
  </si>
  <si>
    <t xml:space="preserve">Earth Pit - 3nos. Per LA
3000mm 17.2mm dia copper bonded rod along with earth pit &amp; maintenace free earthing  </t>
  </si>
  <si>
    <t>Franklin Rod Type LA System</t>
  </si>
  <si>
    <t>7.5 mtr lightning mast</t>
  </si>
  <si>
    <t>2.5 mtr lightning mast</t>
  </si>
  <si>
    <t>Down Conductor -  1cx70Sq.mm Cu flexible cable - green colour</t>
  </si>
  <si>
    <t>Bimetallic lugs for connecting cable and Earth strip</t>
  </si>
  <si>
    <t>Nos.</t>
  </si>
  <si>
    <t>Cu Lugs for above</t>
  </si>
  <si>
    <t>1Cx25 Sq.mm. Cu. Flexible Cable For SCB</t>
  </si>
  <si>
    <t>Warranty Costs</t>
  </si>
  <si>
    <t>Inverters</t>
  </si>
  <si>
    <t>MW AC</t>
  </si>
  <si>
    <t>450x125mmx2mm thk  Ladder Type HDG Cable Tray with GI Cover</t>
  </si>
  <si>
    <t>50x6 MM GI Earth Strip for cable tray earthing with galvanization of min 80 microns</t>
  </si>
  <si>
    <t>Trefoil clamp-Nylon6 glass filled fibre clamp for 1Cx400 Sq.mm cable</t>
  </si>
  <si>
    <t>4Cx 16Sqmm Al,Ar, XLPE with Cable for Peripherial lighting, FRLSH</t>
  </si>
  <si>
    <t>Meters</t>
  </si>
  <si>
    <t>4Cx 16 Sqmm, Al, cable with Cable from light DB to fisrt light pole, FRLSH</t>
  </si>
  <si>
    <t>Al 4c, 16sqmm, Al, Ar, XLPE  FRLSH outer &amp; Inner sheath</t>
  </si>
  <si>
    <t>Al 1Cx400Sq.mm, 1.9/3.3kV, Al, Ar, XLPE, FRLS outersheath On Cable Tray</t>
  </si>
  <si>
    <t>Mters</t>
  </si>
  <si>
    <t>3Cx2.5 Sq.mm Cu. Flexible cable from JB to Light fixture</t>
  </si>
  <si>
    <t>Control Cable</t>
  </si>
  <si>
    <t>3CX2.5, Cu, Ar, XLPE with FRLSH outer &amp; Inner sheath</t>
  </si>
  <si>
    <t>5CX2.5, Cu, Ar, XLPE with  FRLSH outer &amp; Inner sheath</t>
  </si>
  <si>
    <t>7CX2.5, Cu, Ar, XLPE with FRLSH outer &amp; Inner sheath</t>
  </si>
  <si>
    <t>10CX2.5, Cu, Ar, XLPE with FRLSH outer &amp; Inner sheath</t>
  </si>
  <si>
    <t>1.1 KV, YWY, 14C X 2.5 Sq.mm Electrolytic Grade annealed plain copper,  EXTRUDED HR PVC TYPE -C INSULATION AS PER IS : 5831 -1984, Extruded PVC TYPE ST-2 AS PER IS : 5831 1-984 innersheath, GS round wire, EXTRUDED FR-LSH PVC TYPE ST-2 outersheath cable</t>
  </si>
  <si>
    <t>16X2.5, Cu, Ar, XLPE with FRLSH outer &amp; Inner sheath</t>
  </si>
  <si>
    <t>1.1 KV, YWY, 19C X 2.5 Sq.mm Electrolytic Grade annealed plain copper,  EXTRUDED HR PVC TYPE -C INSULATION AS PER IS : 5831 -1984, Extruded PVC TYPE ST-2 AS PER IS : 5831 1-984 innersheath, GS round wire, EXTRUDED FR-LSH PVC TYPE ST-2 outersheath cable</t>
  </si>
  <si>
    <t xml:space="preserve">Cable tray </t>
  </si>
  <si>
    <t>300x125mmx2mm thk Ladder Type HDG Cable Tray with GI Cover</t>
  </si>
  <si>
    <t>600mmx150mmx2mm Ladder type tray</t>
  </si>
  <si>
    <t>Perforated cable tray</t>
  </si>
  <si>
    <t>300mm W x 50mm H x 2mm Thk Hot dip Galvanised Perforated type Cable Tray GI Hot Dip Galvanised as per with Zinc coating of 610GSM &amp; 86 Micron Average as per IS:4759,2629</t>
  </si>
  <si>
    <t>150mm W x 50mm H x 2mm Thk Galvanised Perforated type Cable Tray GI Hot Dip Galvanised as per with Zinc coating of 610GSM &amp; 86 Micron Average as per IS:4759,2629</t>
  </si>
  <si>
    <t>Cable tray supports</t>
  </si>
  <si>
    <t>KG</t>
  </si>
  <si>
    <t>Hume Pipe</t>
  </si>
  <si>
    <t>Dwc pipe for external lighting entry/exit</t>
  </si>
  <si>
    <t>150mm Dia Hume Pipe - 2mtr length</t>
  </si>
  <si>
    <t>200mm Dia Hume Pipe - 2mtr length</t>
  </si>
  <si>
    <t xml:space="preserve">300 mm dia, Class-2 Hume pipe </t>
  </si>
  <si>
    <t>Outdoor Termination</t>
  </si>
  <si>
    <t>Indoor Termination</t>
  </si>
  <si>
    <t>Straight throgh Joint</t>
  </si>
  <si>
    <t xml:space="preserve">Aux DB for above Trafo </t>
  </si>
  <si>
    <t>Auxilary Transformer (100 kVA, 33kV/415V) With Isolator in MCR - oil type, as per IS1180. level-2. Current density 3A, Earth strip should be suitable for STC for 4 sec.</t>
  </si>
  <si>
    <t>4Way TPN L+PDB MCR, IVR &amp; Security room -IP 52</t>
  </si>
  <si>
    <t>Main Aux. panel - MCR with provision for 2 I/C's from Aux Trafo, 1no. BC , 1 I/C for DG incomer.-IP 42, Current density- 0.5A/Sq.mm, MCCB with 50kA,  LSIG release at incomer of ACDB Short circuit Raring will be 50kA/1SEC</t>
  </si>
  <si>
    <t>Inv room Aux. panel (Indoor type) with Minimum 16Nos. MCCB output feeder, installed in PEB building-IP 52, Current density- 0.5A/Sq.mm, MCCB with 50kA,  LSIG release at incomer of ACDB Short circuit Raring will be 50kA/1SEC</t>
  </si>
  <si>
    <t>Isolator / COS Panel- -IP 52, Current density- 0.5A/Sq.mm</t>
  </si>
  <si>
    <t>UPS Panel for Main Control room -IP 52, Current density- 0.5A/Sq.mm</t>
  </si>
  <si>
    <t>UPS Panel for Inverter Station -IP 52, Current density- 0.5A/Sq.mm</t>
  </si>
  <si>
    <t>LDB  for main control room &amp; Hostel Building -IP 42, with 24hours timer and RCCB as Incomer, for each phase and O/G MCB's</t>
  </si>
  <si>
    <t>PDB  for main control room &amp;  Hostel Building -IP 42</t>
  </si>
  <si>
    <t>ELDB  for main control room &amp;  Hostel Building -IP-42, with 24hours timer and RCCB as Incomer, for each phase and O/G MCB's</t>
  </si>
  <si>
    <t>EPDB  for main control room &amp;  Hostel Building -IP 42</t>
  </si>
  <si>
    <t>Lighting transformer - 2kVA - 415V/415V</t>
  </si>
  <si>
    <t>Lighting transformer - 5kVA - 415V/415V</t>
  </si>
  <si>
    <t>Raw power -LDB  for Inverter station -IP 52 with 24hours timer and RCCB as Incomer, for each phase and O/G MCB's</t>
  </si>
  <si>
    <t>UPS power -ELDB  for Inverter station -IP 52 with 24hours timer and RCCB as Incomer, for each phase and O/G MCB's</t>
  </si>
  <si>
    <t>110V Battery charger &amp; 2 set of Battery racks</t>
  </si>
  <si>
    <t xml:space="preserve">Main Aux. panel (Indoor type) with separate KWH meter-IP 52, Current density- 0.5A/Sq.mm for Hostel </t>
  </si>
  <si>
    <t>Inverter Transformer  [ Type-A] Outdoor Oil type.
Rating  : 6.3 MVA, 33/2x0.660 kV, 3 Winding Al. Trafo., Dy11y11 Floating neutral. 1.7A/Sq.mm current density.
1.0 % Loss (0.9 % load loss + 0.1% No load loss) 
with SC tested transformer.</t>
  </si>
  <si>
    <t xml:space="preserve">NIPFS for the Above </t>
  </si>
  <si>
    <t>Differential protection CTs (Supply) &amp; Oil filtration incl. Transit (Service)</t>
  </si>
  <si>
    <t>H</t>
  </si>
  <si>
    <t>Under Water Dead Weight Earthing</t>
  </si>
  <si>
    <t>50x10 GS earth strip</t>
  </si>
  <si>
    <t>65x10 MM GI Earth Strip</t>
  </si>
  <si>
    <t>25x6 MM GI Earth Strip</t>
  </si>
  <si>
    <t>25x3 MM GI Earth Strip</t>
  </si>
  <si>
    <t>50x6 MM Cu Earth Strip</t>
  </si>
  <si>
    <t>25x3 MM Cu Earth Strip</t>
  </si>
  <si>
    <t>25x6 MM GI/Cu Flexible Cable</t>
  </si>
  <si>
    <t>50x6 MM GI Earth Strip for HT trench</t>
  </si>
  <si>
    <t>Master Control Room</t>
  </si>
  <si>
    <t>Power Plant Controller</t>
  </si>
  <si>
    <t>Telecommunication Infrastructure</t>
  </si>
  <si>
    <t>Control Cables (AC and DC), communication cables</t>
  </si>
  <si>
    <t>HVAC</t>
  </si>
  <si>
    <t>Escalation in Foundation cost for next angel Tower</t>
  </si>
  <si>
    <t>Proposed Transmission Line Route Length for 220 kV Line</t>
  </si>
  <si>
    <t>Railway Block Charges ( 3 Hours)</t>
  </si>
  <si>
    <t>Tower Foundation and Errection</t>
  </si>
  <si>
    <t>6,7,8</t>
  </si>
  <si>
    <t>MVAr</t>
  </si>
  <si>
    <t>According to  CEA connectivity standard, to provide dynamic variable reactive power support while maintaining 100% active power and 33% of reactive power at the point of interconnection</t>
  </si>
  <si>
    <t>Installation of STATCOM for Reactive Power Compensation at 33 kV</t>
  </si>
  <si>
    <t>33kV Bays for STATCOM</t>
  </si>
  <si>
    <t xml:space="preserve">Reactive Power Compensation </t>
  </si>
  <si>
    <t>33kV Bus Section &amp; Bus Coupler Bays</t>
  </si>
  <si>
    <t>33KV, HT Cable  outdoor termination kit suitable  for XLPE cable (HS type) + Structure Cost</t>
  </si>
  <si>
    <t>Cable Termination Kit &amp; Structure</t>
  </si>
  <si>
    <t>f</t>
  </si>
  <si>
    <t xml:space="preserve">Supplying 80 MVA, 3 phase, 50 Hz, oil immersed and ONAN/ ONAF cooling, OLTC, outdoor type, copper wound transformer with delta connection on HV side &amp; Star connection on LV side with additional neutral brought out on load side, voltage rating 220/33 KV with HV tapping of  ±10%  in step of 1.25% each continuously rated for full load with first filling of oil and standard accessories complete with Test Certificate with Full Load and No load losses limited to the values as per IS 2026 with ISO 9001:2000 certified Nitrogen injection Fire protection system with sump pit, Nitrogen cylinders pipeline &amp; transformer modifications (if required)  </t>
  </si>
  <si>
    <t>33/220 kV, 80 MVA Power Transformer</t>
  </si>
  <si>
    <t>220 kV  Bus Transfer Bay</t>
  </si>
  <si>
    <t>220 kV Line Bay+ Bus Coupler Bay</t>
  </si>
  <si>
    <t>Reactive Power Compensation as per CEA connectivity standard,</t>
  </si>
  <si>
    <t>33 kV Bus Section &amp; Bus Coupler Bays</t>
  </si>
  <si>
    <t>INR Lakhs</t>
  </si>
  <si>
    <t>Lump Sum</t>
  </si>
  <si>
    <t xml:space="preserve">Sub Station Modification ( Shifting of existing Equipments etc ) </t>
  </si>
  <si>
    <t>Storage Space</t>
  </si>
  <si>
    <t>Approach Road</t>
  </si>
  <si>
    <t>FSPV Master Control Room</t>
  </si>
  <si>
    <t>Sub station Control Room</t>
  </si>
  <si>
    <t xml:space="preserve">220/33 kV Sub Station </t>
  </si>
  <si>
    <t>PV Modules</t>
  </si>
  <si>
    <t>Av Length (m)</t>
  </si>
  <si>
    <t>Av Width (m)</t>
  </si>
  <si>
    <t>Area (Acre)</t>
  </si>
  <si>
    <r>
      <t>Type A -  Suspension Tower - 0</t>
    </r>
    <r>
      <rPr>
        <vertAlign val="superscript"/>
        <sz val="9"/>
        <color theme="1"/>
        <rFont val="Calibri"/>
        <family val="2"/>
        <scheme val="minor"/>
      </rPr>
      <t>0</t>
    </r>
    <r>
      <rPr>
        <sz val="9"/>
        <color theme="1"/>
        <rFont val="Calibri"/>
        <family val="2"/>
        <scheme val="minor"/>
      </rPr>
      <t xml:space="preserve"> to 2</t>
    </r>
    <r>
      <rPr>
        <vertAlign val="superscript"/>
        <sz val="9"/>
        <color theme="1"/>
        <rFont val="Calibri"/>
        <family val="2"/>
        <scheme val="minor"/>
      </rPr>
      <t>0</t>
    </r>
  </si>
  <si>
    <r>
      <t>Type B -  Double Suspension Tower- 2</t>
    </r>
    <r>
      <rPr>
        <vertAlign val="superscript"/>
        <sz val="9"/>
        <color theme="1"/>
        <rFont val="Calibri"/>
        <family val="2"/>
        <scheme val="minor"/>
      </rPr>
      <t>0</t>
    </r>
    <r>
      <rPr>
        <sz val="9"/>
        <color theme="1"/>
        <rFont val="Calibri"/>
        <family val="2"/>
        <scheme val="minor"/>
      </rPr>
      <t xml:space="preserve"> to 15</t>
    </r>
    <r>
      <rPr>
        <vertAlign val="superscript"/>
        <sz val="9"/>
        <color theme="1"/>
        <rFont val="Calibri"/>
        <family val="2"/>
        <scheme val="minor"/>
      </rPr>
      <t xml:space="preserve">0 </t>
    </r>
  </si>
  <si>
    <r>
      <t>Type C -  Tension Tower - 15</t>
    </r>
    <r>
      <rPr>
        <vertAlign val="superscript"/>
        <sz val="9"/>
        <color theme="1"/>
        <rFont val="Calibri"/>
        <family val="2"/>
        <scheme val="minor"/>
      </rPr>
      <t>0</t>
    </r>
    <r>
      <rPr>
        <sz val="9"/>
        <color theme="1"/>
        <rFont val="Calibri"/>
        <family val="2"/>
        <scheme val="minor"/>
      </rPr>
      <t xml:space="preserve"> to 30</t>
    </r>
    <r>
      <rPr>
        <vertAlign val="superscript"/>
        <sz val="9"/>
        <color theme="1"/>
        <rFont val="Calibri"/>
        <family val="2"/>
        <scheme val="minor"/>
      </rPr>
      <t xml:space="preserve">0 </t>
    </r>
  </si>
  <si>
    <r>
      <t>Type D -  Dead End Tower - 30</t>
    </r>
    <r>
      <rPr>
        <vertAlign val="superscript"/>
        <sz val="9"/>
        <color theme="1"/>
        <rFont val="Calibri"/>
        <family val="2"/>
        <scheme val="minor"/>
      </rPr>
      <t>0</t>
    </r>
    <r>
      <rPr>
        <sz val="9"/>
        <color theme="1"/>
        <rFont val="Calibri"/>
        <family val="2"/>
        <scheme val="minor"/>
      </rPr>
      <t xml:space="preserve"> to 60</t>
    </r>
    <r>
      <rPr>
        <vertAlign val="superscript"/>
        <sz val="9"/>
        <color theme="1"/>
        <rFont val="Calibri"/>
        <family val="2"/>
        <scheme val="minor"/>
      </rPr>
      <t xml:space="preserve">0 </t>
    </r>
  </si>
  <si>
    <r>
      <t>Type B -  Double Suspension Tower - 2</t>
    </r>
    <r>
      <rPr>
        <vertAlign val="superscript"/>
        <sz val="9"/>
        <color theme="1"/>
        <rFont val="Calibri"/>
        <family val="2"/>
        <scheme val="minor"/>
      </rPr>
      <t>0</t>
    </r>
    <r>
      <rPr>
        <sz val="9"/>
        <color theme="1"/>
        <rFont val="Calibri"/>
        <family val="2"/>
        <scheme val="minor"/>
      </rPr>
      <t xml:space="preserve"> to 15</t>
    </r>
    <r>
      <rPr>
        <vertAlign val="superscript"/>
        <sz val="9"/>
        <color theme="1"/>
        <rFont val="Calibri"/>
        <family val="2"/>
        <scheme val="minor"/>
      </rPr>
      <t xml:space="preserve">0 </t>
    </r>
  </si>
  <si>
    <t>Land Area</t>
  </si>
  <si>
    <t>Number Plate</t>
  </si>
  <si>
    <t>Danger Plate</t>
  </si>
  <si>
    <t>Circuit Plate</t>
  </si>
  <si>
    <t>Phase Plate</t>
  </si>
  <si>
    <t>Bird Guard</t>
  </si>
  <si>
    <t xml:space="preserve">Anti Climbing Devices </t>
  </si>
  <si>
    <t xml:space="preserve">Transmission Line - Services &amp; Erection </t>
  </si>
  <si>
    <t>Ex Works</t>
  </si>
  <si>
    <t>Electromechanical Lightning Event Counter (4 DIGIT) in weather proof enclosure</t>
  </si>
  <si>
    <t>Land Total</t>
  </si>
  <si>
    <t>Road Infrastructure Total</t>
  </si>
  <si>
    <t>Site Development Total</t>
  </si>
  <si>
    <t>Transmission Line and Sub-station</t>
  </si>
  <si>
    <t xml:space="preserve"> 220 kV Transmission Line - Configuration</t>
  </si>
  <si>
    <t>Average Span for 220 kV Tower</t>
  </si>
  <si>
    <t>Escalation in weight of Tower for next category  Tower</t>
  </si>
  <si>
    <t>220 kV Tower configuration</t>
  </si>
  <si>
    <t>Weight of Towers</t>
  </si>
  <si>
    <t>Tower Foundations</t>
  </si>
  <si>
    <t>Transmission Line - General</t>
  </si>
  <si>
    <t>220 kV Insulator String Numbers per pole per Tower type</t>
  </si>
  <si>
    <t>Conductor Configuration</t>
  </si>
  <si>
    <t>Extra Conductor length for sagging &amp; wastage</t>
  </si>
  <si>
    <t>meter per drum</t>
  </si>
  <si>
    <t>Maximum length of ACCC Conductor Zebra Equivalent</t>
  </si>
  <si>
    <t xml:space="preserve">Repairing Sleeve suitable for ACCC Zebra Conductor Equivalent for minium stretch length </t>
  </si>
  <si>
    <t>Conductor Type</t>
  </si>
  <si>
    <t>Single ACCC conductor Zebra Equivalent</t>
  </si>
  <si>
    <t>J</t>
  </si>
  <si>
    <t>Transmission Line - Hardware</t>
  </si>
  <si>
    <t>Pipe type earthing including cost of BH coke &amp; salt but excluding cost of earthing set</t>
  </si>
  <si>
    <t>RoW/Crop Compensation etc</t>
  </si>
  <si>
    <t>Transmission Line - 220kV Towers</t>
  </si>
  <si>
    <t>Transmission Line - 220kV Conductors</t>
  </si>
  <si>
    <t>Evacuation System - Other Costs</t>
  </si>
  <si>
    <t>33/220 KV - 300 MW Pooling Sub-Station</t>
  </si>
  <si>
    <t>IV</t>
  </si>
  <si>
    <t>Lumpsum Cost</t>
  </si>
  <si>
    <t>Transmission Line Services &amp; Erection Activities</t>
  </si>
  <si>
    <t>i</t>
  </si>
  <si>
    <t>ii</t>
  </si>
  <si>
    <t>Lot</t>
  </si>
  <si>
    <t>iii</t>
  </si>
  <si>
    <t>iv</t>
  </si>
  <si>
    <t>v</t>
  </si>
  <si>
    <t>Augmentation Works - BoQ</t>
  </si>
  <si>
    <t>Base Cost</t>
  </si>
  <si>
    <t xml:space="preserve">Pooling Sub-Station - 300 MW, 33/220 KV </t>
  </si>
  <si>
    <t>Miscellaneous (Control and Protection)</t>
  </si>
  <si>
    <t>Augmentation Work @ BkTPS Substation</t>
  </si>
  <si>
    <t>Grand Total</t>
  </si>
  <si>
    <t>Pooling Substation (33/220 kV ) - BOQ</t>
  </si>
  <si>
    <t>Transmission Line (220 kV) - BOQ</t>
  </si>
  <si>
    <t>Al 1Cx400Sq.mm, 1.9/3.3kV, Al, Ar, XLPE, FRLS Inner Sheath &amp; Outer Sheath On Cable Tray</t>
  </si>
  <si>
    <t xml:space="preserve">Augmentation </t>
  </si>
  <si>
    <t>Island 1</t>
  </si>
  <si>
    <t>Island 2</t>
  </si>
  <si>
    <t>No of modules per string</t>
  </si>
  <si>
    <t>Unit Price</t>
  </si>
  <si>
    <t>Rs per m</t>
  </si>
  <si>
    <t>1.8 kV, 1Cx300 Sq.mm. Aluminium Conductor, XLPE insulated, (1.5% loss)</t>
  </si>
  <si>
    <t>Incl above</t>
  </si>
  <si>
    <t>PMC Support (fixed duratiobn 10-12 month basis based upto commissioning of the plant)</t>
  </si>
  <si>
    <t>Means of Coneyence system on water bodies during operation &amp; maintenance phase</t>
  </si>
  <si>
    <t>Wave protection devices (additional protection layer in case of any unforeseen dynamic water forces)</t>
  </si>
  <si>
    <t>Mooring System</t>
  </si>
  <si>
    <t>C1</t>
  </si>
  <si>
    <t>AC Cables</t>
  </si>
  <si>
    <t>C2</t>
  </si>
  <si>
    <t>FSP Project Capital Cost</t>
  </si>
  <si>
    <t>Capital Expenditure - Infrastructure</t>
  </si>
  <si>
    <t>Transmission Line System</t>
  </si>
  <si>
    <t>Augmentation Works</t>
  </si>
  <si>
    <t>Capital Expenditure - Transmission Evacuation</t>
  </si>
  <si>
    <t>Infrastructure Cost Total</t>
  </si>
  <si>
    <t>Capital Cost without IDC</t>
  </si>
  <si>
    <t>Cost with Tax (Rs Lakh)</t>
  </si>
  <si>
    <t>BG</t>
  </si>
  <si>
    <t>million tonne</t>
  </si>
  <si>
    <t>Effective Tax Rate</t>
  </si>
  <si>
    <t>Total Financing</t>
  </si>
  <si>
    <t>Anchor and Mooring</t>
  </si>
  <si>
    <t>Floats and Platforms</t>
  </si>
  <si>
    <t>Evacuation System</t>
  </si>
  <si>
    <t>Capital Expenditure - Other Costs</t>
  </si>
  <si>
    <t>Land and Site Development</t>
  </si>
  <si>
    <t>CO2 Emission Avoided</t>
  </si>
  <si>
    <t>Net Energy Charge</t>
  </si>
  <si>
    <t>15 per 100 MW</t>
  </si>
  <si>
    <t>Mooring Line  - Rigid</t>
  </si>
  <si>
    <t>Mooring Line  - Flexible</t>
  </si>
  <si>
    <t>Services</t>
  </si>
  <si>
    <t>Supply</t>
  </si>
  <si>
    <t>Rs Lakh/ acre</t>
  </si>
  <si>
    <t>Pooling S/S + Control Room</t>
  </si>
  <si>
    <t>Approach Roads</t>
  </si>
  <si>
    <t>Access Roads</t>
  </si>
  <si>
    <t xml:space="preserve">Master Control Room - FSPV </t>
  </si>
  <si>
    <t>Green Belt</t>
  </si>
  <si>
    <t>Rs per kM</t>
  </si>
  <si>
    <t xml:space="preserve">Project Cost </t>
  </si>
  <si>
    <t>Rs Cr/MW</t>
  </si>
  <si>
    <t>Lakhs/#</t>
  </si>
  <si>
    <t>Unit Rate (Rs Lakhs)</t>
  </si>
  <si>
    <t xml:space="preserve">Unit Price </t>
  </si>
  <si>
    <t>Lakhs/MVAr</t>
  </si>
  <si>
    <t>Lakhs/Lot</t>
  </si>
  <si>
    <t>Lakhs/Mtr</t>
  </si>
  <si>
    <t>Lakhs/No.</t>
  </si>
  <si>
    <t>As per 4.13.2 of https://wberc.gov.in/sites/default/files/TP%20103-1.pdf</t>
  </si>
  <si>
    <t>NPV @ WACC</t>
  </si>
  <si>
    <t>Cost of using Fossil Fuel</t>
  </si>
  <si>
    <t>Cost of using Non-Fossil fuel</t>
  </si>
  <si>
    <t>Savings</t>
  </si>
  <si>
    <t>OMWF (Main Walkway Float)</t>
  </si>
  <si>
    <t>% of Hard cost</t>
  </si>
  <si>
    <t>Floats- Main Walkways</t>
  </si>
  <si>
    <t>Floats- Secondary Walkways</t>
  </si>
  <si>
    <t>Balance of System</t>
  </si>
  <si>
    <t>Lightning Protection with Earthing</t>
  </si>
  <si>
    <t>Male - MC4 Connector for 1.8 kV DC, 6 Sq.mm. string cables with spare</t>
  </si>
  <si>
    <t>FeMale - MC4 Connector for 1.8 kV DC, 6 Sq.mm. string cables with spare</t>
  </si>
  <si>
    <t>Termination Kits for above-3.3 kV at inverter end - Gland for 300 sqmm Cable</t>
  </si>
  <si>
    <t>Lugs for above cable including inverter end - Lugs for 300 sqmm Cable</t>
  </si>
  <si>
    <t>DC disconnector - 400A, 2P; Fuse - 30A on positive side without Y connector; SPD Class 2, Metal gland</t>
  </si>
  <si>
    <t>Painting &amp; Naming over SCB</t>
  </si>
  <si>
    <t>Inverter Transformer  [Type-A] Outdoor Oil type.
Rating  : 8.8 MVA, 33/2x0.660 kV, 3 Winding Al. Trafo., Dy11y11 Floating neutral. 1.7A/Sq.mm current density.
1.0 % Loss (0.9 % load loss + 0.1% No load loss) 
with SC tested transformer.</t>
  </si>
  <si>
    <t>33kV Outdoor Type ICOG PANEL-IP 55, 630A  Al.Busbar 
630A VCB, EDO with earthswitch &amp; Surge Arrestor.
IAC tested for 25 KA, 
CT, PT , Instant /OverCurrent &amp; Earthfault protection relays, &amp; metering with Selector switches. DC Power pack for control supply</t>
  </si>
  <si>
    <t>33 kV Outdoor-IP 55 , 4 Panel 2  I/C LBS with ES, 1 630A VCB I/C, 630A Al.Busbar &amp; 1 O/G 630A LBS with ES. CT, PT , Instant /OverCurrent &amp; Earthfault protection relays, &amp; metering with Selector switches. Internal Arc sensors to be considered for all feeders.
DC power pack for Control Supply</t>
  </si>
  <si>
    <t>33 kV Outdoor-IP 55 , 3 Panel 1 I/C 630A VCB , 1 I/C LBS with ES, 630A Al.Busbar &amp; 1 O/G 630 A LBS with ES.
CT, PT , Instant /OverCurrent &amp; Earthfault protection relays, &amp; metering with Selector switches. 
Internal Arc sensors to be considered for all feeders.
DC power pack for Control Supply</t>
  </si>
  <si>
    <t>33 kV Indoor-IP 20 , 15 Panel  31.5KA/ sec
 8 I/C 630A VCB (PV Park) , 2  VCB 630A Aux,  2x 2500A Al.Busbar, 2 O/G 2500 A VCB with ES &amp; Surge Arrestor, 2 BBPT, 1 B/C 2500A.
CT, PT , Instant /OverCurrent &amp; Earthfault protection relays, undervoltage / overvoltage, Master Trip relay.  Power Quality meter, MFM with Selector switches. 
Sp Charging for O/G feeder.
IAC 31.5kA/ sec or Internal Arc sensors to be considered for all feeders.
110V Battery charger for control supply</t>
  </si>
  <si>
    <t>Straight through Joint 3Cx300 Sq.mm</t>
  </si>
  <si>
    <t>19/33 kV[E], 1Cx400 Sq.mm, Aluminium Conductor, XLPE insulated,  Armoured, Armour - 25 kA for 0.5 sec,, FRLSH Inner &amp; outer sheath on tray
From Main HT Panel to Power transformer</t>
  </si>
  <si>
    <t>Dedicated UPS for SCADA servers (5KVA)</t>
  </si>
  <si>
    <t xml:space="preserve">Forecasting &amp; Scheduling Software </t>
  </si>
  <si>
    <t>Floating Structures and Installation</t>
  </si>
  <si>
    <t>SolarGIS</t>
  </si>
  <si>
    <t>BOQ</t>
  </si>
  <si>
    <t>Tax (Rs Lakh)</t>
  </si>
  <si>
    <t>Total Cost (Rs per Wp)</t>
  </si>
  <si>
    <t>Tax (Rs per Wp)</t>
  </si>
  <si>
    <t>Gross Cost (Rs per Wp)</t>
  </si>
  <si>
    <t>Anchor System</t>
  </si>
  <si>
    <t>D1</t>
  </si>
  <si>
    <t>D2</t>
  </si>
  <si>
    <t>D3</t>
  </si>
  <si>
    <t>D4</t>
  </si>
  <si>
    <t>D5</t>
  </si>
  <si>
    <t>Unit Costs</t>
  </si>
  <si>
    <t>Floating Structures</t>
  </si>
  <si>
    <t>C-5</t>
  </si>
  <si>
    <t>C-6</t>
  </si>
  <si>
    <t>DC Connectors</t>
  </si>
  <si>
    <t>DC Accessories</t>
  </si>
  <si>
    <t>Float Structures</t>
  </si>
  <si>
    <t>Anchoring &amp; Mooring</t>
  </si>
  <si>
    <t>Profit Margin</t>
  </si>
  <si>
    <t>Other Costs - FPV</t>
  </si>
  <si>
    <t>Survey, Studies, Design, Approvals</t>
  </si>
  <si>
    <t>Land &amp; Site Development</t>
  </si>
  <si>
    <t>Floating Structure for Module and inverters</t>
  </si>
  <si>
    <t>SPV Modules</t>
  </si>
  <si>
    <t>Equipment Cost</t>
  </si>
  <si>
    <t>Illumination System, Earthing</t>
  </si>
  <si>
    <t>Balance of Plant (Cables, SCB, Accessories)</t>
  </si>
  <si>
    <t>Inverter Transformers, Switchgear and Panels</t>
  </si>
  <si>
    <t>SCADA and Master Control Room</t>
  </si>
  <si>
    <t>MCR, Offices</t>
  </si>
  <si>
    <t>Civil Infrastructure</t>
  </si>
  <si>
    <t>Other Costs (Designs, Survey, Insurance, Warranty, etc)</t>
  </si>
  <si>
    <t>communication, s/w, h/w)</t>
  </si>
  <si>
    <t>DWC Pipe for OFC cable- 32mm ID / 40mm OD (DWC pipe required for OFC cable)</t>
  </si>
  <si>
    <t>Marine Infrastructure</t>
  </si>
  <si>
    <t>Pier</t>
  </si>
  <si>
    <t>Launch Pads</t>
  </si>
  <si>
    <t>Inverter Transformer Platforms</t>
  </si>
  <si>
    <t>Erection Works, Overheads</t>
  </si>
  <si>
    <t>D5.1</t>
  </si>
  <si>
    <t>D5.2</t>
  </si>
  <si>
    <t>D5.3</t>
  </si>
  <si>
    <t>D5.4</t>
  </si>
  <si>
    <t>D5.5</t>
  </si>
  <si>
    <t>G1</t>
  </si>
  <si>
    <t>G2</t>
  </si>
  <si>
    <t>G3</t>
  </si>
  <si>
    <t>H1</t>
  </si>
  <si>
    <t>H2</t>
  </si>
  <si>
    <t>I1</t>
  </si>
  <si>
    <t>I2</t>
  </si>
  <si>
    <t>I3</t>
  </si>
  <si>
    <t>Illumination System &amp; Security System</t>
  </si>
  <si>
    <t>CCTV</t>
  </si>
  <si>
    <t>Security</t>
  </si>
  <si>
    <t>FSPV Total</t>
  </si>
  <si>
    <t>Transmission (Contingency, Insurance, Warranty, etc)</t>
  </si>
  <si>
    <t>Generation (Contingency, Insurance, Warranty, etc)</t>
  </si>
  <si>
    <t>Civil Structure</t>
  </si>
  <si>
    <t>Interest During Construction</t>
  </si>
  <si>
    <t>Gross Capital Cost</t>
  </si>
  <si>
    <t>5 per 100 mW</t>
  </si>
  <si>
    <t>Indirect Job Creation</t>
  </si>
  <si>
    <t>Unit Cost</t>
  </si>
  <si>
    <t xml:space="preserve">Interest During Construction </t>
  </si>
  <si>
    <t>MVA</t>
  </si>
  <si>
    <t>Return on Equity</t>
  </si>
  <si>
    <t>Senstivity</t>
  </si>
  <si>
    <t>Change</t>
  </si>
  <si>
    <t>Project Cost</t>
  </si>
  <si>
    <t>No of Main walkway Floats per Island</t>
  </si>
  <si>
    <t>No of Short Secondary Float per Island</t>
  </si>
  <si>
    <t>No of Long Secondary Float per Island</t>
  </si>
  <si>
    <t>No of Secondary Walkway per Island</t>
  </si>
  <si>
    <t>Inverter Barge</t>
  </si>
  <si>
    <t>C3</t>
  </si>
  <si>
    <t>Inverter Transformer System</t>
  </si>
  <si>
    <t>FY 2026</t>
  </si>
  <si>
    <t>FY 2027</t>
  </si>
  <si>
    <t>FY 2028</t>
  </si>
  <si>
    <t>Operational Quarter Number</t>
  </si>
  <si>
    <t>Days in Quarter</t>
  </si>
  <si>
    <t>Days of Construction</t>
  </si>
  <si>
    <t>Year No.</t>
  </si>
  <si>
    <t>Total Year Counter</t>
  </si>
  <si>
    <t>IT Platform</t>
  </si>
  <si>
    <t xml:space="preserve">Auxiliary Transformer (5 kVA, 660/415 V) With Isolator in Each ICR - Dry type  , 2.5% of rated capacity as losses, </t>
  </si>
  <si>
    <t>Days in Construction</t>
  </si>
  <si>
    <t>Precast Chambers</t>
  </si>
  <si>
    <t>Total Cost (Rs Lakhs)</t>
  </si>
  <si>
    <t>Tax (Rs Lakhs)</t>
  </si>
  <si>
    <t>Gross Cost (Rs Lakhs)</t>
  </si>
  <si>
    <t>Installation Cost (Rs Lakhs)</t>
  </si>
  <si>
    <t>Equipment Cost (Rs Lakhs)</t>
  </si>
  <si>
    <t>S.N</t>
  </si>
  <si>
    <t>FPV plant</t>
  </si>
  <si>
    <t>BOQ SPV</t>
  </si>
  <si>
    <t>Unit Cost (Rs./Unit)</t>
  </si>
  <si>
    <t>BOQ Inverter</t>
  </si>
  <si>
    <t>BOQ Floats</t>
  </si>
  <si>
    <t>Floating Structure</t>
  </si>
  <si>
    <t>sub total</t>
  </si>
  <si>
    <t>Inverter Transformer Platform</t>
  </si>
  <si>
    <t>Fuse Connectors-30 A</t>
  </si>
  <si>
    <t>OCF (Cable Float)-DC</t>
  </si>
  <si>
    <t>OCF (Cable Float)-AC</t>
  </si>
  <si>
    <t>Inverter Barge- Mooring Line length</t>
  </si>
  <si>
    <t>Equipment Cost (Rs. Lakhs)</t>
  </si>
  <si>
    <t>KM</t>
  </si>
  <si>
    <t>BOQ Electrical</t>
  </si>
  <si>
    <t>DC BoS</t>
  </si>
  <si>
    <t>DC Cable</t>
  </si>
  <si>
    <t>String Monitoring Box</t>
  </si>
  <si>
    <t>AC BoS</t>
  </si>
  <si>
    <t>Cable Tray</t>
  </si>
  <si>
    <t>Inverter Transformer</t>
  </si>
  <si>
    <t>HT Panels &amp; RMU</t>
  </si>
  <si>
    <t>Total Cost (Rs. Lakhs)</t>
  </si>
  <si>
    <t>sq ft</t>
  </si>
  <si>
    <t>BOQ Civil Infrastructure</t>
  </si>
  <si>
    <t>BOQ Road Development and Drainage Infrastructure</t>
  </si>
  <si>
    <t>Road Development and Drainage Infrastructure</t>
  </si>
  <si>
    <t>BOQ Water Infrastructure</t>
  </si>
  <si>
    <t>Water Infrastructure</t>
  </si>
  <si>
    <t>Tax (Rs. Lakhs)</t>
  </si>
  <si>
    <t>Base Cost (Rs. Lakhs)</t>
  </si>
  <si>
    <t>Transmission BOQ</t>
  </si>
  <si>
    <t>Generation and Infrastructure BOQ</t>
  </si>
  <si>
    <t>String Monitoring Box (SMB)</t>
  </si>
  <si>
    <t>Erection Cost (Rs. Lakhs)</t>
  </si>
  <si>
    <t>SCADA &amp; Master Control Room</t>
  </si>
  <si>
    <t>BOQ Others</t>
  </si>
  <si>
    <t>Total Generation Cost</t>
  </si>
  <si>
    <t>Total Infrastructure Cost</t>
  </si>
  <si>
    <t xml:space="preserve">Unit Rate </t>
  </si>
  <si>
    <t>Module</t>
  </si>
  <si>
    <t>Floating System</t>
  </si>
  <si>
    <t>Anchoring Mooring System</t>
  </si>
  <si>
    <t>UV/DC/AC/HT Cables</t>
  </si>
  <si>
    <t>Inverter &amp; Inverter Duty Transformer</t>
  </si>
  <si>
    <t>HT Panels &amp; MCR Equipments</t>
  </si>
  <si>
    <t>220 KV PSS Equipments &amp; Structures</t>
  </si>
  <si>
    <t>220 KV Bay Activities</t>
  </si>
  <si>
    <t>Solar Generation as per Erection Schedule</t>
  </si>
  <si>
    <t>In Lacs</t>
  </si>
  <si>
    <t>Civil and Other Infastructure</t>
  </si>
  <si>
    <t>Generation and Transmission</t>
  </si>
  <si>
    <t>Capital Expenditure - Generation &amp; Transmission</t>
  </si>
  <si>
    <t>Erection &amp; Commissioning Schedule</t>
  </si>
  <si>
    <t>Project Particulars</t>
  </si>
  <si>
    <t>Installed Capacity of the plant</t>
  </si>
  <si>
    <t>Start of the Project</t>
  </si>
  <si>
    <t>Project Life</t>
  </si>
  <si>
    <t>Project End Date</t>
  </si>
  <si>
    <t>Financing Details</t>
  </si>
  <si>
    <t>Loan</t>
  </si>
  <si>
    <t>Operational Details of the Project</t>
  </si>
  <si>
    <t>Capacity Utilization Factor</t>
  </si>
  <si>
    <t>Annual Degradation (3rd Year Onwards)</t>
  </si>
  <si>
    <t>Depreciation Assumption</t>
  </si>
  <si>
    <t>Normative Life of Project</t>
  </si>
  <si>
    <t>Depreciation Rate (1st 13 years)</t>
  </si>
  <si>
    <t>Depreciation Rate (After 13 Years)</t>
  </si>
  <si>
    <t>Tax Assumption</t>
  </si>
  <si>
    <t>Income Tax Rate</t>
  </si>
  <si>
    <t>Working Capital Assumption</t>
  </si>
  <si>
    <t>O&amp;M Expenses Escalation</t>
  </si>
  <si>
    <t>Maintenance Spares</t>
  </si>
  <si>
    <t>Working Capital Margin</t>
  </si>
  <si>
    <t>Levelized Tariff Calculation</t>
  </si>
  <si>
    <t>INR/KWh</t>
  </si>
  <si>
    <t>Start of Operations</t>
  </si>
  <si>
    <t>First Operational Financial Year</t>
  </si>
  <si>
    <t>INR Cr</t>
  </si>
  <si>
    <t>Moratorium Period</t>
  </si>
  <si>
    <t>O&amp;M Expenses (including GST)</t>
  </si>
  <si>
    <t>Lakhs/MW/year</t>
  </si>
  <si>
    <t>ASSUMPTION TABLE</t>
  </si>
  <si>
    <t>Net Saleable Energy</t>
  </si>
  <si>
    <t>Energy Generation Computation</t>
  </si>
  <si>
    <t>Fixed Charge Computation</t>
  </si>
  <si>
    <t>Year on Year Tariff</t>
  </si>
  <si>
    <t>Per Unit Cost</t>
  </si>
  <si>
    <t>Commerical Loan - Repayment</t>
  </si>
  <si>
    <t>Commerical Loan - Additions</t>
  </si>
  <si>
    <t>Equity and Liabilities</t>
  </si>
  <si>
    <t xml:space="preserve">Commercial Loan </t>
  </si>
  <si>
    <t>Erection &amp; Commissioning</t>
  </si>
  <si>
    <t>Material Phasing Schedule</t>
  </si>
  <si>
    <t>Civil and Other Construction Cost Schedule</t>
  </si>
  <si>
    <t>Project Phasing as per Erection Schedule</t>
  </si>
  <si>
    <t>Solar Generation and Transmission</t>
  </si>
  <si>
    <t>Infrastructure Cost Phasing</t>
  </si>
  <si>
    <t>A+B</t>
  </si>
  <si>
    <t>Other Cost Phasing</t>
  </si>
  <si>
    <t>Summary of Phasing as per Erection Schedule</t>
  </si>
  <si>
    <t xml:space="preserve">Infrastructure Cost </t>
  </si>
  <si>
    <t>as % of Total Infrastructure Cost</t>
  </si>
  <si>
    <t xml:space="preserve">Solar Generation and Transmission Phasing </t>
  </si>
  <si>
    <t>as a % of Total Generation &amp; Transmission Cost</t>
  </si>
  <si>
    <t>IDC Schedule of Commercial Loan</t>
  </si>
  <si>
    <t>Phasing of All cost inclusive of Tacx</t>
  </si>
  <si>
    <t>Total Solar Generation and Transmission Cost</t>
  </si>
  <si>
    <t>Erection &amp; Commissioning Cost</t>
  </si>
  <si>
    <t>Material Phasing Cost</t>
  </si>
  <si>
    <t>Commercial Loan</t>
  </si>
  <si>
    <t>Commerical Loan Schedule</t>
  </si>
  <si>
    <t>Total Project Cost</t>
  </si>
  <si>
    <t>Debt Schedule</t>
  </si>
  <si>
    <t>Depreciation Schedule</t>
  </si>
  <si>
    <t>Drawdown</t>
  </si>
  <si>
    <t>Rs per float</t>
  </si>
  <si>
    <t>Rs per Anchor</t>
  </si>
  <si>
    <t>Rs. Per KM</t>
  </si>
  <si>
    <t>Rs per KM</t>
  </si>
  <si>
    <t>BOQ Assumptions</t>
  </si>
  <si>
    <t>Final Capex Phasing</t>
  </si>
  <si>
    <t>Rs. Per Float</t>
  </si>
  <si>
    <t>Rs. Per I.T. Platform</t>
  </si>
  <si>
    <t>Rs. Per Anchor</t>
  </si>
  <si>
    <t>Overloading Factor</t>
  </si>
  <si>
    <t>Bakreswar FSPV Financial Model- DPR</t>
  </si>
  <si>
    <t>Total Land Area</t>
  </si>
  <si>
    <t>Option 2</t>
  </si>
  <si>
    <t>Option 1</t>
  </si>
  <si>
    <t>Cost (Rs Cr/ MW)</t>
  </si>
  <si>
    <t>Overloading</t>
  </si>
  <si>
    <t>Island unit capacity - DC</t>
  </si>
  <si>
    <t>Island unit capacity - AC</t>
  </si>
  <si>
    <t>No of islands</t>
  </si>
  <si>
    <t>No of Inverters per island</t>
  </si>
  <si>
    <t>No of modules per island</t>
  </si>
  <si>
    <t>Total Modules per island</t>
  </si>
  <si>
    <t>Access Road to Site</t>
  </si>
  <si>
    <t>Floats- Secondary Walkway</t>
  </si>
  <si>
    <t>Floats - Panel Platform</t>
  </si>
  <si>
    <t>Floats - Main walkway</t>
  </si>
  <si>
    <t>Total Project Cost w/o IDC</t>
  </si>
  <si>
    <t>DC - Cables, SCB, Accessories</t>
  </si>
  <si>
    <t>Cost</t>
  </si>
  <si>
    <t>No of Cable Float-DC</t>
  </si>
  <si>
    <t>No of Cable Float-AC</t>
  </si>
  <si>
    <t>Rigid Mooring Line</t>
  </si>
  <si>
    <t>Flexible Mooring Line</t>
  </si>
  <si>
    <t>Inverter Barge- Mooring Line</t>
  </si>
  <si>
    <t>Access Road</t>
  </si>
  <si>
    <t>Total Transmission Cost</t>
  </si>
  <si>
    <t>Description</t>
  </si>
  <si>
    <t>Total Cost (Rs Crore)</t>
  </si>
  <si>
    <t>Cost Estimate</t>
  </si>
  <si>
    <t>(Rs Crore/MW)</t>
  </si>
  <si>
    <t>Project cost</t>
  </si>
  <si>
    <t>Interest During Construction (IDC)</t>
  </si>
  <si>
    <t xml:space="preserve">Total project cost </t>
  </si>
  <si>
    <t>Total ARR</t>
  </si>
  <si>
    <t>Finance Cost</t>
  </si>
  <si>
    <t>Cash Flow</t>
  </si>
  <si>
    <t>FY 26</t>
  </si>
  <si>
    <t>FY 27</t>
  </si>
  <si>
    <t>FY 28</t>
  </si>
  <si>
    <t>FY 29</t>
  </si>
  <si>
    <t>FY 30</t>
  </si>
  <si>
    <t>FY 31</t>
  </si>
  <si>
    <t>FY 32</t>
  </si>
  <si>
    <t>FY 33</t>
  </si>
  <si>
    <t>FY 34</t>
  </si>
  <si>
    <t>FY 35</t>
  </si>
  <si>
    <t>FY 36</t>
  </si>
  <si>
    <t>FY 37</t>
  </si>
  <si>
    <t>FY 38</t>
  </si>
  <si>
    <t>FY 39</t>
  </si>
  <si>
    <t>FY 40</t>
  </si>
  <si>
    <t>FY 41</t>
  </si>
  <si>
    <t>FY 42</t>
  </si>
  <si>
    <t>FY 43</t>
  </si>
  <si>
    <t>FY 44</t>
  </si>
  <si>
    <t>FY 45</t>
  </si>
  <si>
    <t>FY 46</t>
  </si>
  <si>
    <t>FY 47</t>
  </si>
  <si>
    <t>FY 48</t>
  </si>
  <si>
    <t>FY 49</t>
  </si>
  <si>
    <t>FY 50</t>
  </si>
  <si>
    <t>FY 51</t>
  </si>
  <si>
    <t>FY52</t>
  </si>
  <si>
    <t>19/33 kV[E], 1Cx400 Sq.mm, Aluminium Conductor, XLPE insulated,  Armoured, Armour+Sheath - 25 kA for 0.5 sec., FR Inner &amp; outer sheath
From 4 Panel board to Main HT panel</t>
  </si>
  <si>
    <t>19/33 kV[E], 1Cx240 Sq.mm, Aluminium Conductor, XLPE insulated,  Armoured, Armour+Sheath - 31.5 kA for 0.5 sec., FR Inner &amp; outer sheath
From 4 Panel board to Main HT panel</t>
  </si>
  <si>
    <t>Indoor Termination 1Cx400 Sq.mm</t>
  </si>
  <si>
    <t>Outdoor Termination  1Cx400 Sq.mm</t>
  </si>
  <si>
    <t>Outdoor Termination  1Cx240 Sq.mm</t>
  </si>
  <si>
    <t>Quarterly Assumptions for generation model</t>
  </si>
  <si>
    <t>Replacement of Energy (in MU)</t>
  </si>
  <si>
    <t xml:space="preserve">Cost of using Fossil Fuel (in Rs. Cr) </t>
  </si>
  <si>
    <t>Net Savings (in Rs. Crore)</t>
  </si>
  <si>
    <t>(A)</t>
  </si>
  <si>
    <t>(B)</t>
  </si>
  <si>
    <t>(C)</t>
  </si>
  <si>
    <t>[D=(B-C)]</t>
  </si>
  <si>
    <t>FY 52</t>
  </si>
  <si>
    <r>
      <t>Cost of using Non- Fossil Fuel</t>
    </r>
    <r>
      <rPr>
        <sz val="11"/>
        <color rgb="FFFFFFFF"/>
        <rFont val="Arial"/>
        <family val="2"/>
      </rPr>
      <t xml:space="preserve"> </t>
    </r>
    <r>
      <rPr>
        <b/>
        <sz val="11"/>
        <color rgb="FFFFFFFF"/>
        <rFont val="Arial"/>
        <family val="2"/>
      </rPr>
      <t>(in Rs. Crore)</t>
    </r>
  </si>
  <si>
    <t>25% Overloading</t>
  </si>
  <si>
    <t>APC</t>
  </si>
  <si>
    <t>Environmental Mitigation Charges</t>
  </si>
  <si>
    <t>Enviromental Mitigation Charges</t>
  </si>
  <si>
    <t>I4</t>
  </si>
  <si>
    <t>As provided by WBPDCL</t>
  </si>
  <si>
    <t>As per CERC Notification dated 12th June 2024</t>
  </si>
  <si>
    <t>Changes Made</t>
  </si>
  <si>
    <t>Earlier</t>
  </si>
  <si>
    <t>New</t>
  </si>
  <si>
    <t>Lakh/MW</t>
  </si>
  <si>
    <t>O&amp;M Cost Escalation</t>
  </si>
  <si>
    <t>Loan tenure</t>
  </si>
  <si>
    <t>Blend of MAT and Corporate</t>
  </si>
  <si>
    <t xml:space="preserve">First 20 Years MAT and the Corporate </t>
  </si>
  <si>
    <t>Inverter 1.1 MW</t>
  </si>
  <si>
    <t>Transformer of Size 5.5 MVA</t>
  </si>
  <si>
    <t>Transformer of Size 6.5 MVA</t>
  </si>
  <si>
    <t>Rs per Transformer</t>
  </si>
  <si>
    <t xml:space="preserve">Inverter Cost- </t>
  </si>
  <si>
    <t>Transformer Cost</t>
  </si>
  <si>
    <t>No of Inverters</t>
  </si>
  <si>
    <t>Environment Mitigation Cost</t>
  </si>
  <si>
    <t>Environment Mitigation Charges</t>
  </si>
  <si>
    <t>LCOE</t>
  </si>
  <si>
    <t>SCADA Lumsum Cost</t>
  </si>
  <si>
    <t>Platform-Ferro Cement</t>
  </si>
  <si>
    <t>Land Cost</t>
  </si>
  <si>
    <t>-</t>
  </si>
  <si>
    <t>PV Module Cost</t>
  </si>
  <si>
    <t>Inverter Cost</t>
  </si>
  <si>
    <t>Floating Structure Cost</t>
  </si>
  <si>
    <t>Electrical Infrastructure</t>
  </si>
  <si>
    <t>Road &amp; Drainage Infrastructure</t>
  </si>
  <si>
    <t>Street-Light</t>
  </si>
  <si>
    <t>Cost of Power Evacuation</t>
  </si>
  <si>
    <t>Statutory and Other Fees</t>
  </si>
  <si>
    <t>Total project cost</t>
  </si>
  <si>
    <t>Ferrocement Platform</t>
  </si>
  <si>
    <t>Lum Sum Cost</t>
  </si>
  <si>
    <t xml:space="preserve">Cumulative Savings due to Non-Use of Fossil Fuel in 25 years is </t>
  </si>
  <si>
    <t>Aux Consumption</t>
  </si>
  <si>
    <t>Rs per Platform</t>
  </si>
  <si>
    <t xml:space="preserve">15% erection included </t>
  </si>
  <si>
    <t>Ferro Cement Launching Pads</t>
  </si>
  <si>
    <t>As per Design</t>
  </si>
  <si>
    <t>As per ADBs Input</t>
  </si>
  <si>
    <t>If Transmission Cost Included</t>
  </si>
  <si>
    <t>Water Depth- 73.5m</t>
  </si>
  <si>
    <t>For 73.5 m</t>
  </si>
  <si>
    <t>For 72.5 m</t>
  </si>
  <si>
    <t>Farakka I&amp;II as per WBSEDCL TO for FY 24 to FY 25</t>
  </si>
  <si>
    <t>Base Cost (Rs Lakhs)</t>
  </si>
  <si>
    <t>(Rs Lakhs)</t>
  </si>
  <si>
    <t xml:space="preserve">Generation </t>
  </si>
  <si>
    <t xml:space="preserve">Transmission </t>
  </si>
  <si>
    <t>Rs.Crore/MW</t>
  </si>
  <si>
    <t>Rs.Crore/MWp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</si>
</sst>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8" formatCode="&quot;₹&quot;\ #,##0.00;[Red]&quot;₹&quot;\ \-#,##0.00"/>
    <numFmt numFmtId="44" formatCode="_ &quot;₹&quot;\ * #,##0.00_ ;_ &quot;₹&quot;\ * \-#,##0.00_ ;_ &quot;₹&quot;\ * &quot;-&quot;??_ ;_ @_ "/>
    <numFmt numFmtId="43" formatCode="_ * #,##0.00_ ;_ * \-#,##0.00_ ;_ * &quot;-&quot;??_ ;_ @_ "/>
    <numFmt numFmtId="164" formatCode="_(&quot;$&quot;* #,##0.00_);_(&quot;$&quot;* \(#,##0.00\);_(&quot;$&quot;* &quot;-&quot;??_);_(@_)"/>
    <numFmt numFmtId="165" formatCode="_(* #,##0.00_);_(* \(#,##0.00\);_(* &quot;-&quot;??_);_(@_)"/>
    <numFmt numFmtId="166" formatCode="0.0%"/>
    <numFmt numFmtId="167" formatCode="_(* #,##0_);_(* \(#,##0\);_(* &quot;-&quot;??_);_(@_)"/>
    <numFmt numFmtId="168" formatCode="0.00\ &quot;MWp&quot;"/>
    <numFmt numFmtId="169" formatCode="0.00\ &quot;MW&quot;"/>
    <numFmt numFmtId="170" formatCode="0.00\ &quot;Wp&quot;"/>
    <numFmt numFmtId="171" formatCode="0.000"/>
    <numFmt numFmtId="172" formatCode="_(* #,##0.000_);_(* \(#,##0.000\);_(* &quot;-&quot;??_);_(@_)"/>
    <numFmt numFmtId="173" formatCode="[$-409]d\-mmm\-yy;@"/>
    <numFmt numFmtId="174" formatCode="0.0"/>
    <numFmt numFmtId="175" formatCode="&quot;₹&quot;\ #,##0"/>
    <numFmt numFmtId="176" formatCode="_ * #,##0_ ;_ * \-#,##0_ ;_ * &quot;-&quot;??_ ;_ @_ "/>
    <numFmt numFmtId="177" formatCode="0.0000000000000%"/>
    <numFmt numFmtId="178" formatCode="#,##0_ ;[Red]\-#,##0\ "/>
    <numFmt numFmtId="179" formatCode="#,##0.00_ ;[Red]\-#,##0.00\ "/>
    <numFmt numFmtId="180" formatCode="#,##0;[Red]\(#,##0\);\-"/>
    <numFmt numFmtId="181" formatCode="#,##0.0"/>
    <numFmt numFmtId="182" formatCode="_-* #,##0.00_-;\-* #,##0.00_-;_-* &quot;-&quot;??_-;_-@_-"/>
    <numFmt numFmtId="183" formatCode="_-* #,##0.0000_-;\-* #,##0.0000_-;_-* &quot;-&quot;??_-;_-@_-"/>
    <numFmt numFmtId="184" formatCode="_-* #,##0_-;\-* #,##0_-;_-* &quot;-&quot;??_-;_-@_-"/>
    <numFmt numFmtId="185" formatCode="0.000%"/>
    <numFmt numFmtId="186" formatCode="_-* #,##0.000_-;\-* #,##0.000_-;_-* &quot;-&quot;??_-;_-@_-"/>
    <numFmt numFmtId="187" formatCode="_(* #,##0.0_);_(* \(#,##0.0\);_(* &quot;-&quot;??_);_(@_)"/>
    <numFmt numFmtId="188" formatCode="_ * #,##0.0_ ;_ * \-#,##0.0_ ;_ * &quot;-&quot;??_ ;_ @_ "/>
    <numFmt numFmtId="189" formatCode="_(* #,##0.00000_);_(* \(#,##0.00000\);_(* &quot;-&quot;??_);_(@_)"/>
    <numFmt numFmtId="190" formatCode="0.0000000000000"/>
    <numFmt numFmtId="191" formatCode="#,##0.0000000000"/>
  </numFmts>
  <fonts count="75" x14ac:knownFonts="1">
    <font>
      <sz val="11"/>
      <color theme="1"/>
      <name val="Calibri"/>
      <family val="2"/>
      <scheme val="minor"/>
    </font>
    <font>
      <sz val="11"/>
      <color theme="1"/>
      <name val="Calibri"/>
      <family val="2"/>
      <scheme val="minor"/>
    </font>
    <font>
      <sz val="9"/>
      <color theme="1"/>
      <name val="Calibri"/>
      <family val="2"/>
    </font>
    <font>
      <sz val="10"/>
      <name val="Arial"/>
      <family val="2"/>
    </font>
    <font>
      <sz val="9"/>
      <color theme="0"/>
      <name val="Calibri"/>
      <family val="2"/>
    </font>
    <font>
      <sz val="9"/>
      <color rgb="FFFF0000"/>
      <name val="Calibri"/>
      <family val="2"/>
    </font>
    <font>
      <sz val="9"/>
      <name val="Calibri"/>
      <family val="2"/>
    </font>
    <font>
      <b/>
      <sz val="9"/>
      <color theme="0"/>
      <name val="Calibri"/>
      <family val="2"/>
    </font>
    <font>
      <b/>
      <sz val="9"/>
      <color theme="1"/>
      <name val="Calibri"/>
      <family val="2"/>
    </font>
    <font>
      <b/>
      <sz val="9"/>
      <name val="Calibri"/>
      <family val="2"/>
    </font>
    <font>
      <b/>
      <sz val="9"/>
      <color indexed="8"/>
      <name val="Calibri"/>
      <family val="2"/>
    </font>
    <font>
      <sz val="9"/>
      <color indexed="8"/>
      <name val="Calibri"/>
      <family val="2"/>
    </font>
    <font>
      <i/>
      <sz val="9"/>
      <color theme="1"/>
      <name val="Calibri"/>
      <family val="2"/>
    </font>
    <font>
      <sz val="9"/>
      <color theme="1"/>
      <name val="Calibri"/>
      <family val="2"/>
      <scheme val="minor"/>
    </font>
    <font>
      <b/>
      <i/>
      <sz val="9"/>
      <name val="Calibri"/>
      <family val="2"/>
    </font>
    <font>
      <b/>
      <i/>
      <sz val="9"/>
      <color theme="1"/>
      <name val="Calibri"/>
      <family val="2"/>
    </font>
    <font>
      <b/>
      <sz val="9"/>
      <color theme="1"/>
      <name val="Calibri"/>
      <family val="2"/>
      <scheme val="minor"/>
    </font>
    <font>
      <b/>
      <sz val="9"/>
      <name val="Calibri"/>
      <family val="2"/>
      <scheme val="minor"/>
    </font>
    <font>
      <sz val="9"/>
      <color theme="0"/>
      <name val="Calibri"/>
      <family val="2"/>
      <scheme val="minor"/>
    </font>
    <font>
      <b/>
      <sz val="9"/>
      <color theme="0"/>
      <name val="Calibri"/>
      <family val="2"/>
      <scheme val="minor"/>
    </font>
    <font>
      <sz val="12"/>
      <color theme="1"/>
      <name val="Calibri"/>
      <family val="2"/>
      <scheme val="minor"/>
    </font>
    <font>
      <i/>
      <sz val="9"/>
      <color theme="1"/>
      <name val="Calibri"/>
      <family val="2"/>
      <scheme val="minor"/>
    </font>
    <font>
      <b/>
      <i/>
      <sz val="9"/>
      <color theme="1"/>
      <name val="Calibri"/>
      <family val="2"/>
      <scheme val="minor"/>
    </font>
    <font>
      <sz val="9"/>
      <color theme="3"/>
      <name val="Calibri"/>
      <family val="2"/>
    </font>
    <font>
      <sz val="11"/>
      <color rgb="FF3F3F76"/>
      <name val="Calibri"/>
      <family val="2"/>
      <scheme val="minor"/>
    </font>
    <font>
      <sz val="9"/>
      <name val="Calibri"/>
      <family val="2"/>
      <scheme val="minor"/>
    </font>
    <font>
      <sz val="9"/>
      <color indexed="81"/>
      <name val="Tahoma"/>
      <family val="2"/>
    </font>
    <font>
      <sz val="9"/>
      <color rgb="FFC00000"/>
      <name val="Calibri"/>
      <family val="2"/>
      <scheme val="minor"/>
    </font>
    <font>
      <sz val="9"/>
      <color indexed="8"/>
      <name val="Calibri"/>
      <family val="2"/>
      <scheme val="minor"/>
    </font>
    <font>
      <i/>
      <sz val="9"/>
      <color rgb="FFFF0000"/>
      <name val="Calibri"/>
      <family val="2"/>
      <scheme val="minor"/>
    </font>
    <font>
      <sz val="9"/>
      <color rgb="FFFF0000"/>
      <name val="Calibri"/>
      <family val="2"/>
      <scheme val="minor"/>
    </font>
    <font>
      <i/>
      <sz val="9"/>
      <color theme="0" tint="-0.499984740745262"/>
      <name val="Calibri"/>
      <family val="2"/>
      <scheme val="minor"/>
    </font>
    <font>
      <b/>
      <sz val="9"/>
      <color rgb="FFFF0000"/>
      <name val="Calibri"/>
      <family val="2"/>
      <scheme val="minor"/>
    </font>
    <font>
      <b/>
      <i/>
      <sz val="9"/>
      <color theme="0" tint="-0.499984740745262"/>
      <name val="Calibri"/>
      <family val="2"/>
      <scheme val="minor"/>
    </font>
    <font>
      <sz val="10"/>
      <color theme="1"/>
      <name val="Calibri"/>
      <family val="2"/>
      <scheme val="minor"/>
    </font>
    <font>
      <sz val="10"/>
      <color theme="1"/>
      <name val="Calibri"/>
      <family val="2"/>
    </font>
    <font>
      <b/>
      <sz val="10"/>
      <color theme="1"/>
      <name val="Calibri"/>
      <family val="2"/>
    </font>
    <font>
      <i/>
      <sz val="9"/>
      <color theme="0" tint="-0.499984740745262"/>
      <name val="Calibri"/>
      <family val="2"/>
    </font>
    <font>
      <i/>
      <sz val="9"/>
      <name val="Calibri"/>
      <family val="2"/>
    </font>
    <font>
      <b/>
      <sz val="11"/>
      <color theme="1"/>
      <name val="Calibri"/>
      <family val="2"/>
      <scheme val="minor"/>
    </font>
    <font>
      <b/>
      <sz val="9"/>
      <color rgb="FFFFFFFF"/>
      <name val="Calibri"/>
      <family val="2"/>
      <scheme val="minor"/>
    </font>
    <font>
      <sz val="9"/>
      <color rgb="FF000000"/>
      <name val="Calibri"/>
      <family val="2"/>
      <scheme val="minor"/>
    </font>
    <font>
      <b/>
      <sz val="9"/>
      <color rgb="FF3F3F76"/>
      <name val="Calibri"/>
      <family val="2"/>
      <scheme val="minor"/>
    </font>
    <font>
      <b/>
      <i/>
      <sz val="9"/>
      <name val="Calibri"/>
      <family val="2"/>
      <scheme val="minor"/>
    </font>
    <font>
      <b/>
      <i/>
      <sz val="9"/>
      <color indexed="8"/>
      <name val="Calibri"/>
      <family val="2"/>
      <scheme val="minor"/>
    </font>
    <font>
      <sz val="9"/>
      <color rgb="FF00B050"/>
      <name val="Calibri"/>
      <family val="2"/>
      <scheme val="minor"/>
    </font>
    <font>
      <b/>
      <sz val="9"/>
      <color indexed="8"/>
      <name val="Calibri"/>
      <family val="2"/>
      <scheme val="minor"/>
    </font>
    <font>
      <vertAlign val="superscript"/>
      <sz val="9"/>
      <color theme="1"/>
      <name val="Calibri"/>
      <family val="2"/>
      <scheme val="minor"/>
    </font>
    <font>
      <sz val="9"/>
      <color rgb="FF3F3F76"/>
      <name val="Calibri"/>
      <family val="2"/>
      <scheme val="minor"/>
    </font>
    <font>
      <sz val="9"/>
      <color rgb="FF0070C0"/>
      <name val="Calibri"/>
      <family val="2"/>
      <scheme val="minor"/>
    </font>
    <font>
      <b/>
      <sz val="9"/>
      <color rgb="FF0070C0"/>
      <name val="Calibri"/>
      <family val="2"/>
      <scheme val="minor"/>
    </font>
    <font>
      <i/>
      <sz val="9"/>
      <color rgb="FF0070C0"/>
      <name val="Calibri"/>
      <family val="2"/>
      <scheme val="minor"/>
    </font>
    <font>
      <b/>
      <sz val="11"/>
      <color rgb="FFFFFFFF"/>
      <name val="Arial"/>
      <family val="2"/>
    </font>
    <font>
      <b/>
      <sz val="11"/>
      <color theme="1"/>
      <name val="Arial"/>
      <family val="2"/>
    </font>
    <font>
      <b/>
      <sz val="9"/>
      <color rgb="FFFF0000"/>
      <name val="Calibri"/>
      <family val="2"/>
    </font>
    <font>
      <sz val="10"/>
      <color rgb="FF000000"/>
      <name val="Arial"/>
      <family val="2"/>
    </font>
    <font>
      <sz val="8"/>
      <name val="Calibri"/>
      <family val="2"/>
      <scheme val="minor"/>
    </font>
    <font>
      <b/>
      <sz val="10"/>
      <color rgb="FF000000"/>
      <name val="Arial"/>
      <family val="2"/>
    </font>
    <font>
      <i/>
      <sz val="9"/>
      <name val="Calibri"/>
      <family val="2"/>
      <scheme val="minor"/>
    </font>
    <font>
      <sz val="10"/>
      <name val="Calibri"/>
      <family val="2"/>
      <scheme val="minor"/>
    </font>
    <font>
      <b/>
      <sz val="11"/>
      <color theme="0"/>
      <name val="Calibri"/>
      <family val="2"/>
      <scheme val="minor"/>
    </font>
    <font>
      <b/>
      <sz val="9"/>
      <color rgb="FF000000"/>
      <name val="Arial"/>
      <family val="2"/>
    </font>
    <font>
      <sz val="9"/>
      <color theme="1"/>
      <name val="Arial"/>
      <family val="2"/>
    </font>
    <font>
      <sz val="11"/>
      <color theme="0"/>
      <name val="Calibri"/>
      <family val="2"/>
      <scheme val="minor"/>
    </font>
    <font>
      <sz val="11"/>
      <color theme="1"/>
      <name val="Calibri"/>
      <family val="2"/>
    </font>
    <font>
      <b/>
      <sz val="11"/>
      <color theme="1"/>
      <name val="Calibri"/>
      <family val="2"/>
    </font>
    <font>
      <b/>
      <sz val="9"/>
      <color theme="1"/>
      <name val="Arial"/>
      <family val="2"/>
    </font>
    <font>
      <b/>
      <sz val="12"/>
      <color theme="1"/>
      <name val="Calibri"/>
      <family val="2"/>
      <scheme val="minor"/>
    </font>
    <font>
      <b/>
      <sz val="14"/>
      <color theme="0"/>
      <name val="Calibri"/>
      <family val="2"/>
      <scheme val="minor"/>
    </font>
    <font>
      <b/>
      <sz val="11"/>
      <name val="Calibri"/>
      <family val="2"/>
      <scheme val="minor"/>
    </font>
    <font>
      <b/>
      <sz val="9"/>
      <color rgb="FF000000"/>
      <name val="Calibri"/>
      <family val="2"/>
      <scheme val="minor"/>
    </font>
    <font>
      <sz val="12"/>
      <color rgb="FF636462"/>
      <name val="Times New Roman"/>
      <family val="1"/>
    </font>
    <font>
      <sz val="11"/>
      <color rgb="FFFFFFFF"/>
      <name val="Arial"/>
      <family val="2"/>
    </font>
    <font>
      <sz val="11"/>
      <color rgb="FF000000"/>
      <name val="Arial"/>
      <family val="2"/>
    </font>
    <font>
      <b/>
      <sz val="11"/>
      <color rgb="FF000000"/>
      <name val="Arial"/>
      <family val="2"/>
    </font>
  </fonts>
  <fills count="39">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theme="4"/>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CC99"/>
      </patternFill>
    </fill>
    <fill>
      <patternFill patternType="solid">
        <fgColor theme="7"/>
        <bgColor indexed="64"/>
      </patternFill>
    </fill>
    <fill>
      <patternFill patternType="solid">
        <fgColor theme="9" tint="-0.249977111117893"/>
        <bgColor indexed="64"/>
      </patternFill>
    </fill>
    <fill>
      <patternFill patternType="solid">
        <fgColor rgb="FFFFFFFF"/>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bgColor indexed="64"/>
      </patternFill>
    </fill>
    <fill>
      <patternFill patternType="solid">
        <fgColor theme="9"/>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rgb="FF002060"/>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FFC000"/>
        <bgColor indexed="64"/>
      </patternFill>
    </fill>
    <fill>
      <patternFill patternType="solid">
        <fgColor theme="7" tint="0.39997558519241921"/>
        <bgColor indexed="64"/>
      </patternFill>
    </fill>
    <fill>
      <patternFill patternType="solid">
        <fgColor rgb="FFFF0000"/>
        <bgColor indexed="64"/>
      </patternFill>
    </fill>
    <fill>
      <patternFill patternType="solid">
        <fgColor theme="8" tint="-0.249977111117893"/>
        <bgColor indexed="64"/>
      </patternFill>
    </fill>
    <fill>
      <patternFill patternType="solid">
        <fgColor theme="5" tint="0.79998168889431442"/>
        <bgColor indexed="64"/>
      </patternFill>
    </fill>
    <fill>
      <patternFill patternType="solid">
        <fgColor rgb="FFF79646"/>
        <bgColor indexed="64"/>
      </patternFill>
    </fill>
    <fill>
      <patternFill patternType="solid">
        <fgColor theme="5"/>
        <bgColor indexed="64"/>
      </patternFill>
    </fill>
    <fill>
      <patternFill patternType="solid">
        <fgColor theme="6" tint="0.59999389629810485"/>
        <bgColor indexed="64"/>
      </patternFill>
    </fill>
  </fills>
  <borders count="58">
    <border>
      <left/>
      <right/>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right/>
      <top style="thin">
        <color indexed="64"/>
      </top>
      <bottom/>
      <diagonal/>
    </border>
    <border>
      <left style="thin">
        <color theme="0"/>
      </left>
      <right style="thin">
        <color theme="0"/>
      </right>
      <top style="thin">
        <color theme="0"/>
      </top>
      <bottom style="thin">
        <color theme="0"/>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
      <left style="medium">
        <color rgb="FFF79646"/>
      </left>
      <right/>
      <top style="medium">
        <color rgb="FFF79646"/>
      </top>
      <bottom style="medium">
        <color rgb="FFF79646"/>
      </bottom>
      <diagonal/>
    </border>
    <border>
      <left/>
      <right/>
      <top style="medium">
        <color rgb="FFF79646"/>
      </top>
      <bottom style="medium">
        <color rgb="FFF79646"/>
      </bottom>
      <diagonal/>
    </border>
    <border>
      <left/>
      <right style="medium">
        <color rgb="FFF79646"/>
      </right>
      <top style="medium">
        <color rgb="FFF79646"/>
      </top>
      <bottom style="medium">
        <color rgb="FFF79646"/>
      </bottom>
      <diagonal/>
    </border>
    <border>
      <left style="medium">
        <color rgb="FFFABF8F"/>
      </left>
      <right style="medium">
        <color rgb="FFFABF8F"/>
      </right>
      <top/>
      <bottom style="medium">
        <color rgb="FFFABF8F"/>
      </bottom>
      <diagonal/>
    </border>
    <border>
      <left/>
      <right style="medium">
        <color rgb="FFFABF8F"/>
      </right>
      <top/>
      <bottom style="medium">
        <color rgb="FFFABF8F"/>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thin">
        <color indexed="64"/>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rgb="FFF79646"/>
      </left>
      <right style="medium">
        <color rgb="FFF79646"/>
      </right>
      <top style="medium">
        <color rgb="FFF79646"/>
      </top>
      <bottom style="medium">
        <color rgb="FFF79646"/>
      </bottom>
      <diagonal/>
    </border>
    <border>
      <left style="medium">
        <color rgb="FFFFFEFE"/>
      </left>
      <right style="medium">
        <color rgb="FFFFFEFE"/>
      </right>
      <top style="medium">
        <color rgb="FFFFFEFE"/>
      </top>
      <bottom style="medium">
        <color rgb="FFFFFEFE"/>
      </bottom>
      <diagonal/>
    </border>
    <border>
      <left/>
      <right style="medium">
        <color rgb="FFFFFEFE"/>
      </right>
      <top style="medium">
        <color rgb="FFFFFEFE"/>
      </top>
      <bottom style="medium">
        <color rgb="FFFFFEFE"/>
      </bottom>
      <diagonal/>
    </border>
    <border>
      <left style="medium">
        <color rgb="FFFFFEFE"/>
      </left>
      <right style="medium">
        <color rgb="FFFFFEFE"/>
      </right>
      <top/>
      <bottom style="medium">
        <color rgb="FFFFFEFE"/>
      </bottom>
      <diagonal/>
    </border>
    <border>
      <left/>
      <right style="medium">
        <color rgb="FFFFFEFE"/>
      </right>
      <top/>
      <bottom style="medium">
        <color rgb="FFFFFEFE"/>
      </bottom>
      <diagonal/>
    </border>
    <border>
      <left/>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rgb="FFF79646"/>
      </left>
      <right/>
      <top style="medium">
        <color rgb="FFF79646"/>
      </top>
      <bottom/>
      <diagonal/>
    </border>
    <border>
      <left style="medium">
        <color rgb="FFF79646"/>
      </left>
      <right/>
      <top/>
      <bottom style="medium">
        <color rgb="FFF79646"/>
      </bottom>
      <diagonal/>
    </border>
    <border>
      <left/>
      <right/>
      <top style="medium">
        <color rgb="FFF79646"/>
      </top>
      <bottom/>
      <diagonal/>
    </border>
    <border>
      <left/>
      <right/>
      <top/>
      <bottom style="medium">
        <color rgb="FFF79646"/>
      </bottom>
      <diagonal/>
    </border>
    <border>
      <left/>
      <right style="medium">
        <color rgb="FFF79646"/>
      </right>
      <top style="medium">
        <color rgb="FFF79646"/>
      </top>
      <bottom/>
      <diagonal/>
    </border>
    <border>
      <left/>
      <right style="medium">
        <color rgb="FFF79646"/>
      </right>
      <top/>
      <bottom style="medium">
        <color rgb="FFF79646"/>
      </bottom>
      <diagonal/>
    </border>
    <border>
      <left style="medium">
        <color rgb="FFFABF8F"/>
      </left>
      <right/>
      <top style="medium">
        <color rgb="FFFABF8F"/>
      </top>
      <bottom style="medium">
        <color rgb="FFFABF8F"/>
      </bottom>
      <diagonal/>
    </border>
    <border>
      <left/>
      <right/>
      <top style="medium">
        <color rgb="FFFABF8F"/>
      </top>
      <bottom style="medium">
        <color rgb="FFFABF8F"/>
      </bottom>
      <diagonal/>
    </border>
    <border>
      <left/>
      <right style="medium">
        <color rgb="FFFABF8F"/>
      </right>
      <top style="medium">
        <color rgb="FFFABF8F"/>
      </top>
      <bottom style="medium">
        <color rgb="FFFABF8F"/>
      </bottom>
      <diagonal/>
    </border>
  </borders>
  <cellStyleXfs count="25">
    <xf numFmtId="0" fontId="0" fillId="0" borderId="0"/>
    <xf numFmtId="165" fontId="1" fillId="0" borderId="0" applyFont="0" applyFill="0" applyBorder="0" applyAlignment="0" applyProtection="0"/>
    <xf numFmtId="9" fontId="1" fillId="0" borderId="0" applyFont="0" applyFill="0" applyBorder="0" applyAlignment="0" applyProtection="0"/>
    <xf numFmtId="0" fontId="1" fillId="0" borderId="0"/>
    <xf numFmtId="0" fontId="3" fillId="0" borderId="0"/>
    <xf numFmtId="0" fontId="3" fillId="0" borderId="0"/>
    <xf numFmtId="165" fontId="1" fillId="0" borderId="0" applyFont="0" applyFill="0" applyBorder="0" applyAlignment="0" applyProtection="0"/>
    <xf numFmtId="165" fontId="3" fillId="0" borderId="0" applyFont="0" applyFill="0" applyBorder="0" applyAlignment="0" applyProtection="0"/>
    <xf numFmtId="0" fontId="20" fillId="0" borderId="0"/>
    <xf numFmtId="165" fontId="20" fillId="0" borderId="0" applyFont="0" applyFill="0" applyBorder="0" applyAlignment="0" applyProtection="0"/>
    <xf numFmtId="9" fontId="20" fillId="0" borderId="0" applyFont="0" applyFill="0" applyBorder="0" applyAlignment="0" applyProtection="0"/>
    <xf numFmtId="43" fontId="1" fillId="0" borderId="0" applyFont="0" applyFill="0" applyBorder="0" applyAlignment="0" applyProtection="0"/>
    <xf numFmtId="0" fontId="3" fillId="0" borderId="0"/>
    <xf numFmtId="0" fontId="24" fillId="16" borderId="15" applyNumberFormat="0" applyAlignment="0" applyProtection="0"/>
    <xf numFmtId="43" fontId="1" fillId="0" borderId="0" applyFont="0" applyFill="0" applyBorder="0" applyAlignment="0" applyProtection="0"/>
    <xf numFmtId="44" fontId="1" fillId="0" borderId="0" applyFont="0" applyFill="0" applyBorder="0" applyAlignment="0" applyProtection="0"/>
    <xf numFmtId="0" fontId="3" fillId="0" borderId="0"/>
    <xf numFmtId="0" fontId="3" fillId="0" borderId="0"/>
    <xf numFmtId="182" fontId="1" fillId="0" borderId="0" applyFont="0" applyFill="0" applyBorder="0" applyAlignment="0" applyProtection="0"/>
    <xf numFmtId="0" fontId="3" fillId="0" borderId="0"/>
    <xf numFmtId="0" fontId="3" fillId="0" borderId="0"/>
    <xf numFmtId="9"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cellStyleXfs>
  <cellXfs count="1281">
    <xf numFmtId="0" fontId="0" fillId="0" borderId="0" xfId="0"/>
    <xf numFmtId="0" fontId="2" fillId="0" borderId="0" xfId="0" applyFont="1"/>
    <xf numFmtId="165" fontId="9" fillId="0" borderId="0" xfId="1" applyFont="1" applyFill="1" applyBorder="1"/>
    <xf numFmtId="165" fontId="6" fillId="0" borderId="0" xfId="1" applyFont="1" applyFill="1" applyBorder="1"/>
    <xf numFmtId="0" fontId="2" fillId="7" borderId="0" xfId="0" applyFont="1" applyFill="1"/>
    <xf numFmtId="165" fontId="6" fillId="0" borderId="0" xfId="1" applyFont="1" applyBorder="1"/>
    <xf numFmtId="165" fontId="6" fillId="0" borderId="0" xfId="1" applyFont="1" applyFill="1" applyBorder="1" applyAlignment="1">
      <alignment horizontal="left" indent="2"/>
    </xf>
    <xf numFmtId="165" fontId="8" fillId="0" borderId="0" xfId="1" applyFont="1" applyBorder="1"/>
    <xf numFmtId="165" fontId="2" fillId="0" borderId="0" xfId="1" applyFont="1" applyBorder="1"/>
    <xf numFmtId="167" fontId="2" fillId="0" borderId="0" xfId="7" applyNumberFormat="1" applyFont="1" applyBorder="1"/>
    <xf numFmtId="0" fontId="13" fillId="0" borderId="0" xfId="0" applyFont="1"/>
    <xf numFmtId="0" fontId="16" fillId="0" borderId="0" xfId="0" applyFont="1"/>
    <xf numFmtId="165" fontId="13" fillId="0" borderId="0" xfId="0" applyNumberFormat="1" applyFont="1"/>
    <xf numFmtId="0" fontId="13" fillId="0" borderId="0" xfId="0" applyFont="1" applyAlignment="1">
      <alignment horizontal="center" vertical="center"/>
    </xf>
    <xf numFmtId="165" fontId="13" fillId="0" borderId="0" xfId="1" applyFont="1"/>
    <xf numFmtId="0" fontId="13" fillId="0" borderId="3" xfId="0" applyFont="1" applyBorder="1" applyAlignment="1">
      <alignment horizontal="center" vertical="center"/>
    </xf>
    <xf numFmtId="165" fontId="13" fillId="0" borderId="3" xfId="0" applyNumberFormat="1" applyFont="1" applyBorder="1" applyAlignment="1">
      <alignment horizontal="center" vertical="center"/>
    </xf>
    <xf numFmtId="10" fontId="13" fillId="0" borderId="3" xfId="0" applyNumberFormat="1" applyFont="1" applyBorder="1" applyAlignment="1">
      <alignment horizontal="center" vertical="center"/>
    </xf>
    <xf numFmtId="15" fontId="13" fillId="0" borderId="3" xfId="0" applyNumberFormat="1" applyFont="1" applyBorder="1" applyAlignment="1">
      <alignment horizontal="center" vertical="center"/>
    </xf>
    <xf numFmtId="9" fontId="13" fillId="0" borderId="3" xfId="0" applyNumberFormat="1" applyFont="1" applyBorder="1" applyAlignment="1">
      <alignment horizontal="center" vertical="center"/>
    </xf>
    <xf numFmtId="9" fontId="13" fillId="0" borderId="3" xfId="2" applyFont="1" applyBorder="1" applyAlignment="1">
      <alignment horizontal="center" vertical="center"/>
    </xf>
    <xf numFmtId="0" fontId="13" fillId="8" borderId="3" xfId="0" applyFont="1" applyFill="1" applyBorder="1" applyAlignment="1">
      <alignment horizontal="center" vertical="center"/>
    </xf>
    <xf numFmtId="0" fontId="19" fillId="10" borderId="7" xfId="0" applyFont="1" applyFill="1" applyBorder="1" applyAlignment="1">
      <alignment horizontal="center" vertical="center"/>
    </xf>
    <xf numFmtId="0" fontId="13" fillId="8" borderId="7" xfId="0" applyFont="1" applyFill="1" applyBorder="1" applyAlignment="1">
      <alignment horizontal="center" vertical="center"/>
    </xf>
    <xf numFmtId="0" fontId="13" fillId="8" borderId="3" xfId="0" applyFont="1" applyFill="1" applyBorder="1" applyAlignment="1">
      <alignment horizontal="center"/>
    </xf>
    <xf numFmtId="165" fontId="13" fillId="0" borderId="3" xfId="0" applyNumberFormat="1" applyFont="1" applyBorder="1" applyAlignment="1">
      <alignment horizontal="center"/>
    </xf>
    <xf numFmtId="165" fontId="18" fillId="10" borderId="2" xfId="1" applyFont="1" applyFill="1" applyBorder="1"/>
    <xf numFmtId="165" fontId="17" fillId="8" borderId="2" xfId="1" applyFont="1" applyFill="1" applyBorder="1"/>
    <xf numFmtId="165" fontId="13" fillId="0" borderId="4" xfId="1" applyFont="1" applyBorder="1"/>
    <xf numFmtId="165" fontId="16" fillId="8" borderId="4" xfId="1" applyFont="1" applyFill="1" applyBorder="1"/>
    <xf numFmtId="165" fontId="13" fillId="0" borderId="4" xfId="1" applyFont="1" applyBorder="1" applyAlignment="1">
      <alignment wrapText="1"/>
    </xf>
    <xf numFmtId="165" fontId="13" fillId="0" borderId="9" xfId="1" applyFont="1" applyBorder="1"/>
    <xf numFmtId="165" fontId="16" fillId="8" borderId="2" xfId="1" applyFont="1" applyFill="1" applyBorder="1"/>
    <xf numFmtId="0" fontId="7" fillId="10" borderId="11" xfId="0" applyFont="1" applyFill="1" applyBorder="1" applyAlignment="1">
      <alignment horizontal="center" vertical="center" wrapText="1"/>
    </xf>
    <xf numFmtId="0" fontId="13" fillId="8" borderId="11" xfId="0" applyFont="1" applyFill="1" applyBorder="1"/>
    <xf numFmtId="15" fontId="13" fillId="0" borderId="12" xfId="0" applyNumberFormat="1" applyFont="1" applyFill="1" applyBorder="1"/>
    <xf numFmtId="0" fontId="13" fillId="0" borderId="12" xfId="0" applyFont="1" applyBorder="1"/>
    <xf numFmtId="0" fontId="13" fillId="8" borderId="12" xfId="0" applyFont="1" applyFill="1" applyBorder="1"/>
    <xf numFmtId="165" fontId="13" fillId="0" borderId="12" xfId="0" applyNumberFormat="1" applyFont="1" applyFill="1" applyBorder="1" applyAlignment="1">
      <alignment horizontal="center" vertical="center"/>
    </xf>
    <xf numFmtId="4" fontId="8" fillId="0" borderId="13" xfId="0" applyNumberFormat="1" applyFont="1" applyFill="1" applyBorder="1" applyAlignment="1">
      <alignment horizontal="center" vertical="center"/>
    </xf>
    <xf numFmtId="0" fontId="13" fillId="8" borderId="5" xfId="0" applyFont="1" applyFill="1" applyBorder="1" applyAlignment="1">
      <alignment horizontal="center" vertical="center"/>
    </xf>
    <xf numFmtId="0" fontId="13" fillId="0" borderId="0" xfId="0" applyFont="1" applyBorder="1" applyAlignment="1">
      <alignment horizontal="center" vertical="center"/>
    </xf>
    <xf numFmtId="0" fontId="13" fillId="8" borderId="0" xfId="0" applyFont="1" applyFill="1" applyBorder="1" applyAlignment="1">
      <alignment horizontal="center" vertical="center"/>
    </xf>
    <xf numFmtId="165" fontId="13" fillId="0" borderId="0" xfId="0" applyNumberFormat="1" applyFont="1" applyBorder="1" applyAlignment="1">
      <alignment horizontal="center" vertical="center"/>
    </xf>
    <xf numFmtId="167" fontId="13" fillId="0" borderId="12" xfId="1" applyNumberFormat="1" applyFont="1" applyBorder="1"/>
    <xf numFmtId="165" fontId="13" fillId="0" borderId="12" xfId="0" applyNumberFormat="1" applyFont="1" applyBorder="1"/>
    <xf numFmtId="0" fontId="13" fillId="0" borderId="10" xfId="0" applyFont="1" applyBorder="1"/>
    <xf numFmtId="0" fontId="13" fillId="0" borderId="12" xfId="0" applyFont="1" applyFill="1" applyBorder="1" applyAlignment="1">
      <alignment horizontal="center" vertical="center"/>
    </xf>
    <xf numFmtId="166" fontId="13" fillId="0" borderId="12" xfId="2" applyNumberFormat="1" applyFont="1" applyFill="1" applyBorder="1" applyAlignment="1">
      <alignment horizontal="center" vertical="center"/>
    </xf>
    <xf numFmtId="166" fontId="13" fillId="0" borderId="12" xfId="0" applyNumberFormat="1" applyFont="1" applyFill="1" applyBorder="1" applyAlignment="1">
      <alignment horizontal="center" vertical="center"/>
    </xf>
    <xf numFmtId="0" fontId="2" fillId="8" borderId="0" xfId="0" applyFont="1" applyFill="1"/>
    <xf numFmtId="4" fontId="2" fillId="0" borderId="0" xfId="0" applyNumberFormat="1" applyFont="1" applyFill="1" applyBorder="1" applyAlignment="1">
      <alignment horizontal="center" vertical="center"/>
    </xf>
    <xf numFmtId="4" fontId="8" fillId="0" borderId="1" xfId="0" applyNumberFormat="1" applyFont="1" applyFill="1" applyBorder="1" applyAlignment="1">
      <alignment horizontal="center" vertical="center"/>
    </xf>
    <xf numFmtId="0" fontId="13" fillId="8" borderId="0" xfId="0" applyFont="1" applyFill="1"/>
    <xf numFmtId="165" fontId="21" fillId="0" borderId="4" xfId="1" applyFont="1" applyBorder="1"/>
    <xf numFmtId="0" fontId="21" fillId="0" borderId="0" xfId="0" applyFont="1" applyBorder="1" applyAlignment="1">
      <alignment horizontal="center" vertical="center"/>
    </xf>
    <xf numFmtId="165" fontId="21" fillId="0" borderId="12" xfId="1" applyFont="1" applyFill="1" applyBorder="1"/>
    <xf numFmtId="0" fontId="13" fillId="0" borderId="8" xfId="0" applyFont="1" applyBorder="1" applyAlignment="1">
      <alignment horizontal="center" vertical="center"/>
    </xf>
    <xf numFmtId="0" fontId="21" fillId="0" borderId="0" xfId="0" applyFont="1"/>
    <xf numFmtId="0" fontId="2" fillId="8" borderId="0" xfId="0" applyFont="1" applyFill="1" applyBorder="1"/>
    <xf numFmtId="0" fontId="2" fillId="8" borderId="3" xfId="0" applyFont="1" applyFill="1" applyBorder="1"/>
    <xf numFmtId="165" fontId="16" fillId="11" borderId="4" xfId="1" applyFont="1" applyFill="1" applyBorder="1"/>
    <xf numFmtId="165" fontId="16" fillId="11" borderId="0" xfId="0" applyNumberFormat="1" applyFont="1" applyFill="1" applyBorder="1" applyAlignment="1">
      <alignment horizontal="center" vertical="center"/>
    </xf>
    <xf numFmtId="165" fontId="16" fillId="11" borderId="12" xfId="0" applyNumberFormat="1" applyFont="1" applyFill="1" applyBorder="1"/>
    <xf numFmtId="0" fontId="6" fillId="0" borderId="0" xfId="4" applyFont="1" applyBorder="1"/>
    <xf numFmtId="8" fontId="6" fillId="0" borderId="0" xfId="4" applyNumberFormat="1" applyFont="1" applyBorder="1"/>
    <xf numFmtId="3" fontId="2" fillId="0" borderId="0" xfId="0" applyNumberFormat="1" applyFont="1" applyFill="1" applyBorder="1" applyAlignment="1">
      <alignment horizontal="right" vertical="center"/>
    </xf>
    <xf numFmtId="165" fontId="6" fillId="0" borderId="0" xfId="1" applyFont="1" applyFill="1" applyBorder="1" applyAlignment="1">
      <alignment horizontal="left"/>
    </xf>
    <xf numFmtId="0" fontId="6" fillId="0" borderId="0" xfId="3" applyFont="1" applyFill="1" applyBorder="1" applyAlignment="1">
      <alignment horizontal="center" vertical="center"/>
    </xf>
    <xf numFmtId="0" fontId="13" fillId="0" borderId="0" xfId="0" applyFont="1" applyAlignment="1">
      <alignment vertical="center"/>
    </xf>
    <xf numFmtId="0" fontId="16" fillId="0" borderId="0" xfId="0" applyFont="1" applyAlignment="1">
      <alignment vertical="center"/>
    </xf>
    <xf numFmtId="0" fontId="2" fillId="9" borderId="0" xfId="0" applyFont="1" applyFill="1" applyAlignment="1">
      <alignment vertical="center" wrapText="1"/>
    </xf>
    <xf numFmtId="9" fontId="2" fillId="9" borderId="0" xfId="2" applyFont="1" applyFill="1" applyAlignment="1">
      <alignment horizontal="center" vertical="center"/>
    </xf>
    <xf numFmtId="0" fontId="13" fillId="17" borderId="0" xfId="0" applyFont="1" applyFill="1" applyAlignment="1">
      <alignment horizontal="center" vertical="center"/>
    </xf>
    <xf numFmtId="167" fontId="13" fillId="0" borderId="0" xfId="1" applyNumberFormat="1" applyFont="1" applyAlignment="1">
      <alignment horizontal="center" vertical="center"/>
    </xf>
    <xf numFmtId="165" fontId="13" fillId="8" borderId="0" xfId="0" applyNumberFormat="1" applyFont="1" applyFill="1"/>
    <xf numFmtId="165" fontId="13" fillId="0" borderId="0" xfId="1" applyFont="1" applyAlignment="1">
      <alignment horizontal="center" vertical="center"/>
    </xf>
    <xf numFmtId="165" fontId="13" fillId="0" borderId="0" xfId="0" applyNumberFormat="1" applyFont="1" applyAlignment="1">
      <alignment vertical="center"/>
    </xf>
    <xf numFmtId="10" fontId="13" fillId="0" borderId="0" xfId="0" applyNumberFormat="1" applyFont="1" applyAlignment="1">
      <alignment horizontal="center" vertical="center"/>
    </xf>
    <xf numFmtId="10" fontId="13" fillId="0" borderId="0" xfId="0" applyNumberFormat="1" applyFont="1"/>
    <xf numFmtId="0" fontId="2" fillId="0" borderId="0" xfId="0" applyFont="1" applyBorder="1"/>
    <xf numFmtId="165" fontId="2" fillId="0" borderId="0" xfId="0" applyNumberFormat="1" applyFont="1" applyBorder="1"/>
    <xf numFmtId="167" fontId="2" fillId="0" borderId="0" xfId="1" applyNumberFormat="1" applyFont="1" applyBorder="1"/>
    <xf numFmtId="0" fontId="2" fillId="2" borderId="0" xfId="0" applyFont="1" applyFill="1"/>
    <xf numFmtId="10" fontId="2" fillId="2" borderId="0" xfId="2" applyNumberFormat="1" applyFont="1" applyFill="1"/>
    <xf numFmtId="10" fontId="8" fillId="2" borderId="0" xfId="2" applyNumberFormat="1" applyFont="1" applyFill="1"/>
    <xf numFmtId="0" fontId="4" fillId="6" borderId="0" xfId="0" applyFont="1" applyFill="1"/>
    <xf numFmtId="0" fontId="6" fillId="20" borderId="0" xfId="0" applyFont="1" applyFill="1" applyAlignment="1">
      <alignment horizontal="center" vertical="center"/>
    </xf>
    <xf numFmtId="167" fontId="13" fillId="7" borderId="0" xfId="1" applyNumberFormat="1" applyFont="1" applyFill="1" applyBorder="1" applyAlignment="1">
      <alignment horizontal="center" vertical="center"/>
    </xf>
    <xf numFmtId="167" fontId="2" fillId="0" borderId="0" xfId="1" applyNumberFormat="1" applyFont="1" applyFill="1" applyBorder="1" applyAlignment="1">
      <alignment horizontal="center" vertical="center"/>
    </xf>
    <xf numFmtId="0" fontId="13" fillId="21" borderId="0" xfId="0" applyFont="1" applyFill="1" applyAlignment="1">
      <alignment vertical="center"/>
    </xf>
    <xf numFmtId="3" fontId="16" fillId="21" borderId="0" xfId="0" applyNumberFormat="1" applyFont="1" applyFill="1" applyAlignment="1">
      <alignment vertical="center"/>
    </xf>
    <xf numFmtId="9" fontId="2" fillId="7" borderId="0" xfId="2" applyFont="1" applyFill="1" applyBorder="1" applyAlignment="1">
      <alignment horizontal="center" vertical="center"/>
    </xf>
    <xf numFmtId="0" fontId="4" fillId="26" borderId="0" xfId="0" applyFont="1" applyFill="1" applyAlignment="1">
      <alignment vertical="center"/>
    </xf>
    <xf numFmtId="0" fontId="13" fillId="0" borderId="5" xfId="0" applyFont="1" applyBorder="1" applyAlignment="1">
      <alignment horizontal="center" vertical="center"/>
    </xf>
    <xf numFmtId="0" fontId="16" fillId="17" borderId="0" xfId="0" applyFont="1" applyFill="1"/>
    <xf numFmtId="3" fontId="13" fillId="7" borderId="0" xfId="0" applyNumberFormat="1" applyFont="1" applyFill="1" applyBorder="1" applyAlignment="1">
      <alignment horizontal="center" vertical="center"/>
    </xf>
    <xf numFmtId="165" fontId="9" fillId="8" borderId="0" xfId="1" applyFont="1" applyFill="1" applyBorder="1"/>
    <xf numFmtId="0" fontId="13" fillId="8" borderId="0" xfId="0" applyFont="1" applyFill="1" applyAlignment="1">
      <alignment horizontal="center" vertical="center"/>
    </xf>
    <xf numFmtId="0" fontId="25" fillId="0" borderId="0" xfId="3" applyFont="1" applyAlignment="1">
      <alignment horizontal="center" vertical="center"/>
    </xf>
    <xf numFmtId="167" fontId="25" fillId="7" borderId="5" xfId="3" applyNumberFormat="1" applyFont="1" applyFill="1" applyBorder="1"/>
    <xf numFmtId="166" fontId="13" fillId="7" borderId="7" xfId="0" applyNumberFormat="1" applyFont="1" applyFill="1" applyBorder="1" applyAlignment="1">
      <alignment horizontal="center" vertical="center"/>
    </xf>
    <xf numFmtId="166" fontId="13" fillId="7" borderId="3" xfId="0" applyNumberFormat="1" applyFont="1" applyFill="1" applyBorder="1" applyAlignment="1">
      <alignment horizontal="center" vertical="center"/>
    </xf>
    <xf numFmtId="165" fontId="17" fillId="7" borderId="0" xfId="1" applyFont="1" applyFill="1" applyBorder="1"/>
    <xf numFmtId="165" fontId="25" fillId="8" borderId="0" xfId="1" applyFont="1" applyFill="1" applyBorder="1"/>
    <xf numFmtId="165" fontId="13" fillId="7" borderId="0" xfId="0" applyNumberFormat="1" applyFont="1" applyFill="1"/>
    <xf numFmtId="0" fontId="13" fillId="4" borderId="0" xfId="0" applyFont="1" applyFill="1"/>
    <xf numFmtId="167" fontId="13" fillId="7" borderId="0" xfId="0" applyNumberFormat="1" applyFont="1" applyFill="1"/>
    <xf numFmtId="165" fontId="13" fillId="21" borderId="0" xfId="1" applyFont="1" applyFill="1"/>
    <xf numFmtId="0" fontId="13" fillId="21" borderId="0" xfId="0" applyFont="1" applyFill="1"/>
    <xf numFmtId="9" fontId="13" fillId="4" borderId="0" xfId="2" applyFont="1" applyFill="1"/>
    <xf numFmtId="165" fontId="12" fillId="2" borderId="0" xfId="1" applyFont="1" applyFill="1" applyBorder="1"/>
    <xf numFmtId="165" fontId="2" fillId="14" borderId="0" xfId="1" applyFont="1" applyFill="1" applyBorder="1"/>
    <xf numFmtId="165" fontId="8" fillId="14" borderId="0" xfId="1" applyFont="1" applyFill="1" applyBorder="1"/>
    <xf numFmtId="0" fontId="13" fillId="7" borderId="0" xfId="0" applyFont="1" applyFill="1"/>
    <xf numFmtId="0" fontId="13" fillId="7" borderId="0" xfId="0" applyFont="1" applyFill="1" applyAlignment="1">
      <alignment horizontal="center" vertical="center"/>
    </xf>
    <xf numFmtId="9" fontId="2" fillId="0" borderId="0" xfId="2" applyFont="1" applyBorder="1" applyAlignment="1">
      <alignment horizontal="center"/>
    </xf>
    <xf numFmtId="180" fontId="9" fillId="0" borderId="0" xfId="14" applyNumberFormat="1" applyFont="1" applyBorder="1" applyAlignment="1">
      <alignment horizontal="center" vertical="center"/>
    </xf>
    <xf numFmtId="0" fontId="19" fillId="6" borderId="0" xfId="0" applyFont="1" applyFill="1" applyAlignment="1">
      <alignment horizontal="center" vertical="center" wrapText="1"/>
    </xf>
    <xf numFmtId="0" fontId="19" fillId="6" borderId="6" xfId="0" applyFont="1" applyFill="1" applyBorder="1" applyAlignment="1">
      <alignment horizontal="center" vertical="center"/>
    </xf>
    <xf numFmtId="0" fontId="19" fillId="6" borderId="6" xfId="0" applyFont="1" applyFill="1" applyBorder="1" applyAlignment="1">
      <alignment horizontal="centerContinuous" vertical="center"/>
    </xf>
    <xf numFmtId="0" fontId="13" fillId="8" borderId="0" xfId="0" applyFont="1" applyFill="1" applyAlignment="1">
      <alignment horizontal="right" vertical="center"/>
    </xf>
    <xf numFmtId="165" fontId="27" fillId="0" borderId="0" xfId="1" applyFont="1"/>
    <xf numFmtId="0" fontId="25" fillId="7" borderId="0" xfId="3" applyFont="1" applyFill="1"/>
    <xf numFmtId="0" fontId="28" fillId="0" borderId="0" xfId="0" applyFont="1" applyAlignment="1">
      <alignment horizontal="center" vertical="center"/>
    </xf>
    <xf numFmtId="165" fontId="25" fillId="7" borderId="0" xfId="1" applyFont="1" applyFill="1" applyAlignment="1">
      <alignment horizontal="center" vertical="center"/>
    </xf>
    <xf numFmtId="0" fontId="29" fillId="0" borderId="0" xfId="0" applyFont="1"/>
    <xf numFmtId="0" fontId="30" fillId="0" borderId="0" xfId="0" applyFont="1"/>
    <xf numFmtId="0" fontId="13" fillId="9" borderId="0" xfId="0" applyFont="1" applyFill="1" applyAlignment="1">
      <alignment horizontal="center" vertical="center"/>
    </xf>
    <xf numFmtId="10" fontId="13" fillId="7" borderId="0" xfId="0" applyNumberFormat="1" applyFont="1" applyFill="1" applyAlignment="1">
      <alignment horizontal="center"/>
    </xf>
    <xf numFmtId="3" fontId="13" fillId="8" borderId="0" xfId="0" applyNumberFormat="1" applyFont="1" applyFill="1" applyAlignment="1">
      <alignment horizontal="center" vertical="center"/>
    </xf>
    <xf numFmtId="0" fontId="25" fillId="0" borderId="0" xfId="0" applyFont="1" applyAlignment="1">
      <alignment horizontal="center" vertical="center"/>
    </xf>
    <xf numFmtId="10" fontId="17" fillId="8" borderId="0" xfId="0" applyNumberFormat="1" applyFont="1" applyFill="1" applyAlignment="1">
      <alignment horizontal="center"/>
    </xf>
    <xf numFmtId="0" fontId="19" fillId="6" borderId="6" xfId="0" applyFont="1" applyFill="1" applyBorder="1" applyAlignment="1">
      <alignment horizontal="left" vertical="center"/>
    </xf>
    <xf numFmtId="3" fontId="13" fillId="0" borderId="0" xfId="0" applyNumberFormat="1" applyFont="1"/>
    <xf numFmtId="3" fontId="13" fillId="7" borderId="0" xfId="1" applyNumberFormat="1" applyFont="1" applyFill="1" applyBorder="1" applyAlignment="1">
      <alignment horizontal="center" vertical="center"/>
    </xf>
    <xf numFmtId="165" fontId="13" fillId="2" borderId="0" xfId="1" applyFont="1" applyFill="1"/>
    <xf numFmtId="15" fontId="25" fillId="7" borderId="0" xfId="3" applyNumberFormat="1" applyFont="1" applyFill="1" applyAlignment="1">
      <alignment horizontal="center"/>
    </xf>
    <xf numFmtId="165" fontId="13" fillId="0" borderId="0" xfId="1" applyFont="1" applyFill="1"/>
    <xf numFmtId="15" fontId="25" fillId="8" borderId="0" xfId="3" applyNumberFormat="1" applyFont="1" applyFill="1" applyAlignment="1">
      <alignment horizontal="center"/>
    </xf>
    <xf numFmtId="167" fontId="25" fillId="7" borderId="0" xfId="1" applyNumberFormat="1" applyFont="1" applyFill="1"/>
    <xf numFmtId="165" fontId="13" fillId="0" borderId="0" xfId="1" applyFont="1" applyAlignment="1">
      <alignment wrapText="1"/>
    </xf>
    <xf numFmtId="9" fontId="13" fillId="0" borderId="0" xfId="2" applyFont="1" applyAlignment="1">
      <alignment horizontal="center" vertical="center"/>
    </xf>
    <xf numFmtId="10" fontId="13" fillId="7" borderId="0" xfId="0" applyNumberFormat="1" applyFont="1" applyFill="1"/>
    <xf numFmtId="166" fontId="25" fillId="7" borderId="0" xfId="3" applyNumberFormat="1" applyFont="1" applyFill="1" applyAlignment="1">
      <alignment horizontal="center" vertical="center"/>
    </xf>
    <xf numFmtId="0" fontId="25" fillId="7" borderId="0" xfId="3" applyFont="1" applyFill="1" applyAlignment="1">
      <alignment horizontal="center" vertical="center"/>
    </xf>
    <xf numFmtId="0" fontId="18" fillId="6" borderId="0" xfId="0" applyFont="1" applyFill="1" applyAlignment="1">
      <alignment horizontal="center" vertical="center"/>
    </xf>
    <xf numFmtId="0" fontId="18" fillId="6" borderId="0" xfId="0" applyFont="1" applyFill="1"/>
    <xf numFmtId="171" fontId="25" fillId="7" borderId="0" xfId="0" applyNumberFormat="1" applyFont="1" applyFill="1" applyAlignment="1">
      <alignment horizontal="center" vertical="center"/>
    </xf>
    <xf numFmtId="0" fontId="13" fillId="0" borderId="0" xfId="0" applyFont="1" applyAlignment="1">
      <alignment horizontal="right"/>
    </xf>
    <xf numFmtId="10" fontId="25" fillId="7" borderId="0" xfId="3" applyNumberFormat="1" applyFont="1" applyFill="1" applyAlignment="1">
      <alignment horizontal="center"/>
    </xf>
    <xf numFmtId="10" fontId="25" fillId="7" borderId="0" xfId="3" applyNumberFormat="1" applyFont="1" applyFill="1" applyAlignment="1">
      <alignment horizontal="center" vertical="center"/>
    </xf>
    <xf numFmtId="165" fontId="25" fillId="0" borderId="0" xfId="1" applyFont="1" applyAlignment="1">
      <alignment horizontal="center" vertical="center"/>
    </xf>
    <xf numFmtId="166" fontId="13" fillId="7" borderId="0" xfId="0" applyNumberFormat="1" applyFont="1" applyFill="1" applyAlignment="1">
      <alignment horizontal="center" vertical="center"/>
    </xf>
    <xf numFmtId="165" fontId="25" fillId="0" borderId="0" xfId="1" applyFont="1" applyAlignment="1">
      <alignment wrapText="1"/>
    </xf>
    <xf numFmtId="0" fontId="19" fillId="6" borderId="0" xfId="4" applyFont="1" applyFill="1" applyAlignment="1">
      <alignment horizontal="center" vertical="center"/>
    </xf>
    <xf numFmtId="1" fontId="18" fillId="5" borderId="0" xfId="4" applyNumberFormat="1" applyFont="1" applyFill="1" applyAlignment="1">
      <alignment horizontal="center"/>
    </xf>
    <xf numFmtId="15" fontId="18" fillId="5" borderId="0" xfId="4" applyNumberFormat="1" applyFont="1" applyFill="1" applyAlignment="1">
      <alignment horizontal="center"/>
    </xf>
    <xf numFmtId="9" fontId="25" fillId="7" borderId="0" xfId="2" applyFont="1" applyFill="1"/>
    <xf numFmtId="9" fontId="25" fillId="8" borderId="0" xfId="3" applyNumberFormat="1" applyFont="1" applyFill="1"/>
    <xf numFmtId="9" fontId="17" fillId="7" borderId="0" xfId="3" applyNumberFormat="1" applyFont="1" applyFill="1" applyAlignment="1">
      <alignment horizontal="center" vertical="center"/>
    </xf>
    <xf numFmtId="177" fontId="13" fillId="0" borderId="0" xfId="0" applyNumberFormat="1" applyFont="1"/>
    <xf numFmtId="10" fontId="13" fillId="7" borderId="0" xfId="2" applyNumberFormat="1" applyFont="1" applyFill="1"/>
    <xf numFmtId="167" fontId="25" fillId="7" borderId="0" xfId="1" applyNumberFormat="1" applyFont="1" applyFill="1" applyAlignment="1">
      <alignment horizontal="center" vertical="center"/>
    </xf>
    <xf numFmtId="0" fontId="31" fillId="0" borderId="0" xfId="0" applyFont="1" applyAlignment="1">
      <alignment vertical="center"/>
    </xf>
    <xf numFmtId="0" fontId="7" fillId="6" borderId="0" xfId="4" applyFont="1" applyFill="1" applyBorder="1"/>
    <xf numFmtId="165" fontId="7" fillId="6" borderId="0" xfId="1" applyFont="1" applyFill="1" applyBorder="1"/>
    <xf numFmtId="0" fontId="7" fillId="6" borderId="0" xfId="4" applyFont="1" applyFill="1" applyBorder="1" applyAlignment="1">
      <alignment horizontal="center" vertical="center"/>
    </xf>
    <xf numFmtId="0" fontId="7" fillId="6" borderId="0" xfId="4" applyFont="1" applyFill="1" applyBorder="1" applyAlignment="1">
      <alignment horizontal="center"/>
    </xf>
    <xf numFmtId="1" fontId="4" fillId="30" borderId="0" xfId="4" applyNumberFormat="1" applyFont="1" applyFill="1" applyBorder="1" applyAlignment="1">
      <alignment horizontal="center"/>
    </xf>
    <xf numFmtId="1" fontId="4" fillId="5" borderId="0" xfId="4" applyNumberFormat="1" applyFont="1" applyFill="1" applyBorder="1" applyAlignment="1">
      <alignment horizontal="center"/>
    </xf>
    <xf numFmtId="15" fontId="4" fillId="6" borderId="0" xfId="4" applyNumberFormat="1" applyFont="1" applyFill="1" applyBorder="1" applyAlignment="1">
      <alignment horizontal="center"/>
    </xf>
    <xf numFmtId="15" fontId="4" fillId="30" borderId="0" xfId="4" applyNumberFormat="1" applyFont="1" applyFill="1" applyBorder="1" applyAlignment="1">
      <alignment horizontal="center"/>
    </xf>
    <xf numFmtId="15" fontId="4" fillId="5" borderId="0" xfId="4" applyNumberFormat="1" applyFont="1" applyFill="1" applyBorder="1" applyAlignment="1">
      <alignment horizontal="center"/>
    </xf>
    <xf numFmtId="0" fontId="6" fillId="0" borderId="0" xfId="4" applyFont="1" applyBorder="1" applyAlignment="1">
      <alignment horizontal="center" vertical="center"/>
    </xf>
    <xf numFmtId="167" fontId="6" fillId="0" borderId="0" xfId="1" applyNumberFormat="1" applyFont="1" applyBorder="1"/>
    <xf numFmtId="0" fontId="9" fillId="0" borderId="0" xfId="4" applyFont="1" applyBorder="1" applyAlignment="1">
      <alignment horizontal="center" vertical="center"/>
    </xf>
    <xf numFmtId="15" fontId="6" fillId="0" borderId="0" xfId="4" applyNumberFormat="1" applyFont="1" applyBorder="1" applyAlignment="1">
      <alignment horizontal="center"/>
    </xf>
    <xf numFmtId="165" fontId="6" fillId="8" borderId="0" xfId="1" applyFont="1" applyFill="1" applyBorder="1"/>
    <xf numFmtId="0" fontId="6" fillId="8" borderId="0" xfId="4" applyFont="1" applyFill="1" applyBorder="1" applyAlignment="1">
      <alignment horizontal="center" vertical="center"/>
    </xf>
    <xf numFmtId="15" fontId="6" fillId="8" borderId="0" xfId="4" applyNumberFormat="1" applyFont="1" applyFill="1" applyBorder="1" applyAlignment="1">
      <alignment horizontal="center"/>
    </xf>
    <xf numFmtId="0" fontId="11" fillId="0" borderId="0" xfId="0" applyFont="1" applyBorder="1" applyAlignment="1">
      <alignment horizontal="center" vertical="center"/>
    </xf>
    <xf numFmtId="167" fontId="11" fillId="0" borderId="0" xfId="0" applyNumberFormat="1" applyFont="1" applyFill="1" applyBorder="1" applyAlignment="1">
      <alignment horizontal="center" vertical="center"/>
    </xf>
    <xf numFmtId="0" fontId="2" fillId="0" borderId="0" xfId="0" applyFont="1" applyBorder="1" applyAlignment="1">
      <alignment horizontal="right"/>
    </xf>
    <xf numFmtId="165" fontId="7" fillId="6" borderId="0" xfId="1" applyFont="1" applyFill="1" applyBorder="1" applyAlignment="1">
      <alignment horizontal="center" vertical="center"/>
    </xf>
    <xf numFmtId="0" fontId="13" fillId="4" borderId="0" xfId="0" applyFont="1" applyFill="1" applyBorder="1" applyAlignment="1">
      <alignment horizontal="center" vertical="center"/>
    </xf>
    <xf numFmtId="165" fontId="2" fillId="0" borderId="0" xfId="0" applyNumberFormat="1" applyFont="1" applyBorder="1" applyAlignment="1">
      <alignment horizontal="right"/>
    </xf>
    <xf numFmtId="0" fontId="2" fillId="21" borderId="0" xfId="0" applyFont="1" applyFill="1" applyBorder="1"/>
    <xf numFmtId="0" fontId="2" fillId="0" borderId="0" xfId="0" applyFont="1" applyFill="1" applyBorder="1"/>
    <xf numFmtId="167" fontId="2" fillId="0" borderId="0" xfId="1" applyNumberFormat="1" applyFont="1" applyFill="1" applyBorder="1"/>
    <xf numFmtId="167" fontId="2" fillId="8" borderId="0" xfId="1" applyNumberFormat="1" applyFont="1" applyFill="1" applyBorder="1"/>
    <xf numFmtId="165" fontId="6" fillId="0" borderId="0" xfId="1" applyFont="1" applyBorder="1" applyAlignment="1">
      <alignment horizontal="center" vertical="center"/>
    </xf>
    <xf numFmtId="167" fontId="9" fillId="0" borderId="0" xfId="3" applyNumberFormat="1" applyFont="1" applyBorder="1" applyAlignment="1">
      <alignment horizontal="right"/>
    </xf>
    <xf numFmtId="167" fontId="6" fillId="0" borderId="0" xfId="3" applyNumberFormat="1" applyFont="1" applyBorder="1" applyAlignment="1">
      <alignment horizontal="right" vertical="center"/>
    </xf>
    <xf numFmtId="167" fontId="6" fillId="0" borderId="0" xfId="1" applyNumberFormat="1" applyFont="1" applyBorder="1" applyAlignment="1">
      <alignment horizontal="right" vertical="center"/>
    </xf>
    <xf numFmtId="0" fontId="6" fillId="8" borderId="0" xfId="3" applyFont="1" applyFill="1" applyBorder="1" applyAlignment="1">
      <alignment horizontal="center" vertical="center"/>
    </xf>
    <xf numFmtId="167" fontId="9" fillId="8" borderId="0" xfId="3" applyNumberFormat="1" applyFont="1" applyFill="1" applyBorder="1" applyAlignment="1">
      <alignment horizontal="right"/>
    </xf>
    <xf numFmtId="167" fontId="6" fillId="8" borderId="0" xfId="1" applyNumberFormat="1" applyFont="1" applyFill="1" applyBorder="1" applyAlignment="1">
      <alignment horizontal="center"/>
    </xf>
    <xf numFmtId="0" fontId="6" fillId="0" borderId="0" xfId="3" applyFont="1" applyBorder="1" applyAlignment="1">
      <alignment horizontal="center" vertical="center"/>
    </xf>
    <xf numFmtId="167" fontId="6" fillId="0" borderId="0" xfId="1" applyNumberFormat="1" applyFont="1" applyFill="1" applyBorder="1" applyAlignment="1">
      <alignment horizontal="center"/>
    </xf>
    <xf numFmtId="0" fontId="9" fillId="0" borderId="0" xfId="3" applyFont="1" applyBorder="1" applyAlignment="1">
      <alignment horizontal="center" vertical="center"/>
    </xf>
    <xf numFmtId="167" fontId="8" fillId="0" borderId="0" xfId="0" applyNumberFormat="1" applyFont="1" applyBorder="1"/>
    <xf numFmtId="0" fontId="2" fillId="0" borderId="0" xfId="0" applyFont="1" applyBorder="1" applyAlignment="1">
      <alignment horizontal="center" vertical="center"/>
    </xf>
    <xf numFmtId="10" fontId="6" fillId="0" borderId="0" xfId="2" applyNumberFormat="1" applyFont="1" applyBorder="1"/>
    <xf numFmtId="167" fontId="2" fillId="0" borderId="0" xfId="0" applyNumberFormat="1" applyFont="1" applyBorder="1"/>
    <xf numFmtId="0" fontId="6" fillId="0" borderId="0" xfId="3" applyFont="1" applyBorder="1"/>
    <xf numFmtId="9" fontId="6" fillId="0" borderId="0" xfId="2" applyFont="1" applyBorder="1"/>
    <xf numFmtId="167" fontId="9" fillId="0" borderId="0" xfId="3" applyNumberFormat="1" applyFont="1" applyBorder="1"/>
    <xf numFmtId="167" fontId="6" fillId="0" borderId="0" xfId="3" applyNumberFormat="1" applyFont="1" applyBorder="1"/>
    <xf numFmtId="167" fontId="6" fillId="0" borderId="0" xfId="2" applyNumberFormat="1" applyFont="1" applyBorder="1"/>
    <xf numFmtId="165" fontId="14" fillId="8" borderId="0" xfId="1" applyFont="1" applyFill="1" applyBorder="1"/>
    <xf numFmtId="0" fontId="6" fillId="8" borderId="0" xfId="3" applyFont="1" applyFill="1" applyBorder="1"/>
    <xf numFmtId="167" fontId="6" fillId="8" borderId="0" xfId="1" applyNumberFormat="1" applyFont="1" applyFill="1" applyBorder="1"/>
    <xf numFmtId="9" fontId="6" fillId="0" borderId="0" xfId="3" applyNumberFormat="1" applyFont="1" applyBorder="1"/>
    <xf numFmtId="165" fontId="15" fillId="0" borderId="0" xfId="1" applyFont="1" applyBorder="1"/>
    <xf numFmtId="0" fontId="2" fillId="27" borderId="0" xfId="0" applyFont="1" applyFill="1" applyBorder="1"/>
    <xf numFmtId="9" fontId="2" fillId="0" borderId="0" xfId="2" applyFont="1" applyBorder="1"/>
    <xf numFmtId="165" fontId="9" fillId="0" borderId="0" xfId="1" applyFont="1" applyBorder="1"/>
    <xf numFmtId="9" fontId="5" fillId="0" borderId="0" xfId="3" applyNumberFormat="1" applyFont="1" applyBorder="1"/>
    <xf numFmtId="10" fontId="2" fillId="0" borderId="0" xfId="2" applyNumberFormat="1" applyFont="1" applyBorder="1"/>
    <xf numFmtId="0" fontId="8" fillId="0" borderId="0" xfId="0" applyFont="1" applyBorder="1" applyAlignment="1">
      <alignment horizontal="center" vertical="center"/>
    </xf>
    <xf numFmtId="165" fontId="2" fillId="0" borderId="0" xfId="1" applyFont="1" applyBorder="1" applyAlignment="1">
      <alignment horizontal="center" vertical="center"/>
    </xf>
    <xf numFmtId="165" fontId="6" fillId="8" borderId="0" xfId="1" applyNumberFormat="1" applyFont="1" applyFill="1" applyBorder="1"/>
    <xf numFmtId="165" fontId="6" fillId="7" borderId="0" xfId="1" applyFont="1" applyFill="1" applyBorder="1"/>
    <xf numFmtId="0" fontId="5" fillId="7" borderId="0" xfId="3" applyFont="1" applyFill="1" applyBorder="1" applyAlignment="1">
      <alignment horizontal="center" vertical="center"/>
    </xf>
    <xf numFmtId="0" fontId="6" fillId="7" borderId="0" xfId="3" applyFont="1" applyFill="1" applyBorder="1" applyAlignment="1">
      <alignment horizontal="center" vertical="center"/>
    </xf>
    <xf numFmtId="167" fontId="6" fillId="7" borderId="0" xfId="1" applyNumberFormat="1" applyFont="1" applyFill="1" applyBorder="1"/>
    <xf numFmtId="0" fontId="6" fillId="7" borderId="0" xfId="3" applyFont="1" applyFill="1" applyBorder="1"/>
    <xf numFmtId="0" fontId="2" fillId="0" borderId="0" xfId="0" applyFont="1" applyBorder="1" applyAlignment="1">
      <alignment horizontal="center"/>
    </xf>
    <xf numFmtId="165" fontId="6" fillId="0" borderId="0" xfId="1" applyFont="1" applyBorder="1" applyAlignment="1" applyProtection="1">
      <alignment horizontal="left"/>
      <protection hidden="1"/>
    </xf>
    <xf numFmtId="0" fontId="6" fillId="0" borderId="0" xfId="5" applyFont="1" applyBorder="1"/>
    <xf numFmtId="165" fontId="6" fillId="0" borderId="0" xfId="1" applyFont="1" applyFill="1" applyBorder="1" applyAlignment="1" applyProtection="1">
      <alignment horizontal="left"/>
      <protection hidden="1"/>
    </xf>
    <xf numFmtId="165" fontId="8" fillId="0" borderId="0" xfId="1" applyFont="1" applyBorder="1" applyAlignment="1">
      <alignment horizontal="center"/>
    </xf>
    <xf numFmtId="165" fontId="14" fillId="0" borderId="0" xfId="1" applyFont="1" applyFill="1" applyBorder="1"/>
    <xf numFmtId="167" fontId="6" fillId="0" borderId="0" xfId="1" applyNumberFormat="1" applyFont="1" applyFill="1" applyBorder="1"/>
    <xf numFmtId="10" fontId="2" fillId="0" borderId="0" xfId="0" applyNumberFormat="1" applyFont="1" applyBorder="1"/>
    <xf numFmtId="172" fontId="2" fillId="0" borderId="0" xfId="1" applyNumberFormat="1" applyFont="1" applyBorder="1"/>
    <xf numFmtId="8" fontId="2" fillId="0" borderId="0" xfId="0" applyNumberFormat="1" applyFont="1" applyBorder="1"/>
    <xf numFmtId="0" fontId="12" fillId="2" borderId="0" xfId="0" applyFont="1" applyFill="1" applyBorder="1" applyAlignment="1">
      <alignment horizontal="center" vertical="center"/>
    </xf>
    <xf numFmtId="0" fontId="23" fillId="0" borderId="0" xfId="0" applyFont="1" applyBorder="1" applyAlignment="1">
      <alignment horizontal="center" vertical="center"/>
    </xf>
    <xf numFmtId="0" fontId="8" fillId="0" borderId="0" xfId="0" applyFont="1" applyBorder="1"/>
    <xf numFmtId="0" fontId="6" fillId="0" borderId="0" xfId="0" applyFont="1" applyBorder="1" applyAlignment="1">
      <alignment horizontal="center" vertical="center"/>
    </xf>
    <xf numFmtId="173" fontId="8" fillId="0" borderId="0" xfId="0" applyNumberFormat="1" applyFont="1" applyBorder="1"/>
    <xf numFmtId="173" fontId="2" fillId="0" borderId="0" xfId="0" applyNumberFormat="1" applyFont="1" applyBorder="1"/>
    <xf numFmtId="0" fontId="7" fillId="26" borderId="0" xfId="4" applyFont="1" applyFill="1" applyBorder="1" applyProtection="1">
      <protection hidden="1"/>
    </xf>
    <xf numFmtId="165" fontId="4" fillId="26" borderId="0" xfId="1" applyFont="1" applyFill="1" applyBorder="1" applyProtection="1">
      <protection hidden="1"/>
    </xf>
    <xf numFmtId="0" fontId="7" fillId="26" borderId="0" xfId="0" applyFont="1" applyFill="1" applyBorder="1" applyAlignment="1" applyProtection="1">
      <alignment horizontal="center" vertical="center"/>
      <protection hidden="1"/>
    </xf>
    <xf numFmtId="15" fontId="7" fillId="26" borderId="0" xfId="0" applyNumberFormat="1" applyFont="1" applyFill="1" applyBorder="1" applyProtection="1">
      <protection hidden="1"/>
    </xf>
    <xf numFmtId="165" fontId="9" fillId="15" borderId="0" xfId="1" applyFont="1" applyFill="1" applyBorder="1"/>
    <xf numFmtId="165" fontId="6" fillId="15" borderId="0" xfId="1" applyFont="1" applyFill="1" applyBorder="1"/>
    <xf numFmtId="0" fontId="6" fillId="15" borderId="0" xfId="3" applyFont="1" applyFill="1" applyBorder="1" applyAlignment="1">
      <alignment horizontal="center" vertical="center"/>
    </xf>
    <xf numFmtId="0" fontId="6" fillId="15" borderId="0" xfId="3" applyFont="1" applyFill="1" applyBorder="1"/>
    <xf numFmtId="167" fontId="6" fillId="15" borderId="0" xfId="1" applyNumberFormat="1" applyFont="1" applyFill="1" applyBorder="1"/>
    <xf numFmtId="165" fontId="9" fillId="0" borderId="0" xfId="1" applyFont="1" applyBorder="1" applyAlignment="1">
      <alignment horizontal="left"/>
    </xf>
    <xf numFmtId="165" fontId="6" fillId="0" borderId="0" xfId="3" applyNumberFormat="1" applyFont="1" applyBorder="1"/>
    <xf numFmtId="165" fontId="9" fillId="0" borderId="0" xfId="1" applyFont="1" applyBorder="1" applyProtection="1">
      <protection hidden="1"/>
    </xf>
    <xf numFmtId="165" fontId="6" fillId="0" borderId="0" xfId="1" applyFont="1" applyBorder="1" applyAlignment="1">
      <alignment horizontal="left" indent="2"/>
    </xf>
    <xf numFmtId="165" fontId="6" fillId="0" borderId="0" xfId="1" applyFont="1" applyBorder="1" applyAlignment="1" applyProtection="1">
      <alignment horizontal="left" indent="2"/>
      <protection hidden="1"/>
    </xf>
    <xf numFmtId="165" fontId="6" fillId="0" borderId="0" xfId="1" applyFont="1" applyFill="1" applyBorder="1" applyAlignment="1" applyProtection="1">
      <alignment horizontal="left" indent="2"/>
      <protection hidden="1"/>
    </xf>
    <xf numFmtId="165" fontId="9" fillId="3" borderId="0" xfId="1" applyFont="1" applyFill="1" applyBorder="1"/>
    <xf numFmtId="165" fontId="6" fillId="3" borderId="0" xfId="1" applyFont="1" applyFill="1" applyBorder="1"/>
    <xf numFmtId="0" fontId="6" fillId="3" borderId="0" xfId="3" applyFont="1" applyFill="1" applyBorder="1" applyAlignment="1">
      <alignment horizontal="center" vertical="center"/>
    </xf>
    <xf numFmtId="0" fontId="6" fillId="3" borderId="0" xfId="3" applyFont="1" applyFill="1" applyBorder="1"/>
    <xf numFmtId="165" fontId="6" fillId="0" borderId="0" xfId="1" applyFont="1" applyBorder="1" applyProtection="1">
      <protection hidden="1"/>
    </xf>
    <xf numFmtId="165" fontId="6" fillId="0" borderId="0" xfId="1" applyFont="1" applyBorder="1" applyAlignment="1">
      <alignment horizontal="left"/>
    </xf>
    <xf numFmtId="0" fontId="6" fillId="0" borderId="0" xfId="5" applyFont="1" applyBorder="1" applyAlignment="1">
      <alignment horizontal="center" vertical="center"/>
    </xf>
    <xf numFmtId="165" fontId="9" fillId="14" borderId="0" xfId="1" applyFont="1" applyFill="1" applyBorder="1"/>
    <xf numFmtId="165" fontId="6" fillId="14" borderId="0" xfId="1" applyFont="1" applyFill="1" applyBorder="1"/>
    <xf numFmtId="0" fontId="6" fillId="14" borderId="0" xfId="3" applyFont="1" applyFill="1" applyBorder="1" applyAlignment="1">
      <alignment horizontal="center" vertical="center"/>
    </xf>
    <xf numFmtId="0" fontId="6" fillId="14" borderId="0" xfId="3" applyFont="1" applyFill="1" applyBorder="1"/>
    <xf numFmtId="167" fontId="6" fillId="14" borderId="0" xfId="1" applyNumberFormat="1" applyFont="1" applyFill="1" applyBorder="1"/>
    <xf numFmtId="165" fontId="9" fillId="0" borderId="0" xfId="6" applyFont="1" applyBorder="1"/>
    <xf numFmtId="10" fontId="9" fillId="0" borderId="0" xfId="4" applyNumberFormat="1" applyFont="1" applyBorder="1"/>
    <xf numFmtId="165" fontId="9" fillId="0" borderId="0" xfId="1" applyFont="1" applyBorder="1" applyAlignment="1">
      <alignment horizontal="left" indent="2"/>
    </xf>
    <xf numFmtId="0" fontId="6" fillId="0" borderId="0" xfId="0" applyFont="1" applyBorder="1"/>
    <xf numFmtId="0" fontId="2" fillId="0" borderId="0" xfId="0" applyFont="1" applyBorder="1" applyAlignment="1">
      <alignment horizontal="right" indent="1"/>
    </xf>
    <xf numFmtId="9" fontId="2" fillId="0" borderId="0" xfId="2" applyFont="1" applyBorder="1" applyAlignment="1">
      <alignment horizontal="right" indent="1"/>
    </xf>
    <xf numFmtId="176" fontId="2" fillId="0" borderId="0" xfId="14" applyNumberFormat="1" applyFont="1" applyBorder="1" applyAlignment="1">
      <alignment horizontal="right" indent="1"/>
    </xf>
    <xf numFmtId="0" fontId="2" fillId="0" borderId="0" xfId="0" applyFont="1" applyBorder="1" applyAlignment="1">
      <alignment vertical="center" wrapText="1"/>
    </xf>
    <xf numFmtId="0" fontId="2" fillId="0" borderId="0" xfId="0" applyFont="1" applyBorder="1" applyAlignment="1">
      <alignment horizontal="center" vertical="center" wrapText="1"/>
    </xf>
    <xf numFmtId="1" fontId="2" fillId="0" borderId="0" xfId="0" applyNumberFormat="1" applyFont="1" applyBorder="1" applyAlignment="1">
      <alignment horizontal="right" indent="1"/>
    </xf>
    <xf numFmtId="10" fontId="2" fillId="0" borderId="0" xfId="2" applyNumberFormat="1" applyFont="1" applyBorder="1" applyAlignment="1">
      <alignment horizontal="center"/>
    </xf>
    <xf numFmtId="179" fontId="2" fillId="0" borderId="0" xfId="0" applyNumberFormat="1" applyFont="1" applyBorder="1" applyAlignment="1">
      <alignment horizontal="right" indent="1"/>
    </xf>
    <xf numFmtId="0" fontId="6" fillId="0" borderId="0" xfId="0" applyFont="1" applyBorder="1" applyAlignment="1">
      <alignment vertical="center"/>
    </xf>
    <xf numFmtId="10" fontId="2" fillId="2" borderId="0" xfId="2" applyNumberFormat="1" applyFont="1" applyFill="1" applyBorder="1" applyAlignment="1">
      <alignment horizontal="center"/>
    </xf>
    <xf numFmtId="178" fontId="2" fillId="0" borderId="0" xfId="0" applyNumberFormat="1" applyFont="1" applyBorder="1" applyAlignment="1">
      <alignment horizontal="center"/>
    </xf>
    <xf numFmtId="167" fontId="9" fillId="0" borderId="0" xfId="0" applyNumberFormat="1" applyFont="1" applyBorder="1"/>
    <xf numFmtId="167" fontId="6" fillId="0" borderId="0" xfId="0" applyNumberFormat="1" applyFont="1" applyBorder="1"/>
    <xf numFmtId="165" fontId="6" fillId="0" borderId="0" xfId="0" applyNumberFormat="1" applyFont="1" applyBorder="1"/>
    <xf numFmtId="0" fontId="19" fillId="6" borderId="16" xfId="0" applyFont="1" applyFill="1" applyBorder="1" applyAlignment="1">
      <alignment horizontal="center" vertical="center"/>
    </xf>
    <xf numFmtId="0" fontId="25" fillId="0" borderId="0" xfId="0" applyFont="1" applyBorder="1" applyAlignment="1">
      <alignment horizontal="left" vertical="center" wrapText="1"/>
    </xf>
    <xf numFmtId="43" fontId="13" fillId="7" borderId="0" xfId="14" applyFont="1" applyFill="1" applyBorder="1" applyAlignment="1">
      <alignment horizontal="center" vertical="center"/>
    </xf>
    <xf numFmtId="0" fontId="25" fillId="0" borderId="0" xfId="0" applyFont="1" applyBorder="1" applyAlignment="1">
      <alignment vertical="center" wrapText="1"/>
    </xf>
    <xf numFmtId="9" fontId="13" fillId="7" borderId="0" xfId="2" applyFont="1" applyFill="1" applyBorder="1" applyAlignment="1">
      <alignment horizontal="center" vertical="center"/>
    </xf>
    <xf numFmtId="0" fontId="13" fillId="0" borderId="0" xfId="0" applyFont="1" applyBorder="1" applyAlignment="1">
      <alignment vertical="center" wrapText="1"/>
    </xf>
    <xf numFmtId="0" fontId="13" fillId="0" borderId="0" xfId="0" applyFont="1" applyBorder="1" applyAlignment="1">
      <alignment horizontal="center" vertical="center" wrapText="1"/>
    </xf>
    <xf numFmtId="0" fontId="17" fillId="4" borderId="0" xfId="0" applyFont="1" applyFill="1" applyBorder="1" applyAlignment="1">
      <alignment vertical="center" wrapText="1"/>
    </xf>
    <xf numFmtId="38" fontId="13" fillId="4" borderId="0" xfId="0" applyNumberFormat="1" applyFont="1" applyFill="1" applyBorder="1" applyAlignment="1">
      <alignment horizontal="center" vertical="center" wrapText="1"/>
    </xf>
    <xf numFmtId="0" fontId="17" fillId="4" borderId="0" xfId="0" applyFont="1" applyFill="1" applyBorder="1" applyAlignment="1">
      <alignment horizontal="left" vertical="center" wrapText="1"/>
    </xf>
    <xf numFmtId="3" fontId="13" fillId="4" borderId="0" xfId="0" applyNumberFormat="1" applyFont="1" applyFill="1" applyBorder="1" applyAlignment="1">
      <alignment horizontal="center" vertical="center" wrapText="1"/>
    </xf>
    <xf numFmtId="0" fontId="27" fillId="4" borderId="0" xfId="0" applyFont="1" applyFill="1" applyBorder="1" applyAlignment="1">
      <alignment horizontal="center" vertical="center"/>
    </xf>
    <xf numFmtId="0" fontId="13" fillId="4" borderId="0" xfId="0" applyFont="1" applyFill="1" applyBorder="1" applyAlignment="1">
      <alignment vertical="center"/>
    </xf>
    <xf numFmtId="165" fontId="12" fillId="14" borderId="0" xfId="1" applyFont="1" applyFill="1" applyBorder="1"/>
    <xf numFmtId="0" fontId="12" fillId="14" borderId="0" xfId="0" applyFont="1" applyFill="1" applyBorder="1" applyAlignment="1">
      <alignment horizontal="center" vertical="center"/>
    </xf>
    <xf numFmtId="165" fontId="2" fillId="0" borderId="0" xfId="1" applyFont="1" applyBorder="1" applyAlignment="1">
      <alignment horizontal="right" indent="1"/>
    </xf>
    <xf numFmtId="2" fontId="8" fillId="0" borderId="0" xfId="0" applyNumberFormat="1" applyFont="1" applyBorder="1" applyAlignment="1">
      <alignment horizontal="right" indent="1"/>
    </xf>
    <xf numFmtId="165" fontId="2" fillId="14" borderId="0" xfId="0" applyNumberFormat="1" applyFont="1" applyFill="1" applyBorder="1"/>
    <xf numFmtId="165" fontId="2" fillId="0" borderId="0" xfId="0" applyNumberFormat="1" applyFont="1" applyBorder="1" applyAlignment="1">
      <alignment horizontal="right" indent="1"/>
    </xf>
    <xf numFmtId="167" fontId="2" fillId="0" borderId="0" xfId="1" applyNumberFormat="1" applyFont="1" applyBorder="1" applyAlignment="1">
      <alignment horizontal="right" indent="1"/>
    </xf>
    <xf numFmtId="167" fontId="2" fillId="0" borderId="0" xfId="0" applyNumberFormat="1" applyFont="1" applyBorder="1" applyAlignment="1">
      <alignment horizontal="right" indent="1"/>
    </xf>
    <xf numFmtId="10" fontId="8" fillId="0" borderId="0" xfId="2" applyNumberFormat="1" applyFont="1" applyBorder="1" applyAlignment="1">
      <alignment horizontal="center"/>
    </xf>
    <xf numFmtId="167" fontId="8" fillId="0" borderId="0" xfId="1" applyNumberFormat="1" applyFont="1" applyFill="1" applyBorder="1" applyAlignment="1">
      <alignment horizontal="right" indent="1"/>
    </xf>
    <xf numFmtId="0" fontId="9" fillId="0" borderId="0" xfId="0" applyFont="1" applyBorder="1" applyAlignment="1">
      <alignment vertical="center"/>
    </xf>
    <xf numFmtId="10" fontId="25" fillId="8" borderId="0" xfId="3" applyNumberFormat="1" applyFont="1" applyFill="1" applyAlignment="1">
      <alignment horizontal="center"/>
    </xf>
    <xf numFmtId="0" fontId="13" fillId="7" borderId="0" xfId="0" applyFont="1" applyFill="1" applyAlignment="1">
      <alignment horizontal="center"/>
    </xf>
    <xf numFmtId="1" fontId="18" fillId="30" borderId="0" xfId="4" applyNumberFormat="1" applyFont="1" applyFill="1" applyAlignment="1">
      <alignment horizontal="center"/>
    </xf>
    <xf numFmtId="15" fontId="18" fillId="30" borderId="0" xfId="4" applyNumberFormat="1" applyFont="1" applyFill="1" applyAlignment="1">
      <alignment horizontal="center"/>
    </xf>
    <xf numFmtId="0" fontId="25" fillId="7" borderId="17" xfId="3" applyFont="1" applyFill="1" applyBorder="1" applyAlignment="1">
      <alignment vertical="center"/>
    </xf>
    <xf numFmtId="10" fontId="6" fillId="0" borderId="0" xfId="3" applyNumberFormat="1" applyFont="1" applyBorder="1"/>
    <xf numFmtId="165" fontId="6" fillId="0" borderId="0" xfId="5" applyNumberFormat="1" applyFont="1" applyBorder="1"/>
    <xf numFmtId="165" fontId="13" fillId="12" borderId="0" xfId="0" applyNumberFormat="1" applyFont="1" applyFill="1"/>
    <xf numFmtId="9" fontId="32" fillId="7" borderId="0" xfId="3" applyNumberFormat="1" applyFont="1" applyFill="1" applyAlignment="1">
      <alignment horizontal="center" vertical="center"/>
    </xf>
    <xf numFmtId="0" fontId="16" fillId="0" borderId="0" xfId="0" applyFont="1" applyAlignment="1">
      <alignment horizontal="right" vertical="center"/>
    </xf>
    <xf numFmtId="4" fontId="13" fillId="7" borderId="0" xfId="0" applyNumberFormat="1" applyFont="1" applyFill="1" applyBorder="1" applyAlignment="1">
      <alignment horizontal="center" vertical="center" wrapText="1"/>
    </xf>
    <xf numFmtId="0" fontId="33" fillId="0" borderId="0" xfId="0" applyFont="1" applyAlignment="1">
      <alignment vertical="center"/>
    </xf>
    <xf numFmtId="0" fontId="13" fillId="31" borderId="0" xfId="0" applyFont="1" applyFill="1" applyAlignment="1">
      <alignment vertical="center"/>
    </xf>
    <xf numFmtId="167" fontId="13" fillId="0" borderId="0" xfId="1" applyNumberFormat="1" applyFont="1" applyAlignment="1">
      <alignment vertical="center"/>
    </xf>
    <xf numFmtId="0" fontId="35" fillId="0" borderId="0" xfId="0" applyFont="1" applyFill="1" applyBorder="1" applyAlignment="1">
      <alignment horizontal="left" vertical="center" wrapText="1"/>
    </xf>
    <xf numFmtId="0" fontId="35" fillId="0" borderId="0" xfId="0" applyFont="1" applyFill="1" applyBorder="1" applyAlignment="1">
      <alignment horizontal="center" vertical="center" wrapText="1"/>
    </xf>
    <xf numFmtId="0" fontId="36" fillId="0" borderId="0" xfId="0" applyFont="1" applyFill="1" applyBorder="1" applyAlignment="1">
      <alignment horizontal="center" vertical="center" wrapText="1"/>
    </xf>
    <xf numFmtId="0" fontId="35" fillId="7" borderId="0" xfId="0" applyFont="1" applyFill="1" applyBorder="1" applyAlignment="1">
      <alignment horizontal="center" vertical="center" wrapText="1"/>
    </xf>
    <xf numFmtId="2" fontId="35" fillId="7" borderId="0" xfId="0" applyNumberFormat="1" applyFont="1" applyFill="1" applyBorder="1" applyAlignment="1">
      <alignment horizontal="center" vertical="center" wrapText="1"/>
    </xf>
    <xf numFmtId="9" fontId="35" fillId="7" borderId="0" xfId="0" applyNumberFormat="1" applyFont="1" applyFill="1" applyBorder="1" applyAlignment="1">
      <alignment horizontal="center" vertical="center" wrapText="1"/>
    </xf>
    <xf numFmtId="0" fontId="13" fillId="0" borderId="0" xfId="0" applyFont="1" applyFill="1" applyBorder="1" applyAlignment="1">
      <alignment horizontal="center" vertical="center"/>
    </xf>
    <xf numFmtId="0" fontId="8" fillId="0" borderId="0" xfId="0" applyFont="1" applyBorder="1" applyAlignment="1">
      <alignment horizontal="center"/>
    </xf>
    <xf numFmtId="0" fontId="8" fillId="0" borderId="0" xfId="0" applyFont="1" applyBorder="1" applyAlignment="1">
      <alignment horizontal="right" indent="1"/>
    </xf>
    <xf numFmtId="0" fontId="16" fillId="0" borderId="0" xfId="0" applyFont="1" applyAlignment="1">
      <alignment horizontal="center" vertical="center"/>
    </xf>
    <xf numFmtId="0" fontId="25" fillId="0" borderId="0" xfId="3" applyFont="1" applyFill="1"/>
    <xf numFmtId="0" fontId="13" fillId="0" borderId="0" xfId="0" applyFont="1" applyFill="1"/>
    <xf numFmtId="0" fontId="21" fillId="0" borderId="0" xfId="0" applyFont="1" applyFill="1"/>
    <xf numFmtId="0" fontId="16" fillId="0" borderId="0" xfId="0" applyFont="1" applyAlignment="1">
      <alignment wrapText="1"/>
    </xf>
    <xf numFmtId="165" fontId="25" fillId="0" borderId="0" xfId="1" applyFont="1" applyFill="1" applyAlignment="1">
      <alignment wrapText="1"/>
    </xf>
    <xf numFmtId="165" fontId="13" fillId="9" borderId="0" xfId="1" applyFont="1" applyFill="1" applyAlignment="1">
      <alignment wrapText="1"/>
    </xf>
    <xf numFmtId="165" fontId="25" fillId="0" borderId="0" xfId="1" applyFont="1" applyFill="1" applyBorder="1" applyAlignment="1">
      <alignment wrapText="1"/>
    </xf>
    <xf numFmtId="0" fontId="17" fillId="4" borderId="0" xfId="0" applyFont="1" applyFill="1" applyAlignment="1">
      <alignment wrapText="1"/>
    </xf>
    <xf numFmtId="0" fontId="13" fillId="0" borderId="0" xfId="0" applyFont="1" applyAlignment="1">
      <alignment wrapText="1"/>
    </xf>
    <xf numFmtId="0" fontId="13" fillId="4" borderId="0" xfId="0" applyFont="1" applyFill="1" applyAlignment="1">
      <alignment wrapText="1"/>
    </xf>
    <xf numFmtId="165" fontId="21" fillId="0" borderId="0" xfId="1" applyFont="1" applyFill="1" applyBorder="1" applyAlignment="1">
      <alignment wrapText="1"/>
    </xf>
    <xf numFmtId="165" fontId="21" fillId="0" borderId="0" xfId="1" applyFont="1" applyFill="1" applyBorder="1" applyAlignment="1">
      <alignment horizontal="left" wrapText="1"/>
    </xf>
    <xf numFmtId="165" fontId="21" fillId="0" borderId="0" xfId="1" applyFont="1" applyBorder="1" applyAlignment="1">
      <alignment horizontal="left" wrapText="1"/>
    </xf>
    <xf numFmtId="165" fontId="13" fillId="0" borderId="0" xfId="1" applyFont="1" applyFill="1" applyAlignment="1">
      <alignment wrapText="1"/>
    </xf>
    <xf numFmtId="165" fontId="16" fillId="0" borderId="0" xfId="1" applyFont="1" applyAlignment="1">
      <alignment wrapText="1"/>
    </xf>
    <xf numFmtId="165" fontId="18" fillId="6" borderId="0" xfId="1" applyFont="1" applyFill="1" applyAlignment="1">
      <alignment wrapText="1"/>
    </xf>
    <xf numFmtId="165" fontId="25" fillId="0" borderId="0" xfId="1" applyFont="1" applyBorder="1" applyAlignment="1">
      <alignment wrapText="1"/>
    </xf>
    <xf numFmtId="165" fontId="19" fillId="6" borderId="0" xfId="1" applyFont="1" applyFill="1" applyAlignment="1">
      <alignment wrapText="1"/>
    </xf>
    <xf numFmtId="165" fontId="13" fillId="2" borderId="0" xfId="1" applyFont="1" applyFill="1" applyAlignment="1">
      <alignment wrapText="1"/>
    </xf>
    <xf numFmtId="0" fontId="13" fillId="0" borderId="0" xfId="0" applyFont="1" applyFill="1" applyBorder="1" applyAlignment="1">
      <alignment vertical="center" wrapText="1"/>
    </xf>
    <xf numFmtId="0" fontId="16" fillId="4" borderId="0" xfId="0" applyFont="1" applyFill="1" applyBorder="1" applyAlignment="1">
      <alignment vertical="center" wrapText="1"/>
    </xf>
    <xf numFmtId="1" fontId="2" fillId="0" borderId="0" xfId="1" applyNumberFormat="1" applyFont="1" applyBorder="1" applyAlignment="1">
      <alignment horizontal="center" vertical="center"/>
    </xf>
    <xf numFmtId="0" fontId="8" fillId="0" borderId="0" xfId="0" applyFont="1" applyBorder="1" applyAlignment="1">
      <alignment vertical="center" wrapText="1"/>
    </xf>
    <xf numFmtId="10" fontId="17" fillId="7" borderId="0" xfId="0" applyNumberFormat="1" applyFont="1" applyFill="1" applyAlignment="1">
      <alignment horizontal="center"/>
    </xf>
    <xf numFmtId="0" fontId="13" fillId="4" borderId="0" xfId="0" applyFont="1" applyFill="1" applyAlignment="1">
      <alignment horizontal="center" vertical="center"/>
    </xf>
    <xf numFmtId="165" fontId="16" fillId="4" borderId="0" xfId="1" applyFont="1" applyFill="1" applyAlignment="1">
      <alignment wrapText="1"/>
    </xf>
    <xf numFmtId="168" fontId="13" fillId="7" borderId="0" xfId="0" applyNumberFormat="1" applyFont="1" applyFill="1" applyAlignment="1">
      <alignment horizontal="center"/>
    </xf>
    <xf numFmtId="167" fontId="13" fillId="8" borderId="0" xfId="1" applyNumberFormat="1" applyFont="1" applyFill="1" applyBorder="1" applyAlignment="1">
      <alignment horizontal="center" vertical="center"/>
    </xf>
    <xf numFmtId="167" fontId="13" fillId="0" borderId="0" xfId="1" applyNumberFormat="1" applyFont="1"/>
    <xf numFmtId="0" fontId="2" fillId="0" borderId="0" xfId="0" applyFont="1" applyAlignment="1">
      <alignment wrapText="1"/>
    </xf>
    <xf numFmtId="167" fontId="6" fillId="8" borderId="0" xfId="3" applyNumberFormat="1" applyFont="1" applyFill="1" applyBorder="1"/>
    <xf numFmtId="0" fontId="6" fillId="0" borderId="0" xfId="3" applyFont="1" applyBorder="1" applyAlignment="1">
      <alignment horizontal="center"/>
    </xf>
    <xf numFmtId="2" fontId="38" fillId="8" borderId="0" xfId="3" applyNumberFormat="1" applyFont="1" applyFill="1" applyBorder="1"/>
    <xf numFmtId="0" fontId="9" fillId="0" borderId="0" xfId="3" applyFont="1" applyBorder="1" applyAlignment="1">
      <alignment horizontal="center"/>
    </xf>
    <xf numFmtId="2" fontId="9" fillId="8" borderId="0" xfId="3" applyNumberFormat="1" applyFont="1" applyFill="1" applyBorder="1"/>
    <xf numFmtId="2" fontId="14" fillId="8" borderId="0" xfId="3" applyNumberFormat="1" applyFont="1" applyFill="1" applyBorder="1"/>
    <xf numFmtId="165" fontId="8" fillId="0" borderId="0" xfId="0" applyNumberFormat="1" applyFont="1" applyBorder="1"/>
    <xf numFmtId="167" fontId="10" fillId="0" borderId="0" xfId="0" applyNumberFormat="1" applyFont="1" applyFill="1" applyBorder="1" applyAlignment="1">
      <alignment horizontal="center" vertical="center"/>
    </xf>
    <xf numFmtId="0" fontId="2" fillId="4" borderId="0" xfId="0" applyFont="1" applyFill="1" applyBorder="1"/>
    <xf numFmtId="167" fontId="30" fillId="7" borderId="0" xfId="1" applyNumberFormat="1" applyFont="1" applyFill="1" applyBorder="1" applyAlignment="1">
      <alignment horizontal="center" vertical="center"/>
    </xf>
    <xf numFmtId="0" fontId="13" fillId="0" borderId="0" xfId="0" applyFont="1" applyAlignment="1">
      <alignment vertical="center" wrapText="1"/>
    </xf>
    <xf numFmtId="165" fontId="13" fillId="4" borderId="0" xfId="1" applyFont="1" applyFill="1" applyAlignment="1">
      <alignment wrapText="1"/>
    </xf>
    <xf numFmtId="0" fontId="2" fillId="14" borderId="0" xfId="0" applyFont="1" applyFill="1" applyBorder="1"/>
    <xf numFmtId="0" fontId="2" fillId="12" borderId="0" xfId="0" applyFont="1" applyFill="1" applyBorder="1" applyAlignment="1">
      <alignment horizontal="center" vertical="center"/>
    </xf>
    <xf numFmtId="0" fontId="16" fillId="0" borderId="0" xfId="0" applyFont="1" applyAlignment="1">
      <alignment horizontal="center" vertical="center" wrapText="1"/>
    </xf>
    <xf numFmtId="165" fontId="16" fillId="4" borderId="0" xfId="1" applyFont="1" applyFill="1" applyAlignment="1">
      <alignment horizontal="center" vertical="center" wrapText="1"/>
    </xf>
    <xf numFmtId="0" fontId="17" fillId="4" borderId="0" xfId="0" applyFont="1" applyFill="1" applyAlignment="1">
      <alignment horizontal="center" vertical="center"/>
    </xf>
    <xf numFmtId="0" fontId="18" fillId="4" borderId="0" xfId="0" applyFont="1" applyFill="1" applyAlignment="1">
      <alignment horizontal="center" vertical="center"/>
    </xf>
    <xf numFmtId="165" fontId="13" fillId="2" borderId="0" xfId="1" applyFont="1" applyFill="1" applyAlignment="1">
      <alignment horizontal="center" vertical="center"/>
    </xf>
    <xf numFmtId="0" fontId="34" fillId="0" borderId="0" xfId="0" applyFont="1" applyFill="1" applyBorder="1" applyAlignment="1">
      <alignment horizontal="center" vertical="center"/>
    </xf>
    <xf numFmtId="3" fontId="13" fillId="7" borderId="0" xfId="0" applyNumberFormat="1" applyFont="1" applyFill="1" applyAlignment="1">
      <alignment horizontal="center" vertical="center"/>
    </xf>
    <xf numFmtId="0" fontId="13" fillId="0" borderId="0" xfId="0" applyFont="1" applyFill="1" applyAlignment="1">
      <alignment horizontal="center" vertical="center"/>
    </xf>
    <xf numFmtId="181" fontId="13" fillId="7" borderId="0" xfId="0" applyNumberFormat="1" applyFont="1" applyFill="1" applyAlignment="1">
      <alignment horizontal="center" vertical="center"/>
    </xf>
    <xf numFmtId="169" fontId="13" fillId="7" borderId="0" xfId="0" applyNumberFormat="1" applyFont="1" applyFill="1" applyAlignment="1">
      <alignment horizontal="center"/>
    </xf>
    <xf numFmtId="170" fontId="13" fillId="7" borderId="0" xfId="0" applyNumberFormat="1" applyFont="1" applyFill="1" applyAlignment="1">
      <alignment horizontal="center"/>
    </xf>
    <xf numFmtId="3" fontId="13" fillId="0" borderId="0" xfId="0" applyNumberFormat="1" applyFont="1" applyFill="1" applyBorder="1" applyAlignment="1">
      <alignment horizontal="center" vertical="center"/>
    </xf>
    <xf numFmtId="167" fontId="13" fillId="0" borderId="0" xfId="1" applyNumberFormat="1" applyFont="1" applyFill="1" applyBorder="1" applyAlignment="1">
      <alignment horizontal="center" vertical="center"/>
    </xf>
    <xf numFmtId="3" fontId="16" fillId="0" borderId="0" xfId="1" applyNumberFormat="1" applyFont="1" applyFill="1" applyBorder="1" applyAlignment="1">
      <alignment horizontal="center" vertical="center"/>
    </xf>
    <xf numFmtId="3" fontId="13" fillId="0" borderId="0" xfId="1" applyNumberFormat="1" applyFont="1" applyFill="1" applyBorder="1" applyAlignment="1">
      <alignment horizontal="center" vertical="center"/>
    </xf>
    <xf numFmtId="3" fontId="13" fillId="0" borderId="0" xfId="0" applyNumberFormat="1" applyFont="1" applyAlignment="1">
      <alignment horizontal="center" vertical="center"/>
    </xf>
    <xf numFmtId="165" fontId="2" fillId="0" borderId="0" xfId="0" applyNumberFormat="1" applyFont="1" applyBorder="1" applyAlignment="1">
      <alignment horizontal="center" vertical="center"/>
    </xf>
    <xf numFmtId="15" fontId="13" fillId="0" borderId="0" xfId="0" applyNumberFormat="1" applyFont="1" applyAlignment="1">
      <alignment horizontal="center" vertical="center"/>
    </xf>
    <xf numFmtId="1" fontId="18" fillId="30" borderId="0" xfId="4" applyNumberFormat="1" applyFont="1" applyFill="1" applyAlignment="1">
      <alignment horizontal="center" vertical="center"/>
    </xf>
    <xf numFmtId="15" fontId="18" fillId="30" borderId="0" xfId="4" applyNumberFormat="1" applyFont="1" applyFill="1" applyAlignment="1">
      <alignment horizontal="center" vertical="center"/>
    </xf>
    <xf numFmtId="9" fontId="25" fillId="8" borderId="0" xfId="3" applyNumberFormat="1" applyFont="1" applyFill="1" applyAlignment="1">
      <alignment horizontal="center" vertical="center"/>
    </xf>
    <xf numFmtId="10" fontId="13" fillId="7" borderId="0" xfId="0" applyNumberFormat="1" applyFont="1" applyFill="1" applyAlignment="1">
      <alignment horizontal="center" vertical="center"/>
    </xf>
    <xf numFmtId="10" fontId="13" fillId="7" borderId="0" xfId="2" applyNumberFormat="1" applyFont="1" applyFill="1" applyAlignment="1">
      <alignment horizontal="center" vertical="center"/>
    </xf>
    <xf numFmtId="165" fontId="13" fillId="0" borderId="0" xfId="1" applyFont="1" applyFill="1" applyAlignment="1">
      <alignment horizontal="center" vertical="center"/>
    </xf>
    <xf numFmtId="0" fontId="18" fillId="27" borderId="0" xfId="0" applyFont="1" applyFill="1" applyBorder="1" applyAlignment="1">
      <alignment horizontal="center" vertical="center"/>
    </xf>
    <xf numFmtId="1" fontId="16" fillId="4" borderId="0" xfId="0" applyNumberFormat="1" applyFont="1" applyFill="1" applyBorder="1" applyAlignment="1">
      <alignment horizontal="center" vertical="center"/>
    </xf>
    <xf numFmtId="0" fontId="16" fillId="0" borderId="0" xfId="0" applyFont="1" applyFill="1" applyBorder="1" applyAlignment="1">
      <alignment horizontal="center" vertical="center"/>
    </xf>
    <xf numFmtId="0" fontId="13" fillId="15" borderId="0" xfId="0" applyFont="1" applyFill="1" applyAlignment="1">
      <alignment horizontal="center" vertical="center"/>
    </xf>
    <xf numFmtId="3" fontId="2" fillId="0" borderId="0" xfId="0" applyNumberFormat="1" applyFont="1" applyBorder="1"/>
    <xf numFmtId="0" fontId="2" fillId="0" borderId="0" xfId="0" applyFont="1" applyFill="1" applyBorder="1" applyAlignment="1">
      <alignment horizontal="center"/>
    </xf>
    <xf numFmtId="167" fontId="8" fillId="4" borderId="0" xfId="1" applyNumberFormat="1" applyFont="1" applyFill="1" applyBorder="1" applyAlignment="1">
      <alignment horizontal="center" vertical="center"/>
    </xf>
    <xf numFmtId="169" fontId="13" fillId="8" borderId="0" xfId="0" applyNumberFormat="1" applyFont="1" applyFill="1" applyAlignment="1">
      <alignment horizontal="center"/>
    </xf>
    <xf numFmtId="0" fontId="13" fillId="9" borderId="0" xfId="0" applyFont="1" applyFill="1" applyAlignment="1">
      <alignment vertical="center"/>
    </xf>
    <xf numFmtId="0" fontId="25" fillId="0" borderId="0" xfId="16" applyFont="1" applyBorder="1" applyAlignment="1">
      <alignment vertical="center"/>
    </xf>
    <xf numFmtId="0" fontId="25" fillId="0" borderId="0" xfId="16" applyFont="1" applyBorder="1" applyAlignment="1">
      <alignment horizontal="center" vertical="center"/>
    </xf>
    <xf numFmtId="0" fontId="25" fillId="0" borderId="0" xfId="17" applyFont="1" applyBorder="1" applyAlignment="1">
      <alignment vertical="center" wrapText="1"/>
    </xf>
    <xf numFmtId="0" fontId="25" fillId="0" borderId="0" xfId="16" applyFont="1" applyBorder="1" applyAlignment="1">
      <alignment horizontal="center" vertical="center" wrapText="1"/>
    </xf>
    <xf numFmtId="2" fontId="25" fillId="0" borderId="0" xfId="16" applyNumberFormat="1" applyFont="1" applyBorder="1" applyAlignment="1">
      <alignment vertical="center"/>
    </xf>
    <xf numFmtId="2" fontId="25" fillId="2" borderId="0" xfId="16" applyNumberFormat="1" applyFont="1" applyFill="1" applyBorder="1" applyAlignment="1">
      <alignment vertical="center"/>
    </xf>
    <xf numFmtId="43" fontId="25" fillId="0" borderId="0" xfId="16" applyNumberFormat="1" applyFont="1" applyBorder="1" applyAlignment="1">
      <alignment vertical="center"/>
    </xf>
    <xf numFmtId="0" fontId="25" fillId="0" borderId="0" xfId="19" applyFont="1" applyBorder="1" applyAlignment="1">
      <alignment vertical="center"/>
    </xf>
    <xf numFmtId="0" fontId="17" fillId="0" borderId="0" xfId="16" applyFont="1" applyBorder="1" applyAlignment="1">
      <alignment vertical="center"/>
    </xf>
    <xf numFmtId="0" fontId="30" fillId="0" borderId="0" xfId="16" applyFont="1" applyBorder="1" applyAlignment="1">
      <alignment vertical="center"/>
    </xf>
    <xf numFmtId="0" fontId="25" fillId="9" borderId="0" xfId="16" applyFont="1" applyFill="1" applyBorder="1" applyAlignment="1">
      <alignment vertical="center"/>
    </xf>
    <xf numFmtId="9" fontId="13" fillId="9" borderId="0" xfId="2" applyFont="1" applyFill="1" applyBorder="1" applyAlignment="1">
      <alignment vertical="center"/>
    </xf>
    <xf numFmtId="0" fontId="13" fillId="9" borderId="0" xfId="0" applyFont="1" applyFill="1" applyBorder="1" applyAlignment="1">
      <alignment vertical="center"/>
    </xf>
    <xf numFmtId="0" fontId="18" fillId="23" borderId="0" xfId="0" applyFont="1" applyFill="1" applyBorder="1" applyAlignment="1">
      <alignment horizontal="center" vertical="center"/>
    </xf>
    <xf numFmtId="0" fontId="19" fillId="23" borderId="0" xfId="0" applyFont="1" applyFill="1" applyBorder="1" applyAlignment="1">
      <alignment horizontal="center" vertical="center"/>
    </xf>
    <xf numFmtId="0" fontId="16" fillId="21" borderId="0" xfId="0" applyFont="1" applyFill="1" applyBorder="1" applyAlignment="1">
      <alignment vertical="center"/>
    </xf>
    <xf numFmtId="0" fontId="13" fillId="21" borderId="0" xfId="0" applyFont="1" applyFill="1" applyBorder="1" applyAlignment="1">
      <alignment horizontal="center" vertical="center"/>
    </xf>
    <xf numFmtId="0" fontId="16" fillId="21" borderId="0" xfId="0" applyFont="1" applyFill="1" applyBorder="1" applyAlignment="1">
      <alignment horizontal="center" vertical="center"/>
    </xf>
    <xf numFmtId="9" fontId="13" fillId="9" borderId="0" xfId="2" applyFont="1" applyFill="1" applyBorder="1" applyAlignment="1">
      <alignment horizontal="center" vertical="center"/>
    </xf>
    <xf numFmtId="0" fontId="13" fillId="9" borderId="0" xfId="0" applyFont="1" applyFill="1" applyBorder="1" applyAlignment="1">
      <alignment horizontal="center" vertical="center"/>
    </xf>
    <xf numFmtId="0" fontId="16" fillId="9" borderId="0" xfId="0" applyFont="1" applyFill="1" applyBorder="1" applyAlignment="1">
      <alignment horizontal="center" vertical="center"/>
    </xf>
    <xf numFmtId="0" fontId="16" fillId="3" borderId="0" xfId="0" applyFont="1" applyFill="1" applyBorder="1" applyAlignment="1">
      <alignment horizontal="center" vertical="center"/>
    </xf>
    <xf numFmtId="3" fontId="16" fillId="3" borderId="0" xfId="0" applyNumberFormat="1" applyFont="1" applyFill="1" applyBorder="1" applyAlignment="1">
      <alignment horizontal="center" vertical="center"/>
    </xf>
    <xf numFmtId="43" fontId="13" fillId="8" borderId="0" xfId="0" applyNumberFormat="1" applyFont="1" applyFill="1" applyBorder="1" applyAlignment="1">
      <alignment vertical="center"/>
    </xf>
    <xf numFmtId="175" fontId="13" fillId="9" borderId="0" xfId="14" applyNumberFormat="1" applyFont="1" applyFill="1" applyBorder="1" applyAlignment="1">
      <alignment horizontal="center" vertical="center"/>
    </xf>
    <xf numFmtId="43" fontId="13" fillId="9" borderId="0" xfId="0" applyNumberFormat="1" applyFont="1" applyFill="1" applyBorder="1" applyAlignment="1">
      <alignment vertical="center"/>
    </xf>
    <xf numFmtId="0" fontId="16" fillId="0" borderId="0" xfId="0" applyFont="1" applyBorder="1" applyAlignment="1">
      <alignment horizontal="left" vertical="center"/>
    </xf>
    <xf numFmtId="0" fontId="13" fillId="0" borderId="0" xfId="0" quotePrefix="1" applyFont="1" applyBorder="1" applyAlignment="1">
      <alignment horizontal="center" vertical="center"/>
    </xf>
    <xf numFmtId="2" fontId="13" fillId="0" borderId="0" xfId="0" applyNumberFormat="1" applyFont="1" applyBorder="1" applyAlignment="1">
      <alignment horizontal="center" vertical="center"/>
    </xf>
    <xf numFmtId="0" fontId="13" fillId="0" borderId="0" xfId="0" applyFont="1" applyBorder="1" applyAlignment="1">
      <alignment horizontal="left" vertical="center"/>
    </xf>
    <xf numFmtId="0" fontId="13" fillId="7" borderId="0" xfId="0" applyFont="1" applyFill="1" applyBorder="1" applyAlignment="1">
      <alignment horizontal="center" vertical="center"/>
    </xf>
    <xf numFmtId="0" fontId="16" fillId="0" borderId="0" xfId="0" applyFont="1" applyBorder="1" applyAlignment="1">
      <alignment horizontal="center" vertical="center"/>
    </xf>
    <xf numFmtId="2" fontId="16" fillId="0" borderId="0" xfId="0" applyNumberFormat="1" applyFont="1" applyBorder="1" applyAlignment="1">
      <alignment horizontal="center" vertical="center"/>
    </xf>
    <xf numFmtId="0" fontId="16" fillId="0" borderId="0" xfId="0" applyFont="1" applyBorder="1" applyAlignment="1">
      <alignment vertical="center"/>
    </xf>
    <xf numFmtId="0" fontId="19" fillId="27" borderId="0" xfId="0" applyFont="1" applyFill="1" applyBorder="1" applyAlignment="1">
      <alignment vertical="center"/>
    </xf>
    <xf numFmtId="0" fontId="19" fillId="27" borderId="0" xfId="0" applyFont="1" applyFill="1" applyBorder="1" applyAlignment="1">
      <alignment horizontal="center" vertical="center"/>
    </xf>
    <xf numFmtId="0" fontId="18" fillId="23" borderId="0" xfId="0" applyFont="1" applyFill="1" applyBorder="1" applyAlignment="1">
      <alignment vertical="center"/>
    </xf>
    <xf numFmtId="0" fontId="16" fillId="4" borderId="0" xfId="0" applyFont="1" applyFill="1" applyBorder="1" applyAlignment="1">
      <alignment horizontal="left" vertical="center"/>
    </xf>
    <xf numFmtId="3" fontId="13" fillId="7" borderId="0" xfId="13" applyNumberFormat="1" applyFont="1" applyFill="1" applyBorder="1" applyAlignment="1">
      <alignment horizontal="center" vertical="center"/>
    </xf>
    <xf numFmtId="0" fontId="18" fillId="27" borderId="0" xfId="0" applyFont="1" applyFill="1" applyBorder="1" applyAlignment="1">
      <alignment horizontal="center" vertical="center" wrapText="1"/>
    </xf>
    <xf numFmtId="43" fontId="13" fillId="9" borderId="0" xfId="14" applyFont="1" applyFill="1" applyBorder="1" applyAlignment="1">
      <alignment horizontal="left" vertical="center" wrapText="1"/>
    </xf>
    <xf numFmtId="0" fontId="13" fillId="0" borderId="0" xfId="0" applyFont="1" applyBorder="1" applyAlignment="1">
      <alignment vertical="center"/>
    </xf>
    <xf numFmtId="0" fontId="19" fillId="23" borderId="0" xfId="0" applyFont="1" applyFill="1" applyBorder="1" applyAlignment="1">
      <alignment vertical="center"/>
    </xf>
    <xf numFmtId="0" fontId="13" fillId="0" borderId="0" xfId="0" applyFont="1" applyFill="1" applyBorder="1" applyAlignment="1">
      <alignment vertical="center"/>
    </xf>
    <xf numFmtId="0" fontId="16" fillId="4" borderId="0" xfId="0" applyFont="1" applyFill="1" applyBorder="1" applyAlignment="1">
      <alignment vertical="center"/>
    </xf>
    <xf numFmtId="0" fontId="13" fillId="9" borderId="0" xfId="0" applyFont="1" applyFill="1" applyBorder="1" applyAlignment="1">
      <alignment horizontal="left" vertical="center"/>
    </xf>
    <xf numFmtId="43" fontId="13" fillId="9" borderId="0" xfId="14" applyFont="1" applyFill="1" applyBorder="1" applyAlignment="1">
      <alignment horizontal="left" vertical="center"/>
    </xf>
    <xf numFmtId="0" fontId="41" fillId="19" borderId="0" xfId="0" applyFont="1" applyFill="1" applyBorder="1" applyAlignment="1">
      <alignment horizontal="left" vertical="center"/>
    </xf>
    <xf numFmtId="9" fontId="13" fillId="9" borderId="0" xfId="2" applyFont="1" applyFill="1" applyBorder="1" applyAlignment="1">
      <alignment horizontal="left" vertical="center"/>
    </xf>
    <xf numFmtId="3" fontId="13" fillId="8" borderId="0" xfId="0" applyNumberFormat="1" applyFont="1" applyFill="1" applyBorder="1" applyAlignment="1">
      <alignment horizontal="center" vertical="center"/>
    </xf>
    <xf numFmtId="43" fontId="13" fillId="4" borderId="0" xfId="0" applyNumberFormat="1" applyFont="1" applyFill="1" applyBorder="1" applyAlignment="1">
      <alignment vertical="center"/>
    </xf>
    <xf numFmtId="175" fontId="13" fillId="7" borderId="0" xfId="14" applyNumberFormat="1" applyFont="1" applyFill="1" applyBorder="1" applyAlignment="1">
      <alignment horizontal="center" vertical="center"/>
    </xf>
    <xf numFmtId="176" fontId="13" fillId="8" borderId="0" xfId="0" applyNumberFormat="1" applyFont="1" applyFill="1" applyBorder="1" applyAlignment="1">
      <alignment vertical="center"/>
    </xf>
    <xf numFmtId="0" fontId="16" fillId="0" borderId="0" xfId="0" applyFont="1" applyFill="1" applyBorder="1" applyAlignment="1">
      <alignment horizontal="left" vertical="center"/>
    </xf>
    <xf numFmtId="43" fontId="16" fillId="0" borderId="0" xfId="14" applyFont="1" applyFill="1" applyBorder="1" applyAlignment="1">
      <alignment horizontal="left" vertical="center"/>
    </xf>
    <xf numFmtId="43" fontId="13" fillId="0" borderId="0" xfId="0" applyNumberFormat="1" applyFont="1" applyFill="1" applyBorder="1" applyAlignment="1">
      <alignment vertical="center"/>
    </xf>
    <xf numFmtId="0" fontId="16" fillId="21" borderId="0" xfId="0" applyFont="1" applyFill="1" applyBorder="1" applyAlignment="1">
      <alignment horizontal="left" vertical="center"/>
    </xf>
    <xf numFmtId="43" fontId="13" fillId="21" borderId="0" xfId="0" applyNumberFormat="1" applyFont="1" applyFill="1" applyBorder="1" applyAlignment="1">
      <alignment vertical="center"/>
    </xf>
    <xf numFmtId="0" fontId="16" fillId="4" borderId="0" xfId="0" applyFont="1" applyFill="1" applyBorder="1" applyAlignment="1">
      <alignment horizontal="center" vertical="center"/>
    </xf>
    <xf numFmtId="175" fontId="13" fillId="8" borderId="0" xfId="14" applyNumberFormat="1" applyFont="1" applyFill="1" applyBorder="1" applyAlignment="1">
      <alignment horizontal="center" vertical="center"/>
    </xf>
    <xf numFmtId="0" fontId="19" fillId="23" borderId="0" xfId="0" applyFont="1" applyFill="1" applyBorder="1" applyAlignment="1">
      <alignment horizontal="left" vertical="center"/>
    </xf>
    <xf numFmtId="0" fontId="13" fillId="8" borderId="0" xfId="0" applyFont="1" applyFill="1" applyBorder="1" applyAlignment="1">
      <alignment vertical="center"/>
    </xf>
    <xf numFmtId="1" fontId="16" fillId="8" borderId="0" xfId="0" applyNumberFormat="1" applyFont="1" applyFill="1" applyBorder="1" applyAlignment="1">
      <alignment horizontal="center" vertical="center"/>
    </xf>
    <xf numFmtId="0" fontId="40" fillId="27" borderId="0" xfId="0" applyFont="1" applyFill="1" applyBorder="1" applyAlignment="1">
      <alignment vertical="center"/>
    </xf>
    <xf numFmtId="2" fontId="13" fillId="7" borderId="0" xfId="0" applyNumberFormat="1" applyFont="1" applyFill="1" applyBorder="1" applyAlignment="1">
      <alignment horizontal="center" vertical="center"/>
    </xf>
    <xf numFmtId="2" fontId="13" fillId="8" borderId="0" xfId="0" applyNumberFormat="1" applyFont="1" applyFill="1" applyBorder="1" applyAlignment="1">
      <alignment horizontal="center" vertical="center"/>
    </xf>
    <xf numFmtId="2" fontId="16" fillId="4" borderId="0" xfId="0" applyNumberFormat="1" applyFont="1" applyFill="1" applyBorder="1" applyAlignment="1">
      <alignment horizontal="center" vertical="center"/>
    </xf>
    <xf numFmtId="2" fontId="13" fillId="4" borderId="0" xfId="0" applyNumberFormat="1" applyFont="1" applyFill="1" applyBorder="1" applyAlignment="1">
      <alignment horizontal="center" vertical="center"/>
    </xf>
    <xf numFmtId="0" fontId="25" fillId="0" borderId="0" xfId="16" applyFont="1" applyFill="1" applyBorder="1" applyAlignment="1">
      <alignment vertical="center"/>
    </xf>
    <xf numFmtId="0" fontId="17" fillId="21" borderId="0" xfId="16" applyFont="1" applyFill="1" applyBorder="1" applyAlignment="1">
      <alignment vertical="center" wrapText="1"/>
    </xf>
    <xf numFmtId="182" fontId="25" fillId="21" borderId="0" xfId="18" applyFont="1" applyFill="1" applyBorder="1" applyAlignment="1">
      <alignment vertical="center" wrapText="1"/>
    </xf>
    <xf numFmtId="0" fontId="25" fillId="21" borderId="0" xfId="16" applyFont="1" applyFill="1" applyBorder="1" applyAlignment="1">
      <alignment vertical="center"/>
    </xf>
    <xf numFmtId="182" fontId="25" fillId="0" borderId="0" xfId="18" applyFont="1" applyFill="1" applyBorder="1" applyAlignment="1">
      <alignment vertical="center" wrapText="1"/>
    </xf>
    <xf numFmtId="3" fontId="16" fillId="8" borderId="0" xfId="0" applyNumberFormat="1" applyFont="1" applyFill="1" applyAlignment="1">
      <alignment horizontal="center" vertical="center"/>
    </xf>
    <xf numFmtId="165" fontId="9" fillId="21" borderId="0" xfId="1" applyFont="1" applyFill="1" applyBorder="1"/>
    <xf numFmtId="165" fontId="9" fillId="14" borderId="0" xfId="1" applyFont="1" applyFill="1" applyBorder="1" applyAlignment="1">
      <alignment horizontal="center" vertical="center"/>
    </xf>
    <xf numFmtId="167" fontId="9" fillId="14" borderId="0" xfId="1" applyNumberFormat="1" applyFont="1" applyFill="1" applyBorder="1" applyAlignment="1">
      <alignment horizontal="right"/>
    </xf>
    <xf numFmtId="167" fontId="2" fillId="0" borderId="0" xfId="1" applyNumberFormat="1" applyFont="1" applyFill="1" applyBorder="1" applyAlignment="1">
      <alignment horizontal="right" vertical="center"/>
    </xf>
    <xf numFmtId="165" fontId="2" fillId="21" borderId="0" xfId="1" applyFont="1" applyFill="1" applyBorder="1"/>
    <xf numFmtId="0" fontId="8" fillId="4" borderId="0" xfId="0" applyFont="1" applyFill="1" applyBorder="1"/>
    <xf numFmtId="0" fontId="8" fillId="4" borderId="0" xfId="0" applyFont="1" applyFill="1" applyBorder="1" applyAlignment="1">
      <alignment horizontal="center"/>
    </xf>
    <xf numFmtId="0" fontId="37" fillId="4" borderId="0" xfId="0" applyFont="1" applyFill="1" applyBorder="1"/>
    <xf numFmtId="0" fontId="18" fillId="9" borderId="0" xfId="0" applyFont="1" applyFill="1" applyAlignment="1">
      <alignment horizontal="center" vertical="center"/>
    </xf>
    <xf numFmtId="9" fontId="18" fillId="23" borderId="0" xfId="2" applyFont="1" applyFill="1" applyBorder="1" applyAlignment="1">
      <alignment horizontal="center" vertical="center"/>
    </xf>
    <xf numFmtId="9" fontId="13" fillId="21" borderId="0" xfId="2" applyFont="1" applyFill="1" applyBorder="1" applyAlignment="1">
      <alignment horizontal="center" vertical="center"/>
    </xf>
    <xf numFmtId="0" fontId="44" fillId="21" borderId="0" xfId="0" applyFont="1" applyFill="1" applyBorder="1" applyAlignment="1">
      <alignment vertical="center"/>
    </xf>
    <xf numFmtId="0" fontId="28" fillId="21" borderId="0" xfId="0" applyFont="1" applyFill="1" applyBorder="1" applyAlignment="1">
      <alignment horizontal="center" vertical="center"/>
    </xf>
    <xf numFmtId="0" fontId="46" fillId="21" borderId="0" xfId="0" applyFont="1" applyFill="1" applyBorder="1" applyAlignment="1">
      <alignment vertical="center"/>
    </xf>
    <xf numFmtId="0" fontId="28" fillId="21" borderId="0" xfId="0" applyFont="1" applyFill="1" applyBorder="1" applyAlignment="1">
      <alignment horizontal="right" vertical="center"/>
    </xf>
    <xf numFmtId="3" fontId="16" fillId="21" borderId="0" xfId="0" applyNumberFormat="1" applyFont="1" applyFill="1" applyAlignment="1">
      <alignment horizontal="center" vertical="center"/>
    </xf>
    <xf numFmtId="9" fontId="13" fillId="9" borderId="0" xfId="0" applyNumberFormat="1" applyFont="1" applyFill="1" applyBorder="1" applyAlignment="1">
      <alignment vertical="center"/>
    </xf>
    <xf numFmtId="165" fontId="13" fillId="29" borderId="0" xfId="1" applyFont="1" applyFill="1" applyBorder="1" applyAlignment="1">
      <alignment vertical="center"/>
    </xf>
    <xf numFmtId="10" fontId="13" fillId="8" borderId="0" xfId="2" applyNumberFormat="1" applyFont="1" applyFill="1" applyBorder="1" applyAlignment="1">
      <alignment horizontal="center" vertical="center"/>
    </xf>
    <xf numFmtId="167" fontId="13" fillId="29" borderId="0" xfId="1" applyNumberFormat="1" applyFont="1" applyFill="1" applyBorder="1" applyAlignment="1">
      <alignment vertical="center"/>
    </xf>
    <xf numFmtId="167" fontId="16" fillId="21" borderId="0" xfId="1" applyNumberFormat="1" applyFont="1" applyFill="1" applyBorder="1" applyAlignment="1">
      <alignment horizontal="center" vertical="center"/>
    </xf>
    <xf numFmtId="167" fontId="13" fillId="4" borderId="0" xfId="1" applyNumberFormat="1" applyFont="1" applyFill="1" applyBorder="1" applyAlignment="1">
      <alignment vertical="center"/>
    </xf>
    <xf numFmtId="167" fontId="13" fillId="0" borderId="0" xfId="1" applyNumberFormat="1" applyFont="1" applyBorder="1" applyAlignment="1">
      <alignment vertical="center"/>
    </xf>
    <xf numFmtId="165" fontId="13" fillId="0" borderId="0" xfId="0" applyNumberFormat="1" applyFont="1" applyBorder="1" applyAlignment="1">
      <alignment vertical="center"/>
    </xf>
    <xf numFmtId="0" fontId="41" fillId="0" borderId="0" xfId="0" applyFont="1" applyFill="1" applyBorder="1" applyAlignment="1">
      <alignment horizontal="left" vertical="center"/>
    </xf>
    <xf numFmtId="165" fontId="13" fillId="0" borderId="0" xfId="0" applyNumberFormat="1" applyFont="1" applyFill="1" applyBorder="1" applyAlignment="1">
      <alignment vertical="center"/>
    </xf>
    <xf numFmtId="9" fontId="16" fillId="8" borderId="0" xfId="0" applyNumberFormat="1" applyFont="1" applyFill="1" applyBorder="1" applyAlignment="1">
      <alignment horizontal="center" vertical="center"/>
    </xf>
    <xf numFmtId="9" fontId="16" fillId="33" borderId="0" xfId="0" applyNumberFormat="1" applyFont="1" applyFill="1" applyBorder="1" applyAlignment="1">
      <alignment horizontal="center" vertical="center"/>
    </xf>
    <xf numFmtId="165" fontId="16" fillId="4" borderId="0" xfId="1" applyFont="1" applyFill="1" applyBorder="1" applyAlignment="1">
      <alignment horizontal="center" vertical="center"/>
    </xf>
    <xf numFmtId="0" fontId="7" fillId="26" borderId="0" xfId="0" applyFont="1" applyFill="1" applyAlignment="1">
      <alignment vertical="center"/>
    </xf>
    <xf numFmtId="0" fontId="4" fillId="26" borderId="0" xfId="0" applyFont="1" applyFill="1" applyAlignment="1">
      <alignment horizontal="center" vertical="center"/>
    </xf>
    <xf numFmtId="0" fontId="19" fillId="18" borderId="11" xfId="0" applyFont="1" applyFill="1" applyBorder="1" applyAlignment="1">
      <alignment vertical="center"/>
    </xf>
    <xf numFmtId="0" fontId="19" fillId="18" borderId="11" xfId="0" applyFont="1" applyFill="1" applyBorder="1" applyAlignment="1">
      <alignment horizontal="center" vertical="center"/>
    </xf>
    <xf numFmtId="0" fontId="13" fillId="13" borderId="0" xfId="0" applyFont="1" applyFill="1" applyBorder="1" applyAlignment="1">
      <alignment horizontal="center" vertical="center"/>
    </xf>
    <xf numFmtId="0" fontId="16" fillId="13" borderId="0" xfId="0" applyFont="1" applyFill="1" applyBorder="1" applyAlignment="1">
      <alignment horizontal="left" vertical="center"/>
    </xf>
    <xf numFmtId="0" fontId="13" fillId="13" borderId="0" xfId="0" applyFont="1" applyFill="1" applyBorder="1" applyAlignment="1">
      <alignment vertical="center"/>
    </xf>
    <xf numFmtId="0" fontId="16" fillId="15" borderId="0" xfId="0" applyFont="1" applyFill="1" applyAlignment="1">
      <alignment horizontal="center" vertical="center"/>
    </xf>
    <xf numFmtId="0" fontId="16" fillId="15" borderId="0" xfId="0" applyFont="1" applyFill="1" applyAlignment="1">
      <alignment vertical="center"/>
    </xf>
    <xf numFmtId="0" fontId="13" fillId="15" borderId="0" xfId="0" applyFont="1" applyFill="1" applyAlignment="1">
      <alignment vertical="center"/>
    </xf>
    <xf numFmtId="0" fontId="16" fillId="15" borderId="0" xfId="0" applyFont="1" applyFill="1" applyBorder="1" applyAlignment="1">
      <alignment horizontal="center" vertical="center"/>
    </xf>
    <xf numFmtId="0" fontId="16" fillId="15" borderId="0" xfId="0" applyFont="1" applyFill="1" applyBorder="1" applyAlignment="1">
      <alignment horizontal="left" vertical="center"/>
    </xf>
    <xf numFmtId="0" fontId="16" fillId="3" borderId="0" xfId="0" applyFont="1" applyFill="1" applyBorder="1" applyAlignment="1">
      <alignment horizontal="left" vertical="center"/>
    </xf>
    <xf numFmtId="0" fontId="19" fillId="24" borderId="0" xfId="0" applyFont="1" applyFill="1" applyBorder="1" applyAlignment="1">
      <alignment horizontal="center" vertical="center"/>
    </xf>
    <xf numFmtId="0" fontId="19" fillId="24" borderId="0" xfId="0" applyFont="1" applyFill="1" applyBorder="1" applyAlignment="1">
      <alignment horizontal="left" vertical="center"/>
    </xf>
    <xf numFmtId="9" fontId="13" fillId="7" borderId="0" xfId="0" applyNumberFormat="1" applyFont="1" applyFill="1" applyBorder="1" applyAlignment="1">
      <alignment horizontal="center" vertical="center"/>
    </xf>
    <xf numFmtId="3" fontId="13" fillId="13" borderId="0" xfId="0" applyNumberFormat="1" applyFont="1" applyFill="1" applyBorder="1" applyAlignment="1">
      <alignment horizontal="center" vertical="center"/>
    </xf>
    <xf numFmtId="3" fontId="13" fillId="8" borderId="0" xfId="1" applyNumberFormat="1" applyFont="1" applyFill="1" applyBorder="1" applyAlignment="1">
      <alignment horizontal="center" vertical="center"/>
    </xf>
    <xf numFmtId="3" fontId="16" fillId="15" borderId="0" xfId="1" applyNumberFormat="1" applyFont="1" applyFill="1" applyBorder="1" applyAlignment="1">
      <alignment horizontal="center" vertical="center"/>
    </xf>
    <xf numFmtId="3" fontId="16" fillId="15" borderId="0" xfId="0" applyNumberFormat="1" applyFont="1" applyFill="1" applyBorder="1" applyAlignment="1">
      <alignment horizontal="center" vertical="center"/>
    </xf>
    <xf numFmtId="3" fontId="19" fillId="24" borderId="0" xfId="0" applyNumberFormat="1" applyFont="1" applyFill="1" applyBorder="1" applyAlignment="1">
      <alignment horizontal="center" vertical="center"/>
    </xf>
    <xf numFmtId="3" fontId="13" fillId="15" borderId="0" xfId="1" applyNumberFormat="1" applyFont="1" applyFill="1" applyAlignment="1">
      <alignment horizontal="center" vertical="center"/>
    </xf>
    <xf numFmtId="3" fontId="16" fillId="15" borderId="0" xfId="1" applyNumberFormat="1" applyFont="1" applyFill="1" applyAlignment="1">
      <alignment horizontal="center" vertical="center"/>
    </xf>
    <xf numFmtId="3" fontId="13" fillId="3" borderId="0" xfId="0" applyNumberFormat="1" applyFont="1" applyFill="1" applyBorder="1" applyAlignment="1">
      <alignment horizontal="center" vertical="center"/>
    </xf>
    <xf numFmtId="3" fontId="13" fillId="0" borderId="0" xfId="0" applyNumberFormat="1" applyFont="1" applyBorder="1" applyAlignment="1">
      <alignment horizontal="center" vertical="center"/>
    </xf>
    <xf numFmtId="3" fontId="13" fillId="3" borderId="0" xfId="1" applyNumberFormat="1" applyFont="1" applyFill="1" applyBorder="1" applyAlignment="1">
      <alignment horizontal="center" vertical="center"/>
    </xf>
    <xf numFmtId="3" fontId="13" fillId="15" borderId="0" xfId="1" applyNumberFormat="1" applyFont="1" applyFill="1" applyBorder="1" applyAlignment="1">
      <alignment horizontal="center" vertical="center"/>
    </xf>
    <xf numFmtId="3" fontId="19" fillId="24" borderId="0" xfId="1" applyNumberFormat="1" applyFont="1" applyFill="1" applyBorder="1" applyAlignment="1">
      <alignment horizontal="center" vertical="center"/>
    </xf>
    <xf numFmtId="3" fontId="18" fillId="24" borderId="0" xfId="1" applyNumberFormat="1" applyFont="1" applyFill="1" applyBorder="1" applyAlignment="1">
      <alignment horizontal="center" vertical="center"/>
    </xf>
    <xf numFmtId="0" fontId="13" fillId="9" borderId="0" xfId="0" applyFont="1" applyFill="1" applyBorder="1" applyAlignment="1">
      <alignment horizontal="left" vertical="center" indent="1"/>
    </xf>
    <xf numFmtId="0" fontId="13" fillId="13" borderId="0" xfId="0" applyFont="1" applyFill="1" applyAlignment="1">
      <alignment vertical="center"/>
    </xf>
    <xf numFmtId="0" fontId="16" fillId="13" borderId="0" xfId="0" applyFont="1" applyFill="1" applyAlignment="1">
      <alignment vertical="center"/>
    </xf>
    <xf numFmtId="3" fontId="16" fillId="13" borderId="0" xfId="0" applyNumberFormat="1" applyFont="1" applyFill="1" applyAlignment="1">
      <alignment horizontal="center" vertical="center"/>
    </xf>
    <xf numFmtId="167" fontId="13" fillId="8" borderId="0" xfId="0" applyNumberFormat="1" applyFont="1" applyFill="1" applyBorder="1" applyAlignment="1">
      <alignment vertical="center"/>
    </xf>
    <xf numFmtId="3" fontId="13" fillId="15" borderId="0" xfId="0" applyNumberFormat="1" applyFont="1" applyFill="1" applyAlignment="1">
      <alignment horizontal="center" vertical="center"/>
    </xf>
    <xf numFmtId="10" fontId="2" fillId="7" borderId="0" xfId="0" applyNumberFormat="1" applyFont="1" applyFill="1" applyBorder="1"/>
    <xf numFmtId="165" fontId="9" fillId="22" borderId="0" xfId="1" applyFont="1" applyFill="1" applyBorder="1"/>
    <xf numFmtId="165" fontId="6" fillId="22" borderId="0" xfId="1" applyFont="1" applyFill="1" applyBorder="1" applyAlignment="1">
      <alignment horizontal="center" vertical="center"/>
    </xf>
    <xf numFmtId="167" fontId="9" fillId="22" borderId="0" xfId="1" applyNumberFormat="1" applyFont="1" applyFill="1" applyBorder="1" applyAlignment="1">
      <alignment horizontal="right"/>
    </xf>
    <xf numFmtId="0" fontId="6" fillId="22" borderId="0" xfId="3" applyFont="1" applyFill="1" applyBorder="1" applyAlignment="1">
      <alignment horizontal="right" vertical="center"/>
    </xf>
    <xf numFmtId="0" fontId="2" fillId="22" borderId="0" xfId="0" applyFont="1" applyFill="1" applyBorder="1"/>
    <xf numFmtId="0" fontId="2" fillId="22" borderId="0" xfId="0" applyFont="1" applyFill="1" applyBorder="1" applyAlignment="1">
      <alignment horizontal="right"/>
    </xf>
    <xf numFmtId="3" fontId="13" fillId="15" borderId="0" xfId="0" applyNumberFormat="1" applyFont="1" applyFill="1" applyBorder="1" applyAlignment="1">
      <alignment horizontal="center" vertical="center"/>
    </xf>
    <xf numFmtId="43" fontId="16" fillId="21" borderId="0" xfId="0" applyNumberFormat="1" applyFont="1" applyFill="1" applyBorder="1" applyAlignment="1">
      <alignment vertical="center"/>
    </xf>
    <xf numFmtId="165" fontId="16" fillId="21" borderId="0" xfId="1" applyFont="1" applyFill="1" applyAlignment="1">
      <alignment horizontal="center" vertical="center" wrapText="1"/>
    </xf>
    <xf numFmtId="165" fontId="16" fillId="21" borderId="0" xfId="1" applyFont="1" applyFill="1" applyAlignment="1">
      <alignment wrapText="1"/>
    </xf>
    <xf numFmtId="4" fontId="13" fillId="8" borderId="0" xfId="0" applyNumberFormat="1" applyFont="1" applyFill="1" applyAlignment="1">
      <alignment horizontal="center" vertical="center"/>
    </xf>
    <xf numFmtId="165" fontId="25" fillId="0" borderId="0" xfId="16" applyNumberFormat="1" applyFont="1" applyBorder="1" applyAlignment="1">
      <alignment vertical="center"/>
    </xf>
    <xf numFmtId="43" fontId="17" fillId="0" borderId="0" xfId="16" applyNumberFormat="1" applyFont="1" applyBorder="1" applyAlignment="1">
      <alignment vertical="center"/>
    </xf>
    <xf numFmtId="0" fontId="25" fillId="0" borderId="0" xfId="16" applyFont="1" applyBorder="1" applyAlignment="1">
      <alignment vertical="center" wrapText="1"/>
    </xf>
    <xf numFmtId="0" fontId="25" fillId="9" borderId="0" xfId="16" applyFont="1" applyFill="1" applyBorder="1" applyAlignment="1">
      <alignment horizontal="center" vertical="center" wrapText="1"/>
    </xf>
    <xf numFmtId="182" fontId="17" fillId="0" borderId="0" xfId="18" applyFont="1" applyFill="1" applyBorder="1" applyAlignment="1">
      <alignment vertical="center" wrapText="1"/>
    </xf>
    <xf numFmtId="0" fontId="17" fillId="0" borderId="0" xfId="17" applyFont="1" applyBorder="1" applyAlignment="1">
      <alignment vertical="center"/>
    </xf>
    <xf numFmtId="182" fontId="25" fillId="7" borderId="0" xfId="18" applyFont="1" applyFill="1" applyBorder="1" applyAlignment="1">
      <alignment vertical="center" wrapText="1"/>
    </xf>
    <xf numFmtId="1" fontId="17" fillId="0" borderId="0" xfId="17" applyNumberFormat="1" applyFont="1" applyBorder="1" applyAlignment="1">
      <alignment vertical="center"/>
    </xf>
    <xf numFmtId="184" fontId="25" fillId="0" borderId="0" xfId="18" applyNumberFormat="1" applyFont="1" applyFill="1" applyBorder="1" applyAlignment="1">
      <alignment vertical="center" wrapText="1"/>
    </xf>
    <xf numFmtId="0" fontId="25" fillId="0" borderId="0" xfId="19" applyFont="1" applyBorder="1" applyAlignment="1">
      <alignment vertical="center" wrapText="1"/>
    </xf>
    <xf numFmtId="182" fontId="25" fillId="0" borderId="0" xfId="18" applyFont="1" applyFill="1" applyBorder="1" applyAlignment="1">
      <alignment vertical="center"/>
    </xf>
    <xf numFmtId="0" fontId="25" fillId="21" borderId="0" xfId="16" applyFont="1" applyFill="1" applyBorder="1" applyAlignment="1">
      <alignment vertical="center" wrapText="1"/>
    </xf>
    <xf numFmtId="0" fontId="25" fillId="9" borderId="0" xfId="17" applyFont="1" applyFill="1" applyBorder="1" applyAlignment="1">
      <alignment vertical="center" wrapText="1"/>
    </xf>
    <xf numFmtId="0" fontId="25" fillId="9" borderId="0" xfId="16" applyFont="1" applyFill="1" applyBorder="1" applyAlignment="1">
      <alignment vertical="center" wrapText="1"/>
    </xf>
    <xf numFmtId="183" fontId="25" fillId="0" borderId="0" xfId="16" applyNumberFormat="1" applyFont="1" applyBorder="1" applyAlignment="1">
      <alignment vertical="center"/>
    </xf>
    <xf numFmtId="0" fontId="17" fillId="21" borderId="0" xfId="16" applyFont="1" applyFill="1" applyBorder="1" applyAlignment="1">
      <alignment vertical="center"/>
    </xf>
    <xf numFmtId="182" fontId="17" fillId="21" borderId="0" xfId="18" applyFont="1" applyFill="1" applyBorder="1" applyAlignment="1">
      <alignment vertical="center" wrapText="1"/>
    </xf>
    <xf numFmtId="3" fontId="25" fillId="7" borderId="0" xfId="16" applyNumberFormat="1" applyFont="1" applyFill="1" applyBorder="1" applyAlignment="1">
      <alignment vertical="center"/>
    </xf>
    <xf numFmtId="182" fontId="25" fillId="9" borderId="0" xfId="18" applyFont="1" applyFill="1" applyBorder="1" applyAlignment="1">
      <alignment vertical="center" wrapText="1"/>
    </xf>
    <xf numFmtId="1" fontId="25" fillId="9" borderId="0" xfId="19" applyNumberFormat="1" applyFont="1" applyFill="1" applyBorder="1" applyAlignment="1">
      <alignment vertical="center" wrapText="1"/>
    </xf>
    <xf numFmtId="0" fontId="25" fillId="9" borderId="0" xfId="19" applyFont="1" applyFill="1" applyBorder="1" applyAlignment="1">
      <alignment vertical="center" wrapText="1"/>
    </xf>
    <xf numFmtId="0" fontId="17" fillId="4" borderId="0" xfId="16" applyFont="1" applyFill="1" applyBorder="1" applyAlignment="1">
      <alignment vertical="center" wrapText="1"/>
    </xf>
    <xf numFmtId="0" fontId="17" fillId="4" borderId="0" xfId="16" applyFont="1" applyFill="1" applyBorder="1" applyAlignment="1">
      <alignment vertical="center"/>
    </xf>
    <xf numFmtId="182" fontId="17" fillId="4" borderId="0" xfId="18" applyFont="1" applyFill="1" applyBorder="1" applyAlignment="1">
      <alignment vertical="center"/>
    </xf>
    <xf numFmtId="0" fontId="25" fillId="4" borderId="0" xfId="16" applyFont="1" applyFill="1" applyBorder="1" applyAlignment="1">
      <alignment vertical="center"/>
    </xf>
    <xf numFmtId="182" fontId="25" fillId="4" borderId="0" xfId="18" applyFont="1" applyFill="1" applyBorder="1" applyAlignment="1">
      <alignment vertical="center"/>
    </xf>
    <xf numFmtId="182" fontId="25" fillId="21" borderId="0" xfId="18" applyFont="1" applyFill="1" applyBorder="1" applyAlignment="1">
      <alignment vertical="center"/>
    </xf>
    <xf numFmtId="0" fontId="19" fillId="24" borderId="0" xfId="16" applyFont="1" applyFill="1" applyBorder="1" applyAlignment="1">
      <alignment vertical="center" wrapText="1"/>
    </xf>
    <xf numFmtId="0" fontId="19" fillId="24" borderId="0" xfId="16" applyFont="1" applyFill="1" applyBorder="1" applyAlignment="1">
      <alignment vertical="center"/>
    </xf>
    <xf numFmtId="0" fontId="17" fillId="3" borderId="0" xfId="16" applyFont="1" applyFill="1" applyBorder="1" applyAlignment="1">
      <alignment vertical="center" wrapText="1"/>
    </xf>
    <xf numFmtId="176" fontId="17" fillId="15" borderId="0" xfId="16" applyNumberFormat="1" applyFont="1" applyFill="1" applyBorder="1" applyAlignment="1">
      <alignment vertical="center" wrapText="1"/>
    </xf>
    <xf numFmtId="176" fontId="25" fillId="15" borderId="0" xfId="16" applyNumberFormat="1" applyFont="1" applyFill="1" applyBorder="1" applyAlignment="1">
      <alignment vertical="center" wrapText="1"/>
    </xf>
    <xf numFmtId="167" fontId="25" fillId="3" borderId="0" xfId="1" applyNumberFormat="1" applyFont="1" applyFill="1" applyBorder="1" applyAlignment="1">
      <alignment vertical="center"/>
    </xf>
    <xf numFmtId="184" fontId="25" fillId="3" borderId="0" xfId="18" applyNumberFormat="1" applyFont="1" applyFill="1" applyBorder="1" applyAlignment="1">
      <alignment vertical="center" wrapText="1"/>
    </xf>
    <xf numFmtId="182" fontId="25" fillId="3" borderId="0" xfId="18" applyFont="1" applyFill="1" applyBorder="1" applyAlignment="1">
      <alignment vertical="center" wrapText="1"/>
    </xf>
    <xf numFmtId="10" fontId="25" fillId="7" borderId="0" xfId="16" applyNumberFormat="1" applyFont="1" applyFill="1" applyBorder="1" applyAlignment="1">
      <alignment horizontal="center" vertical="center"/>
    </xf>
    <xf numFmtId="182" fontId="25" fillId="4" borderId="0" xfId="18" applyFont="1" applyFill="1" applyBorder="1" applyAlignment="1">
      <alignment vertical="center" wrapText="1"/>
    </xf>
    <xf numFmtId="176" fontId="25" fillId="4" borderId="0" xfId="16" applyNumberFormat="1" applyFont="1" applyFill="1" applyBorder="1" applyAlignment="1">
      <alignment vertical="center"/>
    </xf>
    <xf numFmtId="0" fontId="25" fillId="17" borderId="0" xfId="16" applyFont="1" applyFill="1" applyBorder="1" applyAlignment="1">
      <alignment vertical="center" wrapText="1"/>
    </xf>
    <xf numFmtId="176" fontId="50" fillId="15" borderId="0" xfId="16" applyNumberFormat="1" applyFont="1" applyFill="1" applyBorder="1" applyAlignment="1">
      <alignment vertical="center" wrapText="1"/>
    </xf>
    <xf numFmtId="0" fontId="49" fillId="0" borderId="0" xfId="16" applyFont="1" applyBorder="1" applyAlignment="1">
      <alignment vertical="center" wrapText="1"/>
    </xf>
    <xf numFmtId="2" fontId="49" fillId="2" borderId="0" xfId="16" applyNumberFormat="1" applyFont="1" applyFill="1" applyBorder="1" applyAlignment="1">
      <alignment vertical="center"/>
    </xf>
    <xf numFmtId="10" fontId="25" fillId="21" borderId="0" xfId="16" applyNumberFormat="1" applyFont="1" applyFill="1" applyBorder="1" applyAlignment="1">
      <alignment horizontal="center" vertical="center"/>
    </xf>
    <xf numFmtId="2" fontId="49" fillId="32" borderId="0" xfId="16" applyNumberFormat="1" applyFont="1" applyFill="1" applyBorder="1" applyAlignment="1">
      <alignment vertical="center"/>
    </xf>
    <xf numFmtId="10" fontId="25" fillId="7" borderId="0" xfId="2" applyNumberFormat="1" applyFont="1" applyFill="1" applyBorder="1" applyAlignment="1">
      <alignment vertical="center"/>
    </xf>
    <xf numFmtId="184" fontId="25" fillId="0" borderId="0" xfId="18" applyNumberFormat="1" applyFont="1" applyFill="1" applyBorder="1" applyAlignment="1">
      <alignment vertical="center"/>
    </xf>
    <xf numFmtId="0" fontId="32" fillId="21" borderId="0" xfId="16" applyFont="1" applyFill="1" applyBorder="1" applyAlignment="1">
      <alignment vertical="center" wrapText="1"/>
    </xf>
    <xf numFmtId="0" fontId="30" fillId="21" borderId="0" xfId="16" applyFont="1" applyFill="1" applyBorder="1" applyAlignment="1">
      <alignment vertical="center"/>
    </xf>
    <xf numFmtId="182" fontId="30" fillId="21" borderId="0" xfId="18" applyFont="1" applyFill="1" applyBorder="1" applyAlignment="1">
      <alignment vertical="center" wrapText="1"/>
    </xf>
    <xf numFmtId="0" fontId="17" fillId="15" borderId="0" xfId="16" applyFont="1" applyFill="1" applyBorder="1" applyAlignment="1">
      <alignment vertical="center" wrapText="1"/>
    </xf>
    <xf numFmtId="167" fontId="25" fillId="15" borderId="0" xfId="1" applyNumberFormat="1" applyFont="1" applyFill="1" applyBorder="1" applyAlignment="1">
      <alignment vertical="center"/>
    </xf>
    <xf numFmtId="182" fontId="25" fillId="15" borderId="0" xfId="18" applyFont="1" applyFill="1" applyBorder="1" applyAlignment="1">
      <alignment vertical="center" wrapText="1"/>
    </xf>
    <xf numFmtId="0" fontId="43" fillId="3" borderId="0" xfId="16" applyFont="1" applyFill="1" applyBorder="1" applyAlignment="1">
      <alignment vertical="center" wrapText="1"/>
    </xf>
    <xf numFmtId="2" fontId="51" fillId="2" borderId="0" xfId="16" applyNumberFormat="1" applyFont="1" applyFill="1" applyBorder="1" applyAlignment="1">
      <alignment vertical="center"/>
    </xf>
    <xf numFmtId="0" fontId="18" fillId="27" borderId="0" xfId="16" applyFont="1" applyFill="1" applyBorder="1" applyAlignment="1">
      <alignment vertical="center"/>
    </xf>
    <xf numFmtId="182" fontId="18" fillId="27" borderId="0" xfId="18" applyFont="1" applyFill="1" applyBorder="1" applyAlignment="1">
      <alignment vertical="center"/>
    </xf>
    <xf numFmtId="0" fontId="25" fillId="27" borderId="0" xfId="16" applyFont="1" applyFill="1" applyBorder="1" applyAlignment="1">
      <alignment vertical="center"/>
    </xf>
    <xf numFmtId="167" fontId="9" fillId="4" borderId="0" xfId="1" applyNumberFormat="1" applyFont="1" applyFill="1" applyBorder="1" applyAlignment="1">
      <alignment horizontal="right"/>
    </xf>
    <xf numFmtId="165" fontId="2" fillId="4" borderId="0" xfId="1" applyFont="1" applyFill="1" applyBorder="1"/>
    <xf numFmtId="165" fontId="9" fillId="4" borderId="0" xfId="1" applyFont="1" applyFill="1" applyBorder="1"/>
    <xf numFmtId="0" fontId="2" fillId="4" borderId="0" xfId="0" applyFont="1" applyFill="1" applyBorder="1" applyAlignment="1">
      <alignment horizontal="center"/>
    </xf>
    <xf numFmtId="165" fontId="6" fillId="21" borderId="0" xfId="1" applyFont="1" applyFill="1" applyBorder="1" applyAlignment="1">
      <alignment horizontal="center" vertical="center"/>
    </xf>
    <xf numFmtId="0" fontId="6" fillId="21" borderId="0" xfId="3" applyFont="1" applyFill="1" applyBorder="1" applyAlignment="1">
      <alignment horizontal="right" vertical="center"/>
    </xf>
    <xf numFmtId="167" fontId="9" fillId="21" borderId="0" xfId="1" applyNumberFormat="1" applyFont="1" applyFill="1" applyBorder="1" applyAlignment="1">
      <alignment horizontal="right"/>
    </xf>
    <xf numFmtId="165" fontId="4" fillId="34" borderId="0" xfId="1" applyFont="1" applyFill="1" applyBorder="1"/>
    <xf numFmtId="165" fontId="7" fillId="34" borderId="0" xfId="1" applyFont="1" applyFill="1" applyBorder="1"/>
    <xf numFmtId="165" fontId="4" fillId="34" borderId="0" xfId="1" applyFont="1" applyFill="1" applyBorder="1" applyAlignment="1">
      <alignment horizontal="center" vertical="center"/>
    </xf>
    <xf numFmtId="0" fontId="4" fillId="34" borderId="0" xfId="0" applyFont="1" applyFill="1" applyBorder="1"/>
    <xf numFmtId="0" fontId="4" fillId="34" borderId="0" xfId="3" applyFont="1" applyFill="1" applyBorder="1" applyAlignment="1">
      <alignment horizontal="right" vertical="center"/>
    </xf>
    <xf numFmtId="167" fontId="7" fillId="34" borderId="0" xfId="1" applyNumberFormat="1" applyFont="1" applyFill="1" applyBorder="1" applyAlignment="1">
      <alignment horizontal="right"/>
    </xf>
    <xf numFmtId="165" fontId="7" fillId="27" borderId="0" xfId="1" applyFont="1" applyFill="1" applyBorder="1" applyAlignment="1">
      <alignment horizontal="center" vertical="center"/>
    </xf>
    <xf numFmtId="0" fontId="4" fillId="27" borderId="0" xfId="0" applyFont="1" applyFill="1" applyBorder="1" applyAlignment="1">
      <alignment horizontal="center" vertical="center"/>
    </xf>
    <xf numFmtId="165" fontId="4" fillId="17" borderId="0" xfId="1" applyFont="1" applyFill="1" applyBorder="1" applyAlignment="1">
      <alignment horizontal="center" vertical="center"/>
    </xf>
    <xf numFmtId="0" fontId="4" fillId="17" borderId="0" xfId="0" applyFont="1" applyFill="1" applyBorder="1"/>
    <xf numFmtId="0" fontId="4" fillId="17" borderId="0" xfId="3" applyFont="1" applyFill="1" applyBorder="1" applyAlignment="1">
      <alignment horizontal="right" vertical="center"/>
    </xf>
    <xf numFmtId="167" fontId="7" fillId="17" borderId="0" xfId="1" applyNumberFormat="1" applyFont="1" applyFill="1" applyBorder="1" applyAlignment="1">
      <alignment horizontal="right"/>
    </xf>
    <xf numFmtId="165" fontId="6" fillId="17" borderId="0" xfId="1" applyFont="1" applyFill="1" applyBorder="1"/>
    <xf numFmtId="165" fontId="9" fillId="17" borderId="0" xfId="1" applyFont="1" applyFill="1" applyBorder="1"/>
    <xf numFmtId="0" fontId="8" fillId="8" borderId="0" xfId="0" applyFont="1" applyFill="1"/>
    <xf numFmtId="167" fontId="2" fillId="0" borderId="0" xfId="1" applyNumberFormat="1" applyFont="1"/>
    <xf numFmtId="167" fontId="8" fillId="8" borderId="0" xfId="1" applyNumberFormat="1" applyFont="1" applyFill="1"/>
    <xf numFmtId="10" fontId="25" fillId="8" borderId="0" xfId="2" applyNumberFormat="1" applyFont="1" applyFill="1" applyAlignment="1">
      <alignment horizontal="center" vertical="center"/>
    </xf>
    <xf numFmtId="176" fontId="17" fillId="13" borderId="0" xfId="16" applyNumberFormat="1" applyFont="1" applyFill="1" applyBorder="1" applyAlignment="1">
      <alignment vertical="center" wrapText="1"/>
    </xf>
    <xf numFmtId="0" fontId="19" fillId="24" borderId="0" xfId="16" applyFont="1" applyFill="1" applyBorder="1" applyAlignment="1">
      <alignment horizontal="center" vertical="center"/>
    </xf>
    <xf numFmtId="0" fontId="19" fillId="24" borderId="0" xfId="16" applyFont="1" applyFill="1" applyBorder="1" applyAlignment="1">
      <alignment horizontal="center" vertical="center" wrapText="1"/>
    </xf>
    <xf numFmtId="0" fontId="18" fillId="24" borderId="0" xfId="16" applyFont="1" applyFill="1" applyBorder="1" applyAlignment="1">
      <alignment horizontal="center" vertical="center" wrapText="1"/>
    </xf>
    <xf numFmtId="0" fontId="13" fillId="0" borderId="0" xfId="0" applyFont="1" applyAlignment="1">
      <alignment horizontal="left" vertical="center"/>
    </xf>
    <xf numFmtId="0" fontId="19" fillId="25" borderId="0" xfId="0" applyFont="1" applyFill="1" applyAlignment="1">
      <alignment wrapText="1"/>
    </xf>
    <xf numFmtId="0" fontId="18" fillId="25" borderId="0" xfId="0" applyFont="1" applyFill="1" applyAlignment="1">
      <alignment horizontal="center" vertical="center"/>
    </xf>
    <xf numFmtId="167" fontId="18" fillId="25" borderId="0" xfId="1" applyNumberFormat="1" applyFont="1" applyFill="1" applyBorder="1" applyAlignment="1">
      <alignment horizontal="center" vertical="center"/>
    </xf>
    <xf numFmtId="3" fontId="18" fillId="25" borderId="0" xfId="1" applyNumberFormat="1" applyFont="1" applyFill="1" applyBorder="1" applyAlignment="1">
      <alignment horizontal="center" vertical="center"/>
    </xf>
    <xf numFmtId="0" fontId="18" fillId="25" borderId="0" xfId="0" applyFont="1" applyFill="1"/>
    <xf numFmtId="0" fontId="4" fillId="27" borderId="0" xfId="0" applyFont="1" applyFill="1" applyAlignment="1">
      <alignment vertical="center" wrapText="1"/>
    </xf>
    <xf numFmtId="9" fontId="4" fillId="27" borderId="0" xfId="2" applyFont="1" applyFill="1" applyAlignment="1">
      <alignment horizontal="center" vertical="center"/>
    </xf>
    <xf numFmtId="9" fontId="19" fillId="27" borderId="0" xfId="0" applyNumberFormat="1" applyFont="1" applyFill="1" applyBorder="1" applyAlignment="1">
      <alignment horizontal="center" vertical="center"/>
    </xf>
    <xf numFmtId="0" fontId="18" fillId="27" borderId="0" xfId="0" applyFont="1" applyFill="1" applyAlignment="1">
      <alignment vertical="center"/>
    </xf>
    <xf numFmtId="9" fontId="13" fillId="7" borderId="0" xfId="0" applyNumberFormat="1" applyFont="1" applyFill="1" applyAlignment="1">
      <alignment horizontal="center" vertical="center"/>
    </xf>
    <xf numFmtId="165" fontId="6" fillId="4" borderId="0" xfId="1" applyFont="1" applyFill="1" applyBorder="1"/>
    <xf numFmtId="167" fontId="6" fillId="4" borderId="0" xfId="4" applyNumberFormat="1" applyFont="1" applyFill="1" applyBorder="1" applyAlignment="1">
      <alignment horizontal="center" vertical="center"/>
    </xf>
    <xf numFmtId="0" fontId="6" fillId="4" borderId="0" xfId="4" applyFont="1" applyFill="1" applyBorder="1"/>
    <xf numFmtId="167" fontId="6" fillId="4" borderId="0" xfId="1" applyNumberFormat="1" applyFont="1" applyFill="1" applyBorder="1"/>
    <xf numFmtId="0" fontId="6" fillId="4" borderId="0" xfId="4" applyFont="1" applyFill="1" applyBorder="1" applyAlignment="1">
      <alignment horizontal="center" vertical="center"/>
    </xf>
    <xf numFmtId="165" fontId="38" fillId="35" borderId="0" xfId="1" applyFont="1" applyFill="1" applyBorder="1"/>
    <xf numFmtId="0" fontId="38" fillId="35" borderId="0" xfId="3" applyFont="1" applyFill="1" applyBorder="1" applyAlignment="1">
      <alignment horizontal="center" vertical="center"/>
    </xf>
    <xf numFmtId="0" fontId="38" fillId="35" borderId="0" xfId="3" applyFont="1" applyFill="1" applyBorder="1"/>
    <xf numFmtId="165" fontId="38" fillId="35" borderId="0" xfId="1" applyFont="1" applyFill="1" applyBorder="1" applyProtection="1">
      <protection hidden="1"/>
    </xf>
    <xf numFmtId="0" fontId="12" fillId="35" borderId="0" xfId="0" applyFont="1" applyFill="1" applyBorder="1"/>
    <xf numFmtId="9" fontId="25" fillId="8" borderId="0" xfId="2" applyFont="1" applyFill="1"/>
    <xf numFmtId="165" fontId="18" fillId="27" borderId="0" xfId="1" applyFont="1" applyFill="1" applyAlignment="1" applyProtection="1">
      <alignment wrapText="1"/>
      <protection hidden="1"/>
    </xf>
    <xf numFmtId="0" fontId="19" fillId="27" borderId="0" xfId="0" applyFont="1" applyFill="1" applyAlignment="1" applyProtection="1">
      <alignment horizontal="center" vertical="center"/>
      <protection hidden="1"/>
    </xf>
    <xf numFmtId="15" fontId="19" fillId="27" borderId="0" xfId="0" applyNumberFormat="1" applyFont="1" applyFill="1" applyProtection="1">
      <protection hidden="1"/>
    </xf>
    <xf numFmtId="15" fontId="19" fillId="27" borderId="0" xfId="0" applyNumberFormat="1" applyFont="1" applyFill="1" applyAlignment="1" applyProtection="1">
      <alignment horizontal="center" vertical="center"/>
      <protection hidden="1"/>
    </xf>
    <xf numFmtId="167" fontId="8" fillId="0" borderId="0" xfId="1" applyNumberFormat="1" applyFont="1" applyBorder="1"/>
    <xf numFmtId="165" fontId="9" fillId="0" borderId="0" xfId="1" applyFont="1" applyBorder="1" applyAlignment="1" applyProtection="1">
      <alignment horizontal="left"/>
      <protection hidden="1"/>
    </xf>
    <xf numFmtId="0" fontId="9" fillId="0" borderId="0" xfId="4" applyFont="1" applyBorder="1"/>
    <xf numFmtId="165" fontId="38" fillId="0" borderId="0" xfId="1" applyFont="1" applyBorder="1"/>
    <xf numFmtId="165" fontId="2" fillId="0" borderId="0" xfId="1" applyFont="1" applyFill="1" applyBorder="1"/>
    <xf numFmtId="165" fontId="2" fillId="0" borderId="0" xfId="0" applyNumberFormat="1" applyFont="1" applyFill="1" applyBorder="1"/>
    <xf numFmtId="0" fontId="9" fillId="0" borderId="0" xfId="3" applyFont="1" applyBorder="1"/>
    <xf numFmtId="165" fontId="9" fillId="0" borderId="0" xfId="1" applyFont="1" applyFill="1" applyBorder="1" applyAlignment="1">
      <alignment horizontal="left"/>
    </xf>
    <xf numFmtId="0" fontId="9" fillId="0" borderId="0" xfId="3" applyFont="1" applyFill="1" applyBorder="1" applyAlignment="1">
      <alignment horizontal="center" vertical="center"/>
    </xf>
    <xf numFmtId="8" fontId="9" fillId="0" borderId="0" xfId="4" applyNumberFormat="1" applyFont="1" applyBorder="1"/>
    <xf numFmtId="0" fontId="9" fillId="0" borderId="0" xfId="0" applyFont="1" applyBorder="1" applyAlignment="1">
      <alignment horizontal="center" vertical="center"/>
    </xf>
    <xf numFmtId="10" fontId="8" fillId="0" borderId="0" xfId="2" applyNumberFormat="1" applyFont="1" applyBorder="1"/>
    <xf numFmtId="167" fontId="16" fillId="0" borderId="12" xfId="1" applyNumberFormat="1" applyFont="1" applyBorder="1"/>
    <xf numFmtId="165" fontId="16" fillId="0" borderId="4" xfId="1" applyFont="1" applyBorder="1"/>
    <xf numFmtId="165" fontId="16" fillId="0" borderId="4" xfId="1" applyFont="1" applyFill="1" applyBorder="1"/>
    <xf numFmtId="167" fontId="16" fillId="0" borderId="12" xfId="1" applyNumberFormat="1" applyFont="1" applyFill="1" applyBorder="1"/>
    <xf numFmtId="10" fontId="13" fillId="0" borderId="12" xfId="0" applyNumberFormat="1" applyFont="1" applyFill="1" applyBorder="1" applyAlignment="1">
      <alignment vertical="center"/>
    </xf>
    <xf numFmtId="0" fontId="8" fillId="8" borderId="0" xfId="0" applyFont="1" applyFill="1" applyBorder="1"/>
    <xf numFmtId="167" fontId="2" fillId="2" borderId="0" xfId="1" applyNumberFormat="1" applyFont="1" applyFill="1" applyBorder="1" applyAlignment="1">
      <alignment horizontal="center"/>
    </xf>
    <xf numFmtId="165" fontId="6" fillId="2" borderId="0" xfId="1" applyFont="1" applyFill="1" applyBorder="1"/>
    <xf numFmtId="165" fontId="6" fillId="2" borderId="0" xfId="1" applyFont="1" applyFill="1" applyBorder="1" applyAlignment="1">
      <alignment horizontal="center" vertical="center"/>
    </xf>
    <xf numFmtId="0" fontId="2" fillId="2" borderId="0" xfId="0" applyFont="1" applyFill="1" applyBorder="1"/>
    <xf numFmtId="0" fontId="6" fillId="2" borderId="0" xfId="3" applyFont="1" applyFill="1" applyBorder="1" applyAlignment="1">
      <alignment horizontal="right" vertical="center"/>
    </xf>
    <xf numFmtId="167" fontId="9" fillId="2" borderId="0" xfId="1" applyNumberFormat="1" applyFont="1" applyFill="1" applyBorder="1" applyAlignment="1">
      <alignment horizontal="right"/>
    </xf>
    <xf numFmtId="0" fontId="2" fillId="4" borderId="0" xfId="0" applyFont="1" applyFill="1" applyBorder="1" applyAlignment="1">
      <alignment horizontal="center" vertical="center"/>
    </xf>
    <xf numFmtId="10" fontId="2" fillId="4" borderId="0" xfId="2" applyNumberFormat="1" applyFont="1" applyFill="1" applyBorder="1" applyAlignment="1">
      <alignment horizontal="center"/>
    </xf>
    <xf numFmtId="0" fontId="2" fillId="4" borderId="0" xfId="0" applyFont="1" applyFill="1" applyBorder="1" applyAlignment="1">
      <alignment horizontal="right" indent="1"/>
    </xf>
    <xf numFmtId="178" fontId="2" fillId="4" borderId="0" xfId="0" applyNumberFormat="1" applyFont="1" applyFill="1" applyBorder="1" applyAlignment="1">
      <alignment horizontal="right" indent="1"/>
    </xf>
    <xf numFmtId="10" fontId="13" fillId="0" borderId="0" xfId="2" applyNumberFormat="1" applyFont="1"/>
    <xf numFmtId="165" fontId="2" fillId="0" borderId="0" xfId="0" applyNumberFormat="1" applyFont="1" applyBorder="1" applyAlignment="1">
      <alignment horizontal="left"/>
    </xf>
    <xf numFmtId="185" fontId="13" fillId="0" borderId="0" xfId="0" applyNumberFormat="1" applyFont="1"/>
    <xf numFmtId="4" fontId="13" fillId="8" borderId="0" xfId="1" applyNumberFormat="1" applyFont="1" applyFill="1" applyBorder="1" applyAlignment="1">
      <alignment horizontal="center" vertical="center"/>
    </xf>
    <xf numFmtId="0" fontId="8" fillId="8" borderId="5" xfId="0" applyFont="1" applyFill="1" applyBorder="1"/>
    <xf numFmtId="3" fontId="13" fillId="0" borderId="0" xfId="0" applyNumberFormat="1" applyFont="1" applyBorder="1" applyAlignment="1">
      <alignment vertical="center"/>
    </xf>
    <xf numFmtId="0" fontId="30" fillId="0" borderId="0" xfId="0" applyFont="1" applyAlignment="1">
      <alignment horizontal="left" vertical="center"/>
    </xf>
    <xf numFmtId="166" fontId="13" fillId="0" borderId="12" xfId="0" applyNumberFormat="1" applyFont="1" applyFill="1" applyBorder="1" applyAlignment="1">
      <alignment horizontal="center"/>
    </xf>
    <xf numFmtId="165" fontId="19" fillId="10" borderId="2" xfId="1" applyFont="1" applyFill="1" applyBorder="1"/>
    <xf numFmtId="9" fontId="25" fillId="0" borderId="0" xfId="2" applyFont="1" applyBorder="1" applyAlignment="1">
      <alignment vertical="center"/>
    </xf>
    <xf numFmtId="1" fontId="6" fillId="0" borderId="0" xfId="1" applyNumberFormat="1" applyFont="1" applyBorder="1"/>
    <xf numFmtId="4" fontId="13" fillId="0" borderId="0" xfId="0" applyNumberFormat="1" applyFont="1"/>
    <xf numFmtId="2" fontId="2" fillId="0" borderId="0" xfId="0" applyNumberFormat="1" applyFont="1" applyBorder="1" applyAlignment="1">
      <alignment horizontal="right" indent="1"/>
    </xf>
    <xf numFmtId="176" fontId="25" fillId="0" borderId="0" xfId="16" applyNumberFormat="1" applyFont="1" applyBorder="1" applyAlignment="1">
      <alignment vertical="center"/>
    </xf>
    <xf numFmtId="10" fontId="16" fillId="7" borderId="0" xfId="2" applyNumberFormat="1" applyFont="1" applyFill="1" applyAlignment="1">
      <alignment horizontal="center" vertical="center"/>
    </xf>
    <xf numFmtId="0" fontId="16" fillId="4" borderId="0" xfId="0" applyFont="1" applyFill="1" applyAlignment="1">
      <alignment wrapText="1"/>
    </xf>
    <xf numFmtId="0" fontId="19" fillId="4" borderId="0" xfId="0" applyFont="1" applyFill="1" applyAlignment="1">
      <alignment horizontal="center" vertical="center"/>
    </xf>
    <xf numFmtId="0" fontId="16" fillId="4" borderId="0" xfId="0" applyFont="1" applyFill="1" applyAlignment="1">
      <alignment horizontal="center" vertical="center"/>
    </xf>
    <xf numFmtId="0" fontId="25" fillId="4" borderId="0" xfId="16" applyFont="1" applyFill="1" applyBorder="1" applyAlignment="1">
      <alignment vertical="center" wrapText="1"/>
    </xf>
    <xf numFmtId="186" fontId="25" fillId="21" borderId="0" xfId="18" applyNumberFormat="1" applyFont="1" applyFill="1" applyBorder="1" applyAlignment="1">
      <alignment vertical="center" wrapText="1"/>
    </xf>
    <xf numFmtId="0" fontId="25" fillId="3" borderId="0" xfId="16" applyFont="1" applyFill="1" applyBorder="1" applyAlignment="1">
      <alignment horizontal="center" vertical="center"/>
    </xf>
    <xf numFmtId="37" fontId="25" fillId="0" borderId="0" xfId="18" applyNumberFormat="1" applyFont="1" applyFill="1" applyBorder="1" applyAlignment="1">
      <alignment horizontal="center" vertical="center" wrapText="1"/>
    </xf>
    <xf numFmtId="0" fontId="25" fillId="0" borderId="0" xfId="17" applyFont="1" applyBorder="1" applyAlignment="1">
      <alignment horizontal="center" vertical="center"/>
    </xf>
    <xf numFmtId="9" fontId="18" fillId="27" borderId="0" xfId="16" applyNumberFormat="1" applyFont="1" applyFill="1" applyBorder="1" applyAlignment="1">
      <alignment vertical="center"/>
    </xf>
    <xf numFmtId="0" fontId="25" fillId="15" borderId="0" xfId="16" applyFont="1" applyFill="1" applyBorder="1" applyAlignment="1">
      <alignment horizontal="center" vertical="center"/>
    </xf>
    <xf numFmtId="0" fontId="18" fillId="27" borderId="0" xfId="16" applyFont="1" applyFill="1" applyBorder="1" applyAlignment="1">
      <alignment horizontal="center" vertical="center"/>
    </xf>
    <xf numFmtId="0" fontId="25" fillId="21" borderId="0" xfId="16" applyFont="1" applyFill="1" applyBorder="1" applyAlignment="1">
      <alignment horizontal="center" vertical="center"/>
    </xf>
    <xf numFmtId="0" fontId="17" fillId="21" borderId="0" xfId="16" applyFont="1" applyFill="1" applyBorder="1" applyAlignment="1">
      <alignment horizontal="center" vertical="center"/>
    </xf>
    <xf numFmtId="0" fontId="25" fillId="9" borderId="0" xfId="16" applyFont="1" applyFill="1" applyBorder="1" applyAlignment="1">
      <alignment horizontal="center" vertical="center"/>
    </xf>
    <xf numFmtId="0" fontId="25" fillId="4" borderId="0" xfId="16" applyFont="1" applyFill="1" applyBorder="1" applyAlignment="1">
      <alignment horizontal="center" vertical="center"/>
    </xf>
    <xf numFmtId="182" fontId="25" fillId="4" borderId="0" xfId="18" applyFont="1" applyFill="1" applyBorder="1" applyAlignment="1">
      <alignment horizontal="center" vertical="center" wrapText="1"/>
    </xf>
    <xf numFmtId="0" fontId="25" fillId="9" borderId="0" xfId="19" applyFont="1" applyFill="1" applyBorder="1" applyAlignment="1">
      <alignment horizontal="center" vertical="center"/>
    </xf>
    <xf numFmtId="0" fontId="17" fillId="4" borderId="0" xfId="16" applyFont="1" applyFill="1" applyBorder="1" applyAlignment="1">
      <alignment horizontal="center" vertical="center"/>
    </xf>
    <xf numFmtId="0" fontId="25" fillId="0" borderId="0" xfId="19" applyFont="1" applyBorder="1" applyAlignment="1">
      <alignment horizontal="center" vertical="center"/>
    </xf>
    <xf numFmtId="0" fontId="17" fillId="9" borderId="0" xfId="16" applyFont="1" applyFill="1" applyBorder="1" applyAlignment="1">
      <alignment horizontal="center" vertical="center"/>
    </xf>
    <xf numFmtId="43" fontId="25" fillId="0" borderId="0" xfId="16" applyNumberFormat="1" applyFont="1" applyFill="1" applyBorder="1" applyAlignment="1">
      <alignment horizontal="center" vertical="center"/>
    </xf>
    <xf numFmtId="0" fontId="30" fillId="21" borderId="0" xfId="16" applyFont="1" applyFill="1" applyBorder="1" applyAlignment="1">
      <alignment horizontal="center" vertical="center"/>
    </xf>
    <xf numFmtId="0" fontId="25" fillId="17" borderId="0" xfId="16" applyFont="1" applyFill="1" applyBorder="1" applyAlignment="1">
      <alignment horizontal="center" vertical="center" wrapText="1"/>
    </xf>
    <xf numFmtId="0" fontId="25" fillId="3" borderId="0" xfId="16" applyFont="1" applyFill="1" applyBorder="1" applyAlignment="1">
      <alignment horizontal="left" vertical="center" wrapText="1" indent="1"/>
    </xf>
    <xf numFmtId="176" fontId="49" fillId="3" borderId="0" xfId="16" applyNumberFormat="1" applyFont="1" applyFill="1" applyBorder="1" applyAlignment="1">
      <alignment vertical="center" wrapText="1"/>
    </xf>
    <xf numFmtId="176" fontId="50" fillId="3" borderId="0" xfId="16" applyNumberFormat="1" applyFont="1" applyFill="1" applyBorder="1" applyAlignment="1">
      <alignment vertical="center" wrapText="1"/>
    </xf>
    <xf numFmtId="184" fontId="25" fillId="15" borderId="0" xfId="18" applyNumberFormat="1" applyFont="1" applyFill="1" applyBorder="1" applyAlignment="1">
      <alignment vertical="center" wrapText="1"/>
    </xf>
    <xf numFmtId="0" fontId="17" fillId="13" borderId="0" xfId="16" applyFont="1" applyFill="1" applyBorder="1" applyAlignment="1">
      <alignment vertical="center" wrapText="1"/>
    </xf>
    <xf numFmtId="0" fontId="25" fillId="13" borderId="0" xfId="16" applyFont="1" applyFill="1" applyBorder="1" applyAlignment="1">
      <alignment horizontal="center" vertical="center"/>
    </xf>
    <xf numFmtId="167" fontId="25" fillId="13" borderId="0" xfId="1" applyNumberFormat="1" applyFont="1" applyFill="1" applyBorder="1" applyAlignment="1">
      <alignment vertical="center"/>
    </xf>
    <xf numFmtId="182" fontId="25" fillId="13" borderId="0" xfId="18" applyFont="1" applyFill="1" applyBorder="1" applyAlignment="1">
      <alignment vertical="center" wrapText="1"/>
    </xf>
    <xf numFmtId="165" fontId="25" fillId="2" borderId="0" xfId="16" applyNumberFormat="1" applyFont="1" applyFill="1" applyBorder="1" applyAlignment="1">
      <alignment vertical="center" wrapText="1"/>
    </xf>
    <xf numFmtId="165" fontId="17" fillId="2" borderId="0" xfId="16" applyNumberFormat="1" applyFont="1" applyFill="1" applyBorder="1" applyAlignment="1">
      <alignment vertical="center" wrapText="1"/>
    </xf>
    <xf numFmtId="165" fontId="25" fillId="14" borderId="0" xfId="16" applyNumberFormat="1" applyFont="1" applyFill="1" applyBorder="1" applyAlignment="1">
      <alignment vertical="center" wrapText="1"/>
    </xf>
    <xf numFmtId="165" fontId="17" fillId="14" borderId="0" xfId="16" applyNumberFormat="1" applyFont="1" applyFill="1" applyBorder="1" applyAlignment="1">
      <alignment vertical="center" wrapText="1"/>
    </xf>
    <xf numFmtId="2" fontId="49" fillId="14" borderId="0" xfId="16" applyNumberFormat="1" applyFont="1" applyFill="1" applyBorder="1" applyAlignment="1">
      <alignment vertical="center"/>
    </xf>
    <xf numFmtId="2" fontId="25" fillId="14" borderId="0" xfId="16" applyNumberFormat="1" applyFont="1" applyFill="1" applyBorder="1" applyAlignment="1">
      <alignment vertical="center"/>
    </xf>
    <xf numFmtId="165" fontId="25" fillId="32" borderId="0" xfId="16" applyNumberFormat="1" applyFont="1" applyFill="1" applyBorder="1" applyAlignment="1">
      <alignment vertical="center" wrapText="1"/>
    </xf>
    <xf numFmtId="165" fontId="17" fillId="32" borderId="0" xfId="16" applyNumberFormat="1" applyFont="1" applyFill="1" applyBorder="1" applyAlignment="1">
      <alignment vertical="center" wrapText="1"/>
    </xf>
    <xf numFmtId="0" fontId="39" fillId="0" borderId="0" xfId="0" applyFont="1"/>
    <xf numFmtId="165" fontId="0" fillId="0" borderId="0" xfId="0" applyNumberFormat="1"/>
    <xf numFmtId="165" fontId="39" fillId="0" borderId="0" xfId="0" applyNumberFormat="1" applyFont="1"/>
    <xf numFmtId="2" fontId="50" fillId="32" borderId="0" xfId="16" applyNumberFormat="1" applyFont="1" applyFill="1" applyBorder="1" applyAlignment="1">
      <alignment vertical="center"/>
    </xf>
    <xf numFmtId="165" fontId="8" fillId="4" borderId="0" xfId="1" applyFont="1" applyFill="1" applyBorder="1"/>
    <xf numFmtId="10" fontId="13" fillId="7" borderId="3" xfId="0" applyNumberFormat="1" applyFont="1" applyFill="1" applyBorder="1" applyAlignment="1">
      <alignment horizontal="center" vertical="center"/>
    </xf>
    <xf numFmtId="165" fontId="49" fillId="0" borderId="0" xfId="16" applyNumberFormat="1" applyFont="1" applyBorder="1" applyAlignment="1">
      <alignment vertical="center" wrapText="1"/>
    </xf>
    <xf numFmtId="165" fontId="2" fillId="2" borderId="0" xfId="1" applyFont="1" applyFill="1" applyBorder="1" applyAlignment="1">
      <alignment horizontal="right" indent="1"/>
    </xf>
    <xf numFmtId="0" fontId="52" fillId="36" borderId="19" xfId="0" applyFont="1" applyFill="1" applyBorder="1" applyAlignment="1">
      <alignment horizontal="center" vertical="center"/>
    </xf>
    <xf numFmtId="0" fontId="52" fillId="36" borderId="20" xfId="0" applyFont="1" applyFill="1" applyBorder="1" applyAlignment="1">
      <alignment horizontal="center" vertical="center"/>
    </xf>
    <xf numFmtId="0" fontId="55" fillId="0" borderId="21" xfId="0" applyFont="1" applyBorder="1" applyAlignment="1">
      <alignment vertical="center"/>
    </xf>
    <xf numFmtId="0" fontId="57" fillId="0" borderId="21" xfId="0" applyFont="1" applyBorder="1" applyAlignment="1">
      <alignment vertical="center"/>
    </xf>
    <xf numFmtId="167" fontId="6" fillId="4" borderId="0" xfId="1" applyNumberFormat="1" applyFont="1" applyFill="1" applyBorder="1" applyAlignment="1">
      <alignment horizontal="right"/>
    </xf>
    <xf numFmtId="165" fontId="2" fillId="22" borderId="0" xfId="1" applyFont="1" applyFill="1" applyBorder="1"/>
    <xf numFmtId="165" fontId="6" fillId="4" borderId="0" xfId="1" applyFont="1" applyFill="1" applyBorder="1" applyAlignment="1">
      <alignment horizontal="right"/>
    </xf>
    <xf numFmtId="187" fontId="6" fillId="4" borderId="0" xfId="1" applyNumberFormat="1" applyFont="1" applyFill="1" applyBorder="1" applyAlignment="1">
      <alignment horizontal="right"/>
    </xf>
    <xf numFmtId="0" fontId="52" fillId="36" borderId="18" xfId="0" applyFont="1" applyFill="1" applyBorder="1" applyAlignment="1">
      <alignment horizontal="center" vertical="center" wrapText="1"/>
    </xf>
    <xf numFmtId="0" fontId="52" fillId="36" borderId="19" xfId="0" applyFont="1" applyFill="1" applyBorder="1" applyAlignment="1">
      <alignment horizontal="center" vertical="center" wrapText="1"/>
    </xf>
    <xf numFmtId="0" fontId="52" fillId="36" borderId="20" xfId="0" applyFont="1" applyFill="1" applyBorder="1" applyAlignment="1">
      <alignment horizontal="center" vertical="center" wrapText="1"/>
    </xf>
    <xf numFmtId="0" fontId="58" fillId="0" borderId="0" xfId="20" applyFont="1" applyBorder="1" applyAlignment="1">
      <alignment vertical="center" wrapText="1"/>
    </xf>
    <xf numFmtId="165" fontId="25" fillId="0" borderId="0" xfId="16" applyNumberFormat="1" applyFont="1" applyFill="1" applyBorder="1" applyAlignment="1">
      <alignment vertical="center" wrapText="1"/>
    </xf>
    <xf numFmtId="2" fontId="25" fillId="0" borderId="0" xfId="16" applyNumberFormat="1" applyFont="1" applyFill="1" applyBorder="1" applyAlignment="1">
      <alignment vertical="center"/>
    </xf>
    <xf numFmtId="0" fontId="17" fillId="4" borderId="0" xfId="20" applyFont="1" applyFill="1" applyBorder="1" applyAlignment="1">
      <alignment vertical="center" wrapText="1"/>
    </xf>
    <xf numFmtId="182" fontId="17" fillId="4" borderId="0" xfId="19" applyNumberFormat="1" applyFont="1" applyFill="1" applyBorder="1" applyAlignment="1">
      <alignment vertical="center"/>
    </xf>
    <xf numFmtId="184" fontId="17" fillId="4" borderId="0" xfId="18" applyNumberFormat="1" applyFont="1" applyFill="1" applyBorder="1" applyAlignment="1">
      <alignment vertical="center" wrapText="1"/>
    </xf>
    <xf numFmtId="176" fontId="25" fillId="0" borderId="0" xfId="16" applyNumberFormat="1" applyFont="1" applyFill="1" applyBorder="1" applyAlignment="1">
      <alignment vertical="center"/>
    </xf>
    <xf numFmtId="0" fontId="25" fillId="0" borderId="0" xfId="20" applyFont="1" applyFill="1" applyBorder="1" applyAlignment="1">
      <alignment vertical="center" wrapText="1"/>
    </xf>
    <xf numFmtId="165" fontId="25" fillId="0" borderId="0" xfId="16" applyNumberFormat="1" applyFont="1" applyFill="1" applyBorder="1" applyAlignment="1">
      <alignment horizontal="center" vertical="center"/>
    </xf>
    <xf numFmtId="176" fontId="25" fillId="0" borderId="0" xfId="16" applyNumberFormat="1" applyFont="1" applyBorder="1" applyAlignment="1">
      <alignment vertical="center" wrapText="1"/>
    </xf>
    <xf numFmtId="1" fontId="18" fillId="0" borderId="0" xfId="4" applyNumberFormat="1" applyFont="1" applyFill="1" applyAlignment="1">
      <alignment horizontal="center"/>
    </xf>
    <xf numFmtId="9" fontId="13" fillId="0" borderId="0" xfId="1" applyNumberFormat="1" applyFont="1"/>
    <xf numFmtId="9" fontId="13" fillId="0" borderId="0" xfId="1" applyNumberFormat="1" applyFont="1" applyAlignment="1">
      <alignment horizontal="right"/>
    </xf>
    <xf numFmtId="2" fontId="6" fillId="0" borderId="0" xfId="4" applyNumberFormat="1" applyFont="1" applyBorder="1" applyAlignment="1">
      <alignment horizontal="center"/>
    </xf>
    <xf numFmtId="173" fontId="2" fillId="0" borderId="0" xfId="4" applyNumberFormat="1" applyFont="1" applyFill="1" applyBorder="1" applyAlignment="1">
      <alignment horizontal="center"/>
    </xf>
    <xf numFmtId="165" fontId="7" fillId="4" borderId="0" xfId="1" applyFont="1" applyFill="1" applyBorder="1"/>
    <xf numFmtId="0" fontId="7" fillId="4" borderId="0" xfId="4" applyFont="1" applyFill="1" applyBorder="1" applyAlignment="1">
      <alignment horizontal="center" vertical="center"/>
    </xf>
    <xf numFmtId="1" fontId="2" fillId="4" borderId="0" xfId="4" applyNumberFormat="1" applyFont="1" applyFill="1" applyBorder="1" applyAlignment="1">
      <alignment horizontal="center"/>
    </xf>
    <xf numFmtId="1" fontId="2" fillId="4" borderId="0" xfId="4" applyNumberFormat="1" applyFont="1" applyFill="1" applyBorder="1" applyAlignment="1">
      <alignment horizontal="right"/>
    </xf>
    <xf numFmtId="9" fontId="13" fillId="0" borderId="0" xfId="2" applyFont="1"/>
    <xf numFmtId="0" fontId="7" fillId="10" borderId="23" xfId="0" applyFont="1" applyFill="1" applyBorder="1" applyAlignment="1">
      <alignment horizontal="center" vertical="center"/>
    </xf>
    <xf numFmtId="0" fontId="7" fillId="10" borderId="24" xfId="0" applyFont="1" applyFill="1" applyBorder="1" applyAlignment="1">
      <alignment horizontal="center" vertical="center"/>
    </xf>
    <xf numFmtId="0" fontId="7" fillId="10" borderId="25" xfId="0" applyFont="1" applyFill="1" applyBorder="1"/>
    <xf numFmtId="0" fontId="7" fillId="10" borderId="26" xfId="0" applyFont="1" applyFill="1" applyBorder="1" applyAlignment="1">
      <alignment horizontal="center" vertical="center"/>
    </xf>
    <xf numFmtId="0" fontId="9" fillId="8" borderId="27" xfId="0" applyFont="1" applyFill="1" applyBorder="1"/>
    <xf numFmtId="0" fontId="2" fillId="8" borderId="28" xfId="0" applyFont="1" applyFill="1" applyBorder="1"/>
    <xf numFmtId="0" fontId="2" fillId="0" borderId="27" xfId="0" applyFont="1" applyBorder="1"/>
    <xf numFmtId="0" fontId="8" fillId="0" borderId="29" xfId="0" applyFont="1" applyFill="1" applyBorder="1"/>
    <xf numFmtId="0" fontId="2" fillId="8" borderId="27" xfId="0" applyFont="1" applyFill="1" applyBorder="1"/>
    <xf numFmtId="0" fontId="13" fillId="0" borderId="27" xfId="0" applyFont="1" applyBorder="1"/>
    <xf numFmtId="0" fontId="8" fillId="8" borderId="31" xfId="0" applyFont="1" applyFill="1" applyBorder="1"/>
    <xf numFmtId="0" fontId="8" fillId="8" borderId="27" xfId="0" applyFont="1" applyFill="1" applyBorder="1"/>
    <xf numFmtId="0" fontId="6" fillId="0" borderId="27" xfId="0" applyFont="1" applyBorder="1"/>
    <xf numFmtId="0" fontId="8" fillId="2" borderId="33" xfId="0" applyFont="1" applyFill="1" applyBorder="1"/>
    <xf numFmtId="4" fontId="8" fillId="2" borderId="34" xfId="0" applyNumberFormat="1" applyFont="1" applyFill="1" applyBorder="1" applyAlignment="1">
      <alignment horizontal="center" vertical="center"/>
    </xf>
    <xf numFmtId="165" fontId="25" fillId="0" borderId="5" xfId="1" applyFont="1" applyBorder="1" applyAlignment="1">
      <alignment wrapText="1"/>
    </xf>
    <xf numFmtId="0" fontId="25" fillId="0" borderId="5" xfId="3" applyFont="1" applyBorder="1" applyAlignment="1">
      <alignment horizontal="center" vertical="center"/>
    </xf>
    <xf numFmtId="0" fontId="25" fillId="0" borderId="0" xfId="3" applyFont="1" applyBorder="1" applyAlignment="1">
      <alignment horizontal="center" vertical="center"/>
    </xf>
    <xf numFmtId="167" fontId="25" fillId="7" borderId="0" xfId="3" applyNumberFormat="1" applyFont="1" applyFill="1" applyBorder="1"/>
    <xf numFmtId="165" fontId="25" fillId="7" borderId="0" xfId="3" applyNumberFormat="1" applyFont="1" applyFill="1" applyBorder="1"/>
    <xf numFmtId="181" fontId="13" fillId="0" borderId="0" xfId="0" applyNumberFormat="1" applyFont="1" applyAlignment="1">
      <alignment horizontal="center" vertical="center"/>
    </xf>
    <xf numFmtId="165" fontId="25" fillId="21" borderId="0" xfId="1" applyFont="1" applyFill="1" applyBorder="1" applyAlignment="1">
      <alignment horizontal="center" vertical="center"/>
    </xf>
    <xf numFmtId="165" fontId="17" fillId="4" borderId="0" xfId="1" applyFont="1" applyFill="1" applyBorder="1" applyAlignment="1">
      <alignment horizontal="center" vertical="center"/>
    </xf>
    <xf numFmtId="184" fontId="13" fillId="0" borderId="0" xfId="18" applyNumberFormat="1" applyFont="1" applyFill="1" applyBorder="1" applyAlignment="1">
      <alignment vertical="center" wrapText="1"/>
    </xf>
    <xf numFmtId="176" fontId="13" fillId="0" borderId="0" xfId="16" applyNumberFormat="1" applyFont="1" applyFill="1" applyBorder="1" applyAlignment="1">
      <alignment vertical="center"/>
    </xf>
    <xf numFmtId="182" fontId="16" fillId="21" borderId="0" xfId="18" applyFont="1" applyFill="1" applyBorder="1" applyAlignment="1">
      <alignment vertical="center" wrapText="1"/>
    </xf>
    <xf numFmtId="3" fontId="25" fillId="0" borderId="0" xfId="17" applyNumberFormat="1" applyFont="1" applyFill="1" applyBorder="1" applyAlignment="1">
      <alignment vertical="center" wrapText="1"/>
    </xf>
    <xf numFmtId="0" fontId="17" fillId="15" borderId="0" xfId="16" applyFont="1" applyFill="1" applyBorder="1" applyAlignment="1">
      <alignment horizontal="center" vertical="center" wrapText="1"/>
    </xf>
    <xf numFmtId="0" fontId="25" fillId="3" borderId="0" xfId="16" applyFont="1" applyFill="1" applyBorder="1" applyAlignment="1">
      <alignment horizontal="center" vertical="center" wrapText="1"/>
    </xf>
    <xf numFmtId="0" fontId="17" fillId="13" borderId="0" xfId="16" applyFont="1" applyFill="1" applyBorder="1" applyAlignment="1">
      <alignment horizontal="center" vertical="center" wrapText="1"/>
    </xf>
    <xf numFmtId="0" fontId="17" fillId="3" borderId="0" xfId="16" applyFont="1" applyFill="1" applyBorder="1" applyAlignment="1">
      <alignment horizontal="center" vertical="center" wrapText="1"/>
    </xf>
    <xf numFmtId="0" fontId="17" fillId="21" borderId="0" xfId="16" applyFont="1" applyFill="1" applyBorder="1" applyAlignment="1">
      <alignment horizontal="center" vertical="center" wrapText="1"/>
    </xf>
    <xf numFmtId="0" fontId="17" fillId="0" borderId="0" xfId="16" applyFont="1" applyBorder="1" applyAlignment="1">
      <alignment horizontal="center" vertical="center" wrapText="1"/>
    </xf>
    <xf numFmtId="0" fontId="25" fillId="4" borderId="0" xfId="16" applyFont="1" applyFill="1" applyBorder="1" applyAlignment="1">
      <alignment horizontal="center" vertical="center" wrapText="1"/>
    </xf>
    <xf numFmtId="0" fontId="17" fillId="4" borderId="0" xfId="16" applyFont="1" applyFill="1" applyBorder="1" applyAlignment="1">
      <alignment horizontal="center" vertical="center" wrapText="1"/>
    </xf>
    <xf numFmtId="18" fontId="17" fillId="4" borderId="0" xfId="16" applyNumberFormat="1" applyFont="1" applyFill="1" applyBorder="1" applyAlignment="1">
      <alignment horizontal="center" vertical="center" wrapText="1"/>
    </xf>
    <xf numFmtId="0" fontId="25" fillId="21" borderId="0" xfId="19" applyFont="1" applyFill="1" applyBorder="1" applyAlignment="1">
      <alignment horizontal="center" vertical="center"/>
    </xf>
    <xf numFmtId="0" fontId="32" fillId="21" borderId="0" xfId="16" applyFont="1" applyFill="1" applyBorder="1" applyAlignment="1">
      <alignment horizontal="center" vertical="center" wrapText="1"/>
    </xf>
    <xf numFmtId="3" fontId="25" fillId="0" borderId="0" xfId="16" applyNumberFormat="1" applyFont="1" applyFill="1" applyBorder="1" applyAlignment="1">
      <alignment vertical="center"/>
    </xf>
    <xf numFmtId="188" fontId="25" fillId="0" borderId="0" xfId="16" applyNumberFormat="1" applyFont="1" applyFill="1" applyBorder="1" applyAlignment="1">
      <alignment vertical="center"/>
    </xf>
    <xf numFmtId="3" fontId="2" fillId="0" borderId="0" xfId="0" applyNumberFormat="1" applyFont="1" applyFill="1" applyBorder="1"/>
    <xf numFmtId="0" fontId="8" fillId="0" borderId="0" xfId="0" applyFont="1" applyFill="1" applyBorder="1" applyAlignment="1">
      <alignment horizontal="center"/>
    </xf>
    <xf numFmtId="2" fontId="49" fillId="0" borderId="0" xfId="16" applyNumberFormat="1" applyFont="1" applyFill="1" applyBorder="1" applyAlignment="1">
      <alignment vertical="center"/>
    </xf>
    <xf numFmtId="37" fontId="25" fillId="7" borderId="0" xfId="18" applyNumberFormat="1" applyFont="1" applyFill="1" applyBorder="1" applyAlignment="1">
      <alignment vertical="center" wrapText="1"/>
    </xf>
    <xf numFmtId="181" fontId="2" fillId="0" borderId="28" xfId="0" applyNumberFormat="1" applyFont="1" applyFill="1" applyBorder="1" applyAlignment="1">
      <alignment horizontal="center" vertical="center"/>
    </xf>
    <xf numFmtId="181" fontId="8" fillId="0" borderId="30" xfId="0" applyNumberFormat="1" applyFont="1" applyFill="1" applyBorder="1" applyAlignment="1">
      <alignment horizontal="center" vertical="center"/>
    </xf>
    <xf numFmtId="181" fontId="2" fillId="8" borderId="28" xfId="0" applyNumberFormat="1" applyFont="1" applyFill="1" applyBorder="1"/>
    <xf numFmtId="181" fontId="8" fillId="8" borderId="32" xfId="0" applyNumberFormat="1" applyFont="1" applyFill="1" applyBorder="1"/>
    <xf numFmtId="181" fontId="8" fillId="8" borderId="28" xfId="0" applyNumberFormat="1" applyFont="1" applyFill="1" applyBorder="1"/>
    <xf numFmtId="181" fontId="8" fillId="2" borderId="35" xfId="0" applyNumberFormat="1" applyFont="1" applyFill="1" applyBorder="1" applyAlignment="1">
      <alignment horizontal="center" vertical="center"/>
    </xf>
    <xf numFmtId="0" fontId="4" fillId="27" borderId="0" xfId="0" applyFont="1" applyFill="1" applyAlignment="1">
      <alignment horizontal="center" vertical="center"/>
    </xf>
    <xf numFmtId="0" fontId="45" fillId="9" borderId="0" xfId="0" applyFont="1" applyFill="1" applyAlignment="1">
      <alignment horizontal="center" vertical="center"/>
    </xf>
    <xf numFmtId="0" fontId="19" fillId="9" borderId="0" xfId="0" applyFont="1" applyFill="1" applyBorder="1" applyAlignment="1">
      <alignment horizontal="center" vertical="center"/>
    </xf>
    <xf numFmtId="0" fontId="45" fillId="9" borderId="0" xfId="0" applyFont="1" applyFill="1" applyBorder="1" applyAlignment="1">
      <alignment horizontal="center" vertical="center"/>
    </xf>
    <xf numFmtId="0" fontId="2" fillId="9" borderId="0" xfId="0" applyFont="1" applyFill="1" applyAlignment="1">
      <alignment horizontal="center" vertical="center"/>
    </xf>
    <xf numFmtId="0" fontId="13" fillId="21" borderId="0" xfId="0" applyFont="1" applyFill="1" applyAlignment="1">
      <alignment horizontal="center" vertical="center"/>
    </xf>
    <xf numFmtId="165" fontId="16" fillId="0" borderId="0" xfId="1" applyFont="1" applyAlignment="1">
      <alignment horizontal="center" vertical="center"/>
    </xf>
    <xf numFmtId="165" fontId="19" fillId="6" borderId="0" xfId="1" applyFont="1" applyFill="1" applyAlignment="1">
      <alignment horizontal="center" vertical="center"/>
    </xf>
    <xf numFmtId="165" fontId="16" fillId="0" borderId="2" xfId="1" applyFont="1" applyBorder="1" applyAlignment="1">
      <alignment horizontal="center" vertical="center"/>
    </xf>
    <xf numFmtId="165" fontId="13" fillId="0" borderId="4" xfId="1" applyFont="1" applyBorder="1" applyAlignment="1">
      <alignment horizontal="center" vertical="center"/>
    </xf>
    <xf numFmtId="165" fontId="16" fillId="0" borderId="4" xfId="1" applyFont="1" applyBorder="1" applyAlignment="1">
      <alignment horizontal="center" vertical="center"/>
    </xf>
    <xf numFmtId="165" fontId="16" fillId="4" borderId="0" xfId="1" applyFont="1" applyFill="1" applyAlignment="1">
      <alignment horizontal="center" vertical="center"/>
    </xf>
    <xf numFmtId="165" fontId="16" fillId="0" borderId="0" xfId="1" applyFont="1" applyFill="1" applyAlignment="1">
      <alignment horizontal="center" vertical="center"/>
    </xf>
    <xf numFmtId="165" fontId="25" fillId="0" borderId="0" xfId="1" applyFont="1" applyFill="1" applyBorder="1" applyAlignment="1">
      <alignment horizontal="center" vertical="center"/>
    </xf>
    <xf numFmtId="165" fontId="16" fillId="2" borderId="0" xfId="1" applyFont="1" applyFill="1" applyAlignment="1">
      <alignment horizontal="center" vertical="center"/>
    </xf>
    <xf numFmtId="0" fontId="59" fillId="9" borderId="0" xfId="16" applyFont="1" applyFill="1" applyBorder="1" applyAlignment="1">
      <alignment horizontal="left" vertical="top" wrapText="1"/>
    </xf>
    <xf numFmtId="165" fontId="25" fillId="4" borderId="0" xfId="16" applyNumberFormat="1" applyFont="1" applyFill="1" applyBorder="1" applyAlignment="1">
      <alignment vertical="center"/>
    </xf>
    <xf numFmtId="9" fontId="25" fillId="0" borderId="0" xfId="2" applyFont="1" applyBorder="1" applyAlignment="1">
      <alignment vertical="center" wrapText="1"/>
    </xf>
    <xf numFmtId="165" fontId="25" fillId="0" borderId="0" xfId="16" applyNumberFormat="1" applyFont="1" applyBorder="1" applyAlignment="1">
      <alignment vertical="center" wrapText="1"/>
    </xf>
    <xf numFmtId="0" fontId="25" fillId="0" borderId="0" xfId="16" applyFont="1" applyFill="1" applyBorder="1" applyAlignment="1">
      <alignment horizontal="center" vertical="center" wrapText="1"/>
    </xf>
    <xf numFmtId="189" fontId="25" fillId="2" borderId="0" xfId="16" applyNumberFormat="1" applyFont="1" applyFill="1" applyBorder="1" applyAlignment="1">
      <alignment vertical="center" wrapText="1"/>
    </xf>
    <xf numFmtId="187" fontId="25" fillId="0" borderId="0" xfId="16" applyNumberFormat="1" applyFont="1" applyBorder="1" applyAlignment="1">
      <alignment vertical="center"/>
    </xf>
    <xf numFmtId="176" fontId="25" fillId="4" borderId="0" xfId="16" applyNumberFormat="1" applyFont="1" applyFill="1" applyBorder="1" applyAlignment="1">
      <alignment vertical="center" wrapText="1"/>
    </xf>
    <xf numFmtId="188" fontId="25" fillId="4" borderId="0" xfId="16" applyNumberFormat="1" applyFont="1" applyFill="1" applyBorder="1" applyAlignment="1">
      <alignment vertical="center" wrapText="1"/>
    </xf>
    <xf numFmtId="167" fontId="8" fillId="4" borderId="0" xfId="0" applyNumberFormat="1" applyFont="1" applyFill="1" applyBorder="1" applyAlignment="1">
      <alignment horizontal="center"/>
    </xf>
    <xf numFmtId="4" fontId="25" fillId="0" borderId="0" xfId="16" applyNumberFormat="1" applyFont="1" applyFill="1" applyBorder="1" applyAlignment="1">
      <alignment vertical="center"/>
    </xf>
    <xf numFmtId="0" fontId="57" fillId="0" borderId="0" xfId="0" applyFont="1" applyFill="1" applyBorder="1" applyAlignment="1">
      <alignment horizontal="center" vertical="center" wrapText="1"/>
    </xf>
    <xf numFmtId="0" fontId="57" fillId="0" borderId="0" xfId="0" applyFont="1" applyFill="1" applyBorder="1" applyAlignment="1">
      <alignment horizontal="center" vertical="center"/>
    </xf>
    <xf numFmtId="0" fontId="55" fillId="0" borderId="0" xfId="0" applyFont="1" applyFill="1" applyBorder="1" applyAlignment="1">
      <alignment horizontal="center" vertical="center" wrapText="1"/>
    </xf>
    <xf numFmtId="0" fontId="55" fillId="0" borderId="0" xfId="0" applyFont="1" applyFill="1" applyBorder="1" applyAlignment="1">
      <alignment horizontal="center" vertical="center"/>
    </xf>
    <xf numFmtId="4" fontId="55" fillId="0" borderId="0" xfId="0" applyNumberFormat="1" applyFont="1" applyFill="1" applyBorder="1" applyAlignment="1">
      <alignment horizontal="center" vertical="center" wrapText="1"/>
    </xf>
    <xf numFmtId="4" fontId="55" fillId="0" borderId="0" xfId="0" applyNumberFormat="1" applyFont="1" applyFill="1" applyBorder="1" applyAlignment="1">
      <alignment horizontal="center" vertical="center"/>
    </xf>
    <xf numFmtId="187" fontId="13" fillId="0" borderId="0" xfId="0" applyNumberFormat="1" applyFont="1" applyBorder="1" applyAlignment="1">
      <alignment vertical="center"/>
    </xf>
    <xf numFmtId="0" fontId="55" fillId="0" borderId="21" xfId="0" applyFont="1" applyBorder="1" applyAlignment="1">
      <alignment horizontal="center" vertical="center" wrapText="1"/>
    </xf>
    <xf numFmtId="0" fontId="55" fillId="0" borderId="22" xfId="0" applyFont="1" applyBorder="1" applyAlignment="1">
      <alignment vertical="center"/>
    </xf>
    <xf numFmtId="4" fontId="55" fillId="0" borderId="22" xfId="0" applyNumberFormat="1" applyFont="1" applyBorder="1" applyAlignment="1">
      <alignment horizontal="center" vertical="center" wrapText="1"/>
    </xf>
    <xf numFmtId="4" fontId="55" fillId="0" borderId="22" xfId="0" applyNumberFormat="1" applyFont="1" applyBorder="1" applyAlignment="1">
      <alignment horizontal="center" vertical="center"/>
    </xf>
    <xf numFmtId="0" fontId="55" fillId="0" borderId="22" xfId="0" applyFont="1" applyBorder="1" applyAlignment="1">
      <alignment horizontal="center" vertical="center" wrapText="1"/>
    </xf>
    <xf numFmtId="0" fontId="55" fillId="0" borderId="21" xfId="0" applyFont="1" applyBorder="1" applyAlignment="1">
      <alignment vertical="center" wrapText="1"/>
    </xf>
    <xf numFmtId="0" fontId="57" fillId="0" borderId="22" xfId="0" applyFont="1" applyBorder="1" applyAlignment="1">
      <alignment vertical="center"/>
    </xf>
    <xf numFmtId="4" fontId="57" fillId="0" borderId="22" xfId="0" applyNumberFormat="1" applyFont="1" applyBorder="1" applyAlignment="1">
      <alignment horizontal="center" vertical="center" wrapText="1"/>
    </xf>
    <xf numFmtId="4" fontId="57" fillId="0" borderId="22" xfId="0" applyNumberFormat="1" applyFont="1" applyBorder="1" applyAlignment="1">
      <alignment horizontal="center" vertical="center"/>
    </xf>
    <xf numFmtId="0" fontId="57" fillId="0" borderId="21" xfId="0" applyFont="1" applyBorder="1" applyAlignment="1">
      <alignment horizontal="center" vertical="center" wrapText="1"/>
    </xf>
    <xf numFmtId="165" fontId="25" fillId="4" borderId="0" xfId="16" applyNumberFormat="1" applyFont="1" applyFill="1" applyBorder="1" applyAlignment="1">
      <alignment vertical="center" wrapText="1"/>
    </xf>
    <xf numFmtId="182" fontId="17" fillId="4" borderId="0" xfId="16" applyNumberFormat="1" applyFont="1" applyFill="1" applyBorder="1" applyAlignment="1">
      <alignment horizontal="center" vertical="center"/>
    </xf>
    <xf numFmtId="9" fontId="0" fillId="0" borderId="0" xfId="0" applyNumberFormat="1"/>
    <xf numFmtId="4" fontId="55" fillId="0" borderId="0" xfId="0" applyNumberFormat="1" applyFont="1" applyBorder="1" applyAlignment="1">
      <alignment horizontal="center" vertical="center"/>
    </xf>
    <xf numFmtId="1" fontId="13" fillId="0" borderId="0" xfId="0" applyNumberFormat="1" applyFont="1" applyAlignment="1">
      <alignment horizontal="center" vertical="center"/>
    </xf>
    <xf numFmtId="0" fontId="0" fillId="0" borderId="0" xfId="0" applyAlignment="1">
      <alignment horizontal="center"/>
    </xf>
    <xf numFmtId="3" fontId="55" fillId="0" borderId="22" xfId="0" applyNumberFormat="1" applyFont="1" applyBorder="1" applyAlignment="1">
      <alignment horizontal="center" vertical="center" wrapText="1"/>
    </xf>
    <xf numFmtId="0" fontId="55" fillId="0" borderId="36" xfId="0" applyFont="1" applyFill="1" applyBorder="1" applyAlignment="1">
      <alignment vertical="center"/>
    </xf>
    <xf numFmtId="0" fontId="55" fillId="0" borderId="0" xfId="0" applyFont="1" applyBorder="1" applyAlignment="1">
      <alignment horizontal="center" vertical="center" wrapText="1"/>
    </xf>
    <xf numFmtId="0" fontId="55" fillId="0" borderId="0" xfId="0" applyFont="1" applyBorder="1" applyAlignment="1">
      <alignment vertical="center"/>
    </xf>
    <xf numFmtId="4" fontId="55" fillId="0" borderId="0" xfId="0" applyNumberFormat="1" applyFont="1" applyBorder="1" applyAlignment="1">
      <alignment horizontal="center" vertical="center" wrapText="1"/>
    </xf>
    <xf numFmtId="0" fontId="57" fillId="0" borderId="22" xfId="0" applyFont="1" applyBorder="1" applyAlignment="1">
      <alignment horizontal="center" vertical="center" wrapText="1"/>
    </xf>
    <xf numFmtId="10" fontId="25" fillId="0" borderId="0" xfId="3" applyNumberFormat="1" applyFont="1" applyFill="1" applyAlignment="1">
      <alignment horizontal="center"/>
    </xf>
    <xf numFmtId="9" fontId="25" fillId="0" borderId="0" xfId="2" applyFont="1" applyFill="1" applyAlignment="1">
      <alignment horizontal="center" vertical="center"/>
    </xf>
    <xf numFmtId="15" fontId="4" fillId="37" borderId="0" xfId="4" applyNumberFormat="1" applyFont="1" applyFill="1" applyBorder="1" applyAlignment="1">
      <alignment horizontal="center"/>
    </xf>
    <xf numFmtId="4" fontId="0" fillId="0" borderId="0" xfId="0" applyNumberFormat="1"/>
    <xf numFmtId="3" fontId="57" fillId="0" borderId="22" xfId="0" applyNumberFormat="1" applyFont="1" applyBorder="1" applyAlignment="1">
      <alignment horizontal="center" vertical="center" wrapText="1"/>
    </xf>
    <xf numFmtId="0" fontId="0" fillId="23" borderId="0" xfId="0" applyFill="1"/>
    <xf numFmtId="0" fontId="39" fillId="23" borderId="0" xfId="0" applyFont="1" applyFill="1"/>
    <xf numFmtId="0" fontId="60" fillId="23" borderId="0" xfId="0" applyFont="1" applyFill="1"/>
    <xf numFmtId="3" fontId="60" fillId="23" borderId="0" xfId="0" applyNumberFormat="1" applyFont="1" applyFill="1" applyAlignment="1">
      <alignment horizontal="center" vertical="center"/>
    </xf>
    <xf numFmtId="3" fontId="13" fillId="0" borderId="0" xfId="0" applyNumberFormat="1" applyFont="1" applyFill="1" applyBorder="1" applyAlignment="1">
      <alignment horizontal="right" vertical="center"/>
    </xf>
    <xf numFmtId="167" fontId="13" fillId="0" borderId="0" xfId="0" applyNumberFormat="1" applyFont="1" applyFill="1" applyBorder="1" applyAlignment="1">
      <alignment vertical="center"/>
    </xf>
    <xf numFmtId="3" fontId="13" fillId="0" borderId="0" xfId="1" applyNumberFormat="1" applyFont="1" applyFill="1" applyBorder="1" applyAlignment="1">
      <alignment horizontal="right" vertical="center"/>
    </xf>
    <xf numFmtId="165" fontId="54" fillId="0" borderId="0" xfId="0" applyNumberFormat="1" applyFont="1" applyFill="1" applyBorder="1" applyAlignment="1">
      <alignment horizontal="left"/>
    </xf>
    <xf numFmtId="165" fontId="8" fillId="0" borderId="0" xfId="1" applyFont="1" applyFill="1" applyBorder="1" applyAlignment="1">
      <alignment horizontal="right" vertical="center"/>
    </xf>
    <xf numFmtId="0" fontId="8" fillId="0" borderId="0" xfId="0" applyFont="1" applyFill="1" applyBorder="1" applyAlignment="1">
      <alignment horizontal="center" vertical="center"/>
    </xf>
    <xf numFmtId="165" fontId="8" fillId="0" borderId="0" xfId="1" applyFont="1" applyFill="1" applyBorder="1"/>
    <xf numFmtId="0" fontId="16" fillId="35" borderId="0" xfId="0" applyFont="1" applyFill="1" applyBorder="1" applyAlignment="1">
      <alignment horizontal="center" vertical="center"/>
    </xf>
    <xf numFmtId="0" fontId="16" fillId="35" borderId="0" xfId="0" applyFont="1" applyFill="1" applyBorder="1" applyAlignment="1">
      <alignment horizontal="left" vertical="center"/>
    </xf>
    <xf numFmtId="3" fontId="13" fillId="35" borderId="0" xfId="0" applyNumberFormat="1" applyFont="1" applyFill="1" applyBorder="1" applyAlignment="1">
      <alignment horizontal="center" vertical="center"/>
    </xf>
    <xf numFmtId="3" fontId="13" fillId="35" borderId="0" xfId="1" applyNumberFormat="1" applyFont="1" applyFill="1" applyBorder="1" applyAlignment="1">
      <alignment horizontal="right" vertical="center"/>
    </xf>
    <xf numFmtId="3" fontId="16" fillId="35" borderId="0" xfId="1" applyNumberFormat="1" applyFont="1" applyFill="1" applyBorder="1" applyAlignment="1">
      <alignment horizontal="center" vertical="center"/>
    </xf>
    <xf numFmtId="3" fontId="13" fillId="35" borderId="0" xfId="1" applyNumberFormat="1" applyFont="1" applyFill="1" applyBorder="1" applyAlignment="1">
      <alignment horizontal="center" vertical="center"/>
    </xf>
    <xf numFmtId="3" fontId="13" fillId="35" borderId="0" xfId="0" applyNumberFormat="1" applyFont="1" applyFill="1" applyAlignment="1">
      <alignment horizontal="center" vertical="center"/>
    </xf>
    <xf numFmtId="0" fontId="16" fillId="35" borderId="0" xfId="0" applyFont="1" applyFill="1" applyAlignment="1">
      <alignment horizontal="center" vertical="center"/>
    </xf>
    <xf numFmtId="0" fontId="16" fillId="35" borderId="0" xfId="0" applyFont="1" applyFill="1" applyAlignment="1">
      <alignment vertical="center"/>
    </xf>
    <xf numFmtId="0" fontId="13" fillId="35" borderId="0" xfId="0" applyFont="1" applyFill="1" applyAlignment="1">
      <alignment vertical="center"/>
    </xf>
    <xf numFmtId="3" fontId="13" fillId="35" borderId="0" xfId="1" applyNumberFormat="1" applyFont="1" applyFill="1" applyAlignment="1">
      <alignment horizontal="center" vertical="center"/>
    </xf>
    <xf numFmtId="3" fontId="16" fillId="35" borderId="0" xfId="1" applyNumberFormat="1" applyFont="1" applyFill="1" applyAlignment="1">
      <alignment horizontal="center" vertical="center"/>
    </xf>
    <xf numFmtId="165" fontId="13" fillId="0" borderId="0" xfId="1" applyFont="1" applyAlignment="1">
      <alignment horizontal="right"/>
    </xf>
    <xf numFmtId="165" fontId="13" fillId="0" borderId="0" xfId="1" applyFont="1" applyAlignment="1">
      <alignment horizontal="right" vertical="center"/>
    </xf>
    <xf numFmtId="0" fontId="62" fillId="0" borderId="0" xfId="0" applyFont="1" applyBorder="1" applyAlignment="1">
      <alignment horizontal="right" vertical="center" wrapText="1"/>
    </xf>
    <xf numFmtId="9" fontId="62" fillId="0" borderId="38" xfId="0" applyNumberFormat="1" applyFont="1" applyBorder="1" applyAlignment="1">
      <alignment horizontal="right" vertical="center" wrapText="1"/>
    </xf>
    <xf numFmtId="9" fontId="62" fillId="0" borderId="40" xfId="0" applyNumberFormat="1" applyFont="1" applyBorder="1" applyAlignment="1">
      <alignment horizontal="right" vertical="center" wrapText="1"/>
    </xf>
    <xf numFmtId="0" fontId="62" fillId="0" borderId="40" xfId="0" applyFont="1" applyBorder="1" applyAlignment="1">
      <alignment horizontal="right" vertical="center" wrapText="1"/>
    </xf>
    <xf numFmtId="0" fontId="62" fillId="0" borderId="39" xfId="0" applyFont="1" applyBorder="1" applyAlignment="1">
      <alignment horizontal="right" vertical="center" wrapText="1"/>
    </xf>
    <xf numFmtId="9" fontId="62" fillId="0" borderId="37" xfId="0" applyNumberFormat="1" applyFont="1" applyBorder="1" applyAlignment="1">
      <alignment horizontal="right" vertical="center" wrapText="1"/>
    </xf>
    <xf numFmtId="3" fontId="0" fillId="0" borderId="0" xfId="0" applyNumberFormat="1"/>
    <xf numFmtId="0" fontId="61" fillId="0" borderId="0" xfId="0" applyFont="1" applyFill="1" applyBorder="1" applyAlignment="1">
      <alignment vertical="center" wrapText="1"/>
    </xf>
    <xf numFmtId="0" fontId="62" fillId="0" borderId="0" xfId="0" applyFont="1" applyFill="1" applyBorder="1" applyAlignment="1">
      <alignment horizontal="right" vertical="center" wrapText="1"/>
    </xf>
    <xf numFmtId="165" fontId="25" fillId="0" borderId="0" xfId="1" applyFont="1" applyFill="1" applyAlignment="1">
      <alignment horizontal="center" vertical="center"/>
    </xf>
    <xf numFmtId="0" fontId="61" fillId="0" borderId="41" xfId="0" applyFont="1" applyFill="1" applyBorder="1" applyAlignment="1">
      <alignment vertical="center" wrapText="1"/>
    </xf>
    <xf numFmtId="165" fontId="17" fillId="0" borderId="41" xfId="1" applyFont="1" applyBorder="1" applyAlignment="1">
      <alignment horizontal="center" vertical="center"/>
    </xf>
    <xf numFmtId="165" fontId="16" fillId="0" borderId="41" xfId="1" applyFont="1" applyBorder="1"/>
    <xf numFmtId="167" fontId="2" fillId="0" borderId="0" xfId="1" applyNumberFormat="1" applyFont="1" applyFill="1" applyBorder="1" applyAlignment="1">
      <alignment horizontal="center"/>
    </xf>
    <xf numFmtId="0" fontId="25" fillId="28" borderId="0" xfId="16" applyFont="1" applyFill="1" applyBorder="1" applyAlignment="1">
      <alignment vertical="center"/>
    </xf>
    <xf numFmtId="0" fontId="25" fillId="28" borderId="0" xfId="16" applyFont="1" applyFill="1" applyBorder="1" applyAlignment="1">
      <alignment horizontal="center" vertical="center"/>
    </xf>
    <xf numFmtId="3" fontId="25" fillId="28" borderId="0" xfId="16" applyNumberFormat="1" applyFont="1" applyFill="1" applyBorder="1" applyAlignment="1">
      <alignment vertical="center"/>
    </xf>
    <xf numFmtId="3" fontId="25" fillId="28" borderId="0" xfId="17" applyNumberFormat="1" applyFont="1" applyFill="1" applyBorder="1" applyAlignment="1">
      <alignment vertical="center" wrapText="1"/>
    </xf>
    <xf numFmtId="9" fontId="13" fillId="0" borderId="0" xfId="1" applyNumberFormat="1" applyFont="1" applyAlignment="1">
      <alignment horizontal="center" vertical="center"/>
    </xf>
    <xf numFmtId="0" fontId="53" fillId="0" borderId="0" xfId="0" applyFont="1" applyFill="1" applyBorder="1" applyAlignment="1">
      <alignment horizontal="center" vertical="center" wrapText="1"/>
    </xf>
    <xf numFmtId="0" fontId="0" fillId="0" borderId="0" xfId="0" applyFont="1"/>
    <xf numFmtId="0" fontId="0" fillId="0" borderId="0" xfId="0" applyFont="1" applyAlignment="1">
      <alignment horizontal="left"/>
    </xf>
    <xf numFmtId="0" fontId="0" fillId="0" borderId="0" xfId="0" applyFill="1"/>
    <xf numFmtId="0" fontId="25" fillId="0" borderId="0" xfId="16" applyFont="1" applyFill="1" applyBorder="1" applyAlignment="1">
      <alignment vertical="center" wrapText="1"/>
    </xf>
    <xf numFmtId="0" fontId="25" fillId="0" borderId="0" xfId="16" applyFont="1" applyFill="1" applyBorder="1" applyAlignment="1">
      <alignment horizontal="center" vertical="center"/>
    </xf>
    <xf numFmtId="182" fontId="17" fillId="0" borderId="0" xfId="18" applyFont="1" applyFill="1" applyBorder="1" applyAlignment="1">
      <alignment vertical="center"/>
    </xf>
    <xf numFmtId="0" fontId="25" fillId="0" borderId="0" xfId="19" applyFont="1" applyFill="1" applyBorder="1" applyAlignment="1">
      <alignment horizontal="center" vertical="center"/>
    </xf>
    <xf numFmtId="18" fontId="17" fillId="0" borderId="0" xfId="16" applyNumberFormat="1" applyFont="1" applyFill="1" applyBorder="1" applyAlignment="1">
      <alignment horizontal="center" vertical="center" wrapText="1"/>
    </xf>
    <xf numFmtId="0" fontId="17" fillId="0" borderId="0" xfId="16" applyFont="1" applyFill="1" applyBorder="1" applyAlignment="1">
      <alignment vertical="center" wrapText="1"/>
    </xf>
    <xf numFmtId="176" fontId="25" fillId="0" borderId="0" xfId="16" applyNumberFormat="1" applyFont="1" applyFill="1" applyBorder="1" applyAlignment="1">
      <alignment vertical="center" wrapText="1"/>
    </xf>
    <xf numFmtId="0" fontId="17" fillId="0" borderId="0" xfId="16" applyFont="1" applyFill="1" applyBorder="1" applyAlignment="1">
      <alignment horizontal="center" vertical="center" wrapText="1"/>
    </xf>
    <xf numFmtId="188" fontId="25" fillId="0" borderId="0" xfId="16" applyNumberFormat="1" applyFont="1" applyFill="1" applyBorder="1" applyAlignment="1">
      <alignment vertical="center" wrapText="1"/>
    </xf>
    <xf numFmtId="0" fontId="0" fillId="0" borderId="0" xfId="0" applyBorder="1"/>
    <xf numFmtId="2" fontId="0" fillId="0" borderId="0" xfId="0" applyNumberFormat="1"/>
    <xf numFmtId="174" fontId="0" fillId="0" borderId="0" xfId="0" applyNumberFormat="1"/>
    <xf numFmtId="9" fontId="0" fillId="0" borderId="0" xfId="2" applyFont="1"/>
    <xf numFmtId="166" fontId="0" fillId="0" borderId="0" xfId="2" applyNumberFormat="1" applyFont="1"/>
    <xf numFmtId="165" fontId="64" fillId="0" borderId="0" xfId="1" applyFont="1" applyBorder="1"/>
    <xf numFmtId="165" fontId="65" fillId="0" borderId="0" xfId="1" applyFont="1" applyBorder="1"/>
    <xf numFmtId="0" fontId="64" fillId="0" borderId="0" xfId="0" applyFont="1" applyBorder="1" applyAlignment="1">
      <alignment horizontal="center" vertical="center"/>
    </xf>
    <xf numFmtId="0" fontId="65" fillId="0" borderId="0" xfId="0" applyFont="1" applyBorder="1" applyAlignment="1">
      <alignment horizontal="center" vertical="center"/>
    </xf>
    <xf numFmtId="165" fontId="65" fillId="0" borderId="5" xfId="1" applyFont="1" applyBorder="1"/>
    <xf numFmtId="0" fontId="65" fillId="0" borderId="5" xfId="0" applyFont="1" applyBorder="1" applyAlignment="1">
      <alignment horizontal="center" vertical="center"/>
    </xf>
    <xf numFmtId="1" fontId="39" fillId="0" borderId="5" xfId="0" applyNumberFormat="1" applyFont="1" applyBorder="1"/>
    <xf numFmtId="165" fontId="39" fillId="0" borderId="5" xfId="0" applyNumberFormat="1" applyFont="1" applyBorder="1"/>
    <xf numFmtId="165" fontId="0" fillId="0" borderId="5" xfId="0" applyNumberFormat="1" applyBorder="1"/>
    <xf numFmtId="165" fontId="39" fillId="0" borderId="0" xfId="0" applyNumberFormat="1" applyFont="1" applyBorder="1"/>
    <xf numFmtId="165" fontId="0" fillId="0" borderId="0" xfId="0" applyNumberFormat="1" applyFont="1" applyBorder="1"/>
    <xf numFmtId="165" fontId="39" fillId="12" borderId="0" xfId="0" applyNumberFormat="1" applyFont="1" applyFill="1" applyBorder="1"/>
    <xf numFmtId="165" fontId="0" fillId="0" borderId="0" xfId="0" applyNumberFormat="1" applyFont="1"/>
    <xf numFmtId="15" fontId="7" fillId="0" borderId="0" xfId="0" applyNumberFormat="1" applyFont="1" applyFill="1" applyBorder="1" applyProtection="1">
      <protection hidden="1"/>
    </xf>
    <xf numFmtId="0" fontId="6" fillId="0" borderId="0" xfId="3" applyFont="1" applyFill="1" applyBorder="1"/>
    <xf numFmtId="165" fontId="9" fillId="0" borderId="41" xfId="1" applyFont="1" applyBorder="1" applyProtection="1">
      <protection hidden="1"/>
    </xf>
    <xf numFmtId="165" fontId="39" fillId="0" borderId="41" xfId="0" applyNumberFormat="1" applyFont="1" applyBorder="1"/>
    <xf numFmtId="165" fontId="9" fillId="0" borderId="41" xfId="1" applyFont="1" applyBorder="1"/>
    <xf numFmtId="0" fontId="9" fillId="0" borderId="41" xfId="3" applyFont="1" applyBorder="1" applyAlignment="1">
      <alignment horizontal="center" vertical="center"/>
    </xf>
    <xf numFmtId="0" fontId="61" fillId="12" borderId="0" xfId="0" applyFont="1" applyFill="1" applyBorder="1" applyAlignment="1">
      <alignment vertical="center" wrapText="1"/>
    </xf>
    <xf numFmtId="0" fontId="0" fillId="3" borderId="0" xfId="0" applyFill="1"/>
    <xf numFmtId="165" fontId="16" fillId="3" borderId="0" xfId="1" applyFont="1" applyFill="1" applyAlignment="1">
      <alignment wrapText="1"/>
    </xf>
    <xf numFmtId="165" fontId="13" fillId="3" borderId="0" xfId="1" applyFont="1" applyFill="1" applyAlignment="1">
      <alignment horizontal="center" vertical="center"/>
    </xf>
    <xf numFmtId="2" fontId="0" fillId="0" borderId="0" xfId="24" applyNumberFormat="1" applyFont="1"/>
    <xf numFmtId="165" fontId="17" fillId="0" borderId="0" xfId="1" applyFont="1" applyAlignment="1">
      <alignment horizontal="center" vertical="center"/>
    </xf>
    <xf numFmtId="2" fontId="39" fillId="0" borderId="0" xfId="24" applyNumberFormat="1" applyFont="1"/>
    <xf numFmtId="0" fontId="66" fillId="0" borderId="0" xfId="0" applyFont="1" applyBorder="1" applyAlignment="1">
      <alignment horizontal="left" vertical="center" wrapText="1"/>
    </xf>
    <xf numFmtId="0" fontId="62" fillId="0" borderId="0" xfId="0" applyFont="1" applyBorder="1" applyAlignment="1">
      <alignment horizontal="left" vertical="center" wrapText="1"/>
    </xf>
    <xf numFmtId="0" fontId="66" fillId="0" borderId="41" xfId="0" applyFont="1" applyBorder="1" applyAlignment="1">
      <alignment horizontal="left" vertical="center" wrapText="1"/>
    </xf>
    <xf numFmtId="0" fontId="0" fillId="0" borderId="41" xfId="0" applyBorder="1"/>
    <xf numFmtId="2" fontId="39" fillId="0" borderId="41" xfId="24" applyNumberFormat="1" applyFont="1" applyBorder="1"/>
    <xf numFmtId="0" fontId="66" fillId="0" borderId="5" xfId="0" applyFont="1" applyBorder="1" applyAlignment="1">
      <alignment horizontal="left" vertical="center" wrapText="1"/>
    </xf>
    <xf numFmtId="165" fontId="17" fillId="0" borderId="5" xfId="1" applyFont="1" applyBorder="1" applyAlignment="1">
      <alignment horizontal="center" vertical="center"/>
    </xf>
    <xf numFmtId="2" fontId="39" fillId="0" borderId="5" xfId="24" applyNumberFormat="1" applyFont="1" applyBorder="1"/>
    <xf numFmtId="2" fontId="39" fillId="0" borderId="0" xfId="0" applyNumberFormat="1" applyFont="1"/>
    <xf numFmtId="0" fontId="39" fillId="0" borderId="0" xfId="0" applyFont="1" applyAlignment="1">
      <alignment horizontal="center" vertical="center"/>
    </xf>
    <xf numFmtId="0" fontId="39" fillId="3" borderId="0" xfId="0" applyFont="1" applyFill="1" applyAlignment="1">
      <alignment horizontal="center" vertical="center"/>
    </xf>
    <xf numFmtId="9" fontId="39" fillId="0" borderId="0" xfId="2" applyFont="1"/>
    <xf numFmtId="9" fontId="1" fillId="0" borderId="0" xfId="2" applyFont="1"/>
    <xf numFmtId="0" fontId="60" fillId="26" borderId="0" xfId="0" applyFont="1" applyFill="1" applyAlignment="1">
      <alignment horizontal="center" vertical="center"/>
    </xf>
    <xf numFmtId="165" fontId="19" fillId="26" borderId="0" xfId="1" applyFont="1" applyFill="1" applyAlignment="1">
      <alignment wrapText="1"/>
    </xf>
    <xf numFmtId="165" fontId="18" fillId="26" borderId="0" xfId="1" applyFont="1" applyFill="1" applyAlignment="1">
      <alignment horizontal="center" vertical="center"/>
    </xf>
    <xf numFmtId="0" fontId="63" fillId="26" borderId="0" xfId="0" applyFont="1" applyFill="1"/>
    <xf numFmtId="167" fontId="0" fillId="0" borderId="0" xfId="0" applyNumberFormat="1" applyFont="1" applyAlignment="1">
      <alignment horizontal="center" vertical="center"/>
    </xf>
    <xf numFmtId="0" fontId="39" fillId="0" borderId="41" xfId="0" applyFont="1" applyBorder="1"/>
    <xf numFmtId="165" fontId="14" fillId="15" borderId="0" xfId="1" applyFont="1" applyFill="1" applyBorder="1"/>
    <xf numFmtId="10" fontId="0" fillId="0" borderId="0" xfId="2" applyNumberFormat="1" applyFont="1"/>
    <xf numFmtId="165" fontId="67" fillId="0" borderId="0" xfId="0" applyNumberFormat="1" applyFont="1" applyBorder="1"/>
    <xf numFmtId="0" fontId="13" fillId="0" borderId="0" xfId="0" applyFont="1" applyAlignment="1">
      <alignment horizontal="left"/>
    </xf>
    <xf numFmtId="173" fontId="8" fillId="0" borderId="0" xfId="4" applyNumberFormat="1" applyFont="1" applyFill="1" applyBorder="1" applyAlignment="1">
      <alignment horizontal="center"/>
    </xf>
    <xf numFmtId="15" fontId="7" fillId="37" borderId="0" xfId="4" applyNumberFormat="1" applyFont="1" applyFill="1" applyBorder="1" applyAlignment="1">
      <alignment horizontal="center"/>
    </xf>
    <xf numFmtId="15" fontId="7" fillId="30" borderId="0" xfId="4" applyNumberFormat="1" applyFont="1" applyFill="1" applyBorder="1" applyAlignment="1">
      <alignment horizontal="center"/>
    </xf>
    <xf numFmtId="181" fontId="16" fillId="0" borderId="0" xfId="0" applyNumberFormat="1" applyFont="1" applyAlignment="1">
      <alignment horizontal="center" vertical="center"/>
    </xf>
    <xf numFmtId="0" fontId="13" fillId="35" borderId="0" xfId="0" applyFont="1" applyFill="1" applyBorder="1" applyAlignment="1">
      <alignment horizontal="left" vertical="center" wrapText="1"/>
    </xf>
    <xf numFmtId="0" fontId="21" fillId="0" borderId="0" xfId="0" applyFont="1" applyFill="1" applyAlignment="1">
      <alignment wrapText="1"/>
    </xf>
    <xf numFmtId="0" fontId="42" fillId="7" borderId="0" xfId="13" applyFont="1" applyFill="1" applyBorder="1" applyAlignment="1">
      <alignment horizontal="center" vertical="center"/>
    </xf>
    <xf numFmtId="0" fontId="48" fillId="7" borderId="0" xfId="13" applyFont="1" applyFill="1" applyBorder="1" applyAlignment="1">
      <alignment horizontal="center" vertical="center"/>
    </xf>
    <xf numFmtId="174" fontId="13" fillId="7" borderId="0" xfId="13" applyNumberFormat="1" applyFont="1" applyFill="1" applyBorder="1" applyAlignment="1">
      <alignment horizontal="center" vertical="center"/>
    </xf>
    <xf numFmtId="0" fontId="46" fillId="21" borderId="0" xfId="0" applyFont="1" applyFill="1" applyBorder="1" applyAlignment="1">
      <alignment horizontal="center" vertical="center"/>
    </xf>
    <xf numFmtId="167" fontId="13" fillId="8" borderId="0" xfId="1" applyNumberFormat="1" applyFont="1" applyFill="1" applyAlignment="1">
      <alignment horizontal="center" vertical="center"/>
    </xf>
    <xf numFmtId="10" fontId="13" fillId="8" borderId="0" xfId="0" applyNumberFormat="1" applyFont="1" applyFill="1" applyBorder="1" applyAlignment="1">
      <alignment horizontal="center" vertical="center"/>
    </xf>
    <xf numFmtId="0" fontId="19" fillId="27" borderId="0" xfId="4" applyFont="1" applyFill="1" applyAlignment="1" applyProtection="1">
      <alignment horizontal="center" vertical="center"/>
      <protection hidden="1"/>
    </xf>
    <xf numFmtId="15" fontId="18" fillId="6" borderId="0" xfId="4" applyNumberFormat="1" applyFont="1" applyFill="1" applyAlignment="1">
      <alignment horizontal="center" vertical="center"/>
    </xf>
    <xf numFmtId="15" fontId="25" fillId="0" borderId="0" xfId="3" applyNumberFormat="1" applyFont="1" applyAlignment="1">
      <alignment horizontal="center" vertical="center"/>
    </xf>
    <xf numFmtId="167" fontId="25" fillId="0" borderId="0" xfId="1" applyNumberFormat="1" applyFont="1" applyAlignment="1">
      <alignment horizontal="center" vertical="center"/>
    </xf>
    <xf numFmtId="165" fontId="16" fillId="0" borderId="41" xfId="1" applyFont="1" applyBorder="1" applyAlignment="1">
      <alignment horizontal="center" vertical="center"/>
    </xf>
    <xf numFmtId="167" fontId="25" fillId="0" borderId="0" xfId="16" applyNumberFormat="1" applyFont="1" applyBorder="1" applyAlignment="1">
      <alignment vertical="center"/>
    </xf>
    <xf numFmtId="0" fontId="19" fillId="6" borderId="0" xfId="0" applyFont="1" applyFill="1" applyAlignment="1">
      <alignment horizontal="center" vertical="center"/>
    </xf>
    <xf numFmtId="165" fontId="13" fillId="0" borderId="0" xfId="0" applyNumberFormat="1" applyFont="1" applyAlignment="1">
      <alignment horizontal="center" vertical="center"/>
    </xf>
    <xf numFmtId="0" fontId="13" fillId="6" borderId="0" xfId="0" applyFont="1" applyFill="1" applyAlignment="1">
      <alignment wrapText="1"/>
    </xf>
    <xf numFmtId="0" fontId="13" fillId="6" borderId="0" xfId="0" applyFont="1" applyFill="1" applyAlignment="1">
      <alignment horizontal="center" vertical="center"/>
    </xf>
    <xf numFmtId="3" fontId="13" fillId="28" borderId="0" xfId="0" applyNumberFormat="1" applyFont="1" applyFill="1" applyBorder="1" applyAlignment="1">
      <alignment horizontal="center" vertical="center"/>
    </xf>
    <xf numFmtId="0" fontId="13" fillId="28" borderId="0" xfId="0" applyFont="1" applyFill="1" applyBorder="1" applyAlignment="1">
      <alignment horizontal="center"/>
    </xf>
    <xf numFmtId="3" fontId="6" fillId="28" borderId="0" xfId="0" applyNumberFormat="1" applyFont="1" applyFill="1" applyBorder="1" applyAlignment="1">
      <alignment horizontal="center" vertical="center"/>
    </xf>
    <xf numFmtId="0" fontId="6" fillId="28" borderId="0" xfId="0" applyFont="1" applyFill="1" applyBorder="1" applyAlignment="1">
      <alignment horizontal="center" vertical="center"/>
    </xf>
    <xf numFmtId="2" fontId="13" fillId="7" borderId="0" xfId="13" applyNumberFormat="1" applyFont="1" applyFill="1" applyBorder="1" applyAlignment="1">
      <alignment horizontal="center" vertical="center"/>
    </xf>
    <xf numFmtId="39" fontId="16" fillId="8" borderId="0" xfId="0" applyNumberFormat="1" applyFont="1" applyFill="1" applyAlignment="1">
      <alignment horizontal="center" vertical="center"/>
    </xf>
    <xf numFmtId="39" fontId="0" fillId="0" borderId="0" xfId="0" applyNumberFormat="1"/>
    <xf numFmtId="0" fontId="16" fillId="0" borderId="0" xfId="0" applyFont="1" applyFill="1" applyAlignment="1">
      <alignment horizontal="center" vertical="center"/>
    </xf>
    <xf numFmtId="0" fontId="0" fillId="0" borderId="42" xfId="0" applyBorder="1"/>
    <xf numFmtId="0" fontId="0" fillId="0" borderId="43" xfId="0" applyBorder="1"/>
    <xf numFmtId="0" fontId="0" fillId="0" borderId="44" xfId="0" applyBorder="1"/>
    <xf numFmtId="0" fontId="0" fillId="0" borderId="27" xfId="0" applyBorder="1"/>
    <xf numFmtId="0" fontId="0" fillId="0" borderId="28" xfId="0" applyBorder="1"/>
    <xf numFmtId="0" fontId="0" fillId="4" borderId="27" xfId="0" applyFill="1" applyBorder="1"/>
    <xf numFmtId="0" fontId="0" fillId="4" borderId="0" xfId="0" applyFill="1" applyBorder="1"/>
    <xf numFmtId="0" fontId="0" fillId="4" borderId="45" xfId="0" applyFill="1" applyBorder="1"/>
    <xf numFmtId="0" fontId="0" fillId="4" borderId="46" xfId="0" applyFill="1" applyBorder="1"/>
    <xf numFmtId="0" fontId="0" fillId="21" borderId="0" xfId="0" applyFill="1" applyBorder="1"/>
    <xf numFmtId="0" fontId="0" fillId="21" borderId="46" xfId="0" applyFill="1" applyBorder="1"/>
    <xf numFmtId="0" fontId="0" fillId="22" borderId="0" xfId="0" applyFill="1" applyBorder="1"/>
    <xf numFmtId="0" fontId="0" fillId="22" borderId="46" xfId="0" applyFill="1" applyBorder="1"/>
    <xf numFmtId="0" fontId="0" fillId="34" borderId="0" xfId="0" applyFill="1" applyBorder="1"/>
    <xf numFmtId="0" fontId="39" fillId="34" borderId="0" xfId="0" applyFont="1" applyFill="1" applyBorder="1"/>
    <xf numFmtId="0" fontId="0" fillId="34" borderId="46" xfId="0" applyFill="1" applyBorder="1"/>
    <xf numFmtId="0" fontId="0" fillId="25" borderId="0" xfId="0" applyFill="1" applyBorder="1"/>
    <xf numFmtId="0" fontId="0" fillId="25" borderId="28" xfId="0" applyFill="1" applyBorder="1"/>
    <xf numFmtId="0" fontId="0" fillId="25" borderId="46" xfId="0" applyFill="1" applyBorder="1"/>
    <xf numFmtId="0" fontId="0" fillId="25" borderId="47" xfId="0" applyFill="1" applyBorder="1"/>
    <xf numFmtId="3" fontId="25" fillId="28" borderId="0" xfId="1" applyNumberFormat="1" applyFont="1" applyFill="1" applyBorder="1" applyAlignment="1">
      <alignment horizontal="center" vertical="center" wrapText="1"/>
    </xf>
    <xf numFmtId="9" fontId="2" fillId="2" borderId="0" xfId="1" applyNumberFormat="1" applyFont="1" applyFill="1" applyBorder="1" applyAlignment="1">
      <alignment horizontal="center" vertical="center"/>
    </xf>
    <xf numFmtId="9" fontId="13" fillId="2" borderId="0" xfId="0" applyNumberFormat="1" applyFont="1" applyFill="1" applyAlignment="1">
      <alignment horizontal="center" vertical="center"/>
    </xf>
    <xf numFmtId="0" fontId="13" fillId="2" borderId="0" xfId="0" applyFont="1" applyFill="1" applyAlignment="1">
      <alignment horizontal="center" vertical="center"/>
    </xf>
    <xf numFmtId="0" fontId="16" fillId="14" borderId="0" xfId="0" applyFont="1" applyFill="1"/>
    <xf numFmtId="0" fontId="16" fillId="14" borderId="0" xfId="0" applyFont="1" applyFill="1" applyAlignment="1">
      <alignment horizontal="center" vertical="center"/>
    </xf>
    <xf numFmtId="165" fontId="8" fillId="8" borderId="0" xfId="1" applyFont="1" applyFill="1"/>
    <xf numFmtId="0" fontId="25" fillId="8" borderId="0" xfId="16" applyFont="1" applyFill="1" applyBorder="1" applyAlignment="1">
      <alignment vertical="center" wrapText="1"/>
    </xf>
    <xf numFmtId="0" fontId="17" fillId="0" borderId="0" xfId="17" applyFont="1" applyBorder="1" applyAlignment="1">
      <alignment vertical="center" wrapText="1"/>
    </xf>
    <xf numFmtId="0" fontId="17" fillId="0" borderId="0" xfId="17" applyFont="1" applyBorder="1" applyAlignment="1">
      <alignment horizontal="center" vertical="center"/>
    </xf>
    <xf numFmtId="184" fontId="17" fillId="7" borderId="0" xfId="18" applyNumberFormat="1" applyFont="1" applyFill="1" applyBorder="1" applyAlignment="1">
      <alignment vertical="center" wrapText="1"/>
    </xf>
    <xf numFmtId="182" fontId="18" fillId="27" borderId="0" xfId="18" applyFont="1" applyFill="1" applyBorder="1" applyAlignment="1">
      <alignment horizontal="center" vertical="center"/>
    </xf>
    <xf numFmtId="165" fontId="19" fillId="6" borderId="0" xfId="1" applyFont="1" applyFill="1" applyAlignment="1">
      <alignment horizontal="left" vertical="center"/>
    </xf>
    <xf numFmtId="165" fontId="16" fillId="21" borderId="0" xfId="1" applyFont="1" applyFill="1" applyAlignment="1">
      <alignment horizontal="center" wrapText="1"/>
    </xf>
    <xf numFmtId="3" fontId="13" fillId="28" borderId="0" xfId="0" applyNumberFormat="1" applyFont="1" applyFill="1" applyBorder="1" applyAlignment="1">
      <alignment horizontal="center"/>
    </xf>
    <xf numFmtId="165" fontId="2" fillId="12" borderId="0" xfId="1" applyFont="1" applyFill="1" applyBorder="1"/>
    <xf numFmtId="167" fontId="6" fillId="2" borderId="0" xfId="1" applyNumberFormat="1" applyFont="1" applyFill="1" applyBorder="1" applyAlignment="1">
      <alignment horizontal="right"/>
    </xf>
    <xf numFmtId="165" fontId="9" fillId="2" borderId="0" xfId="1" applyFont="1" applyFill="1" applyBorder="1"/>
    <xf numFmtId="165" fontId="9" fillId="2" borderId="0" xfId="1" applyFont="1" applyFill="1" applyBorder="1" applyAlignment="1">
      <alignment horizontal="center" vertical="center"/>
    </xf>
    <xf numFmtId="167" fontId="9" fillId="4" borderId="0" xfId="1" applyNumberFormat="1" applyFont="1" applyFill="1" applyBorder="1" applyAlignment="1">
      <alignment horizontal="left"/>
    </xf>
    <xf numFmtId="167" fontId="2" fillId="0" borderId="0" xfId="1" applyNumberFormat="1" applyFont="1" applyBorder="1" applyAlignment="1"/>
    <xf numFmtId="10" fontId="21" fillId="0" borderId="0" xfId="0" applyNumberFormat="1" applyFont="1" applyFill="1"/>
    <xf numFmtId="10" fontId="13" fillId="0" borderId="0" xfId="0" applyNumberFormat="1" applyFont="1" applyFill="1"/>
    <xf numFmtId="0" fontId="22" fillId="0" borderId="0" xfId="0" applyFont="1" applyFill="1"/>
    <xf numFmtId="10" fontId="22" fillId="0" borderId="0" xfId="0" applyNumberFormat="1" applyFont="1" applyFill="1"/>
    <xf numFmtId="165" fontId="21" fillId="0" borderId="0" xfId="0" applyNumberFormat="1" applyFont="1" applyFill="1"/>
    <xf numFmtId="165" fontId="16" fillId="0" borderId="0" xfId="1" applyFont="1" applyAlignment="1">
      <alignment horizontal="left" vertical="center"/>
    </xf>
    <xf numFmtId="165" fontId="19" fillId="27" borderId="0" xfId="1" applyFont="1" applyFill="1" applyAlignment="1" applyProtection="1">
      <alignment horizontal="left" vertical="center"/>
      <protection hidden="1"/>
    </xf>
    <xf numFmtId="9" fontId="25" fillId="8" borderId="0" xfId="16" applyNumberFormat="1" applyFont="1" applyFill="1" applyBorder="1" applyAlignment="1">
      <alignment vertical="center" wrapText="1"/>
    </xf>
    <xf numFmtId="185" fontId="25" fillId="8" borderId="0" xfId="16" applyNumberFormat="1" applyFont="1" applyFill="1" applyBorder="1" applyAlignment="1">
      <alignment vertical="center" wrapText="1"/>
    </xf>
    <xf numFmtId="169" fontId="13" fillId="38" borderId="0" xfId="0" applyNumberFormat="1" applyFont="1" applyFill="1" applyAlignment="1">
      <alignment horizontal="center"/>
    </xf>
    <xf numFmtId="1" fontId="13" fillId="7" borderId="0" xfId="0" applyNumberFormat="1" applyFont="1" applyFill="1" applyAlignment="1">
      <alignment horizontal="center" vertical="center"/>
    </xf>
    <xf numFmtId="0" fontId="13" fillId="0" borderId="14" xfId="0" applyFont="1" applyFill="1" applyBorder="1"/>
    <xf numFmtId="0" fontId="13" fillId="0" borderId="14" xfId="0" applyFont="1" applyFill="1" applyBorder="1" applyAlignment="1">
      <alignment horizontal="center" vertical="center"/>
    </xf>
    <xf numFmtId="174" fontId="13" fillId="0" borderId="14" xfId="0" applyNumberFormat="1" applyFont="1" applyBorder="1"/>
    <xf numFmtId="0" fontId="13" fillId="0" borderId="14" xfId="0" applyFont="1" applyBorder="1" applyAlignment="1">
      <alignment horizontal="center" vertical="center"/>
    </xf>
    <xf numFmtId="10" fontId="13" fillId="0" borderId="14" xfId="0" applyNumberFormat="1" applyFont="1" applyBorder="1"/>
    <xf numFmtId="15" fontId="13" fillId="0" borderId="14" xfId="0" applyNumberFormat="1" applyFont="1" applyBorder="1"/>
    <xf numFmtId="0" fontId="13" fillId="0" borderId="14" xfId="0" applyFont="1" applyBorder="1"/>
    <xf numFmtId="2" fontId="13" fillId="0" borderId="14" xfId="0" applyNumberFormat="1" applyFont="1" applyBorder="1"/>
    <xf numFmtId="0" fontId="13" fillId="0" borderId="14" xfId="0" applyFont="1" applyBorder="1" applyAlignment="1">
      <alignment horizontal="center"/>
    </xf>
    <xf numFmtId="1" fontId="13" fillId="0" borderId="14" xfId="0" applyNumberFormat="1" applyFont="1" applyBorder="1"/>
    <xf numFmtId="9" fontId="13" fillId="0" borderId="14" xfId="0" applyNumberFormat="1" applyFont="1" applyBorder="1"/>
    <xf numFmtId="10" fontId="13" fillId="0" borderId="14" xfId="0" applyNumberFormat="1" applyFont="1" applyBorder="1" applyAlignment="1">
      <alignment horizontal="center" vertical="center"/>
    </xf>
    <xf numFmtId="10" fontId="13" fillId="0" borderId="14" xfId="2" applyNumberFormat="1" applyFont="1" applyBorder="1"/>
    <xf numFmtId="165" fontId="13" fillId="0" borderId="14" xfId="0" applyNumberFormat="1" applyFont="1" applyBorder="1"/>
    <xf numFmtId="0" fontId="13" fillId="0" borderId="0" xfId="0" applyFont="1" applyBorder="1"/>
    <xf numFmtId="39" fontId="13" fillId="0" borderId="14" xfId="0" applyNumberFormat="1" applyFont="1" applyBorder="1"/>
    <xf numFmtId="184" fontId="25" fillId="0" borderId="0" xfId="16" applyNumberFormat="1" applyFont="1" applyBorder="1" applyAlignment="1">
      <alignment vertical="center"/>
    </xf>
    <xf numFmtId="165" fontId="9" fillId="0" borderId="0" xfId="3" applyNumberFormat="1" applyFont="1" applyBorder="1" applyAlignment="1">
      <alignment horizontal="right"/>
    </xf>
    <xf numFmtId="9" fontId="13" fillId="7" borderId="0" xfId="1" applyNumberFormat="1" applyFont="1" applyFill="1"/>
    <xf numFmtId="165" fontId="13" fillId="7" borderId="0" xfId="1" applyFont="1" applyFill="1"/>
    <xf numFmtId="165" fontId="13" fillId="7" borderId="0" xfId="1" applyFont="1" applyFill="1" applyAlignment="1">
      <alignment horizontal="right"/>
    </xf>
    <xf numFmtId="9" fontId="13" fillId="7" borderId="0" xfId="1" applyNumberFormat="1" applyFont="1" applyFill="1" applyAlignment="1">
      <alignment horizontal="right" vertical="center"/>
    </xf>
    <xf numFmtId="9" fontId="13" fillId="7" borderId="0" xfId="1" applyNumberFormat="1" applyFont="1" applyFill="1" applyAlignment="1">
      <alignment horizontal="right"/>
    </xf>
    <xf numFmtId="165" fontId="13" fillId="7" borderId="0" xfId="1" applyFont="1" applyFill="1" applyAlignment="1">
      <alignment horizontal="right" vertical="center"/>
    </xf>
    <xf numFmtId="0" fontId="62" fillId="7" borderId="37" xfId="0" applyFont="1" applyFill="1" applyBorder="1" applyAlignment="1">
      <alignment horizontal="right" vertical="center" wrapText="1"/>
    </xf>
    <xf numFmtId="0" fontId="62" fillId="7" borderId="38" xfId="0" applyFont="1" applyFill="1" applyBorder="1" applyAlignment="1">
      <alignment horizontal="right" vertical="center" wrapText="1"/>
    </xf>
    <xf numFmtId="9" fontId="62" fillId="7" borderId="38" xfId="0" applyNumberFormat="1" applyFont="1" applyFill="1" applyBorder="1" applyAlignment="1">
      <alignment horizontal="right" vertical="center" wrapText="1"/>
    </xf>
    <xf numFmtId="9" fontId="62" fillId="7" borderId="39" xfId="0" applyNumberFormat="1" applyFont="1" applyFill="1" applyBorder="1" applyAlignment="1">
      <alignment horizontal="right" vertical="center" wrapText="1"/>
    </xf>
    <xf numFmtId="9" fontId="62" fillId="7" borderId="40" xfId="0" applyNumberFormat="1" applyFont="1" applyFill="1" applyBorder="1" applyAlignment="1">
      <alignment horizontal="right" vertical="center" wrapText="1"/>
    </xf>
    <xf numFmtId="0" fontId="62" fillId="7" borderId="40" xfId="0" applyFont="1" applyFill="1" applyBorder="1" applyAlignment="1">
      <alignment horizontal="right" vertical="center" wrapText="1"/>
    </xf>
    <xf numFmtId="0" fontId="62" fillId="7" borderId="39" xfId="0" applyFont="1" applyFill="1" applyBorder="1" applyAlignment="1">
      <alignment horizontal="right" vertical="center" wrapText="1"/>
    </xf>
    <xf numFmtId="165" fontId="16" fillId="0" borderId="0" xfId="1" applyFont="1" applyFill="1"/>
    <xf numFmtId="3" fontId="25" fillId="0" borderId="0" xfId="1" applyNumberFormat="1" applyFont="1" applyFill="1" applyBorder="1" applyAlignment="1">
      <alignment horizontal="center" vertical="center" wrapText="1"/>
    </xf>
    <xf numFmtId="3" fontId="13" fillId="0" borderId="0" xfId="0" applyNumberFormat="1" applyFont="1" applyFill="1" applyBorder="1" applyAlignment="1">
      <alignment horizontal="center"/>
    </xf>
    <xf numFmtId="165" fontId="16" fillId="0" borderId="0" xfId="1" applyFont="1" applyFill="1" applyAlignment="1">
      <alignment horizontal="center" vertical="center" wrapText="1"/>
    </xf>
    <xf numFmtId="0" fontId="13" fillId="0" borderId="0" xfId="0" applyFont="1" applyFill="1" applyAlignment="1">
      <alignment wrapText="1"/>
    </xf>
    <xf numFmtId="167" fontId="5" fillId="0" borderId="0" xfId="0" applyNumberFormat="1" applyFont="1" applyFill="1" applyBorder="1" applyAlignment="1">
      <alignment wrapText="1"/>
    </xf>
    <xf numFmtId="182" fontId="18" fillId="0" borderId="0" xfId="18" applyFont="1" applyFill="1" applyBorder="1" applyAlignment="1">
      <alignment vertical="center"/>
    </xf>
    <xf numFmtId="0" fontId="2" fillId="0" borderId="0" xfId="0" applyFont="1" applyFill="1" applyBorder="1" applyAlignment="1">
      <alignment horizontal="right"/>
    </xf>
    <xf numFmtId="10" fontId="25" fillId="2" borderId="0" xfId="16" applyNumberFormat="1" applyFont="1" applyFill="1" applyBorder="1" applyAlignment="1">
      <alignment horizontal="center" vertical="center"/>
    </xf>
    <xf numFmtId="187" fontId="25" fillId="2" borderId="0" xfId="16" applyNumberFormat="1" applyFont="1" applyFill="1" applyBorder="1" applyAlignment="1">
      <alignment vertical="center"/>
    </xf>
    <xf numFmtId="167" fontId="16" fillId="3" borderId="0" xfId="1" applyNumberFormat="1" applyFont="1" applyFill="1" applyAlignment="1">
      <alignment vertical="center"/>
    </xf>
    <xf numFmtId="167" fontId="16" fillId="13" borderId="0" xfId="1" applyNumberFormat="1" applyFont="1" applyFill="1" applyAlignment="1">
      <alignment vertical="center"/>
    </xf>
    <xf numFmtId="165" fontId="25" fillId="0" borderId="0" xfId="1" applyFont="1" applyBorder="1" applyAlignment="1">
      <alignment vertical="center" wrapText="1"/>
    </xf>
    <xf numFmtId="165" fontId="32" fillId="0" borderId="0" xfId="1" applyFont="1" applyFill="1" applyAlignment="1">
      <alignment horizontal="center" vertical="center"/>
    </xf>
    <xf numFmtId="165" fontId="16" fillId="0" borderId="41" xfId="1" applyFont="1" applyBorder="1" applyAlignment="1">
      <alignment wrapText="1"/>
    </xf>
    <xf numFmtId="165" fontId="13" fillId="0" borderId="41" xfId="1" applyFont="1" applyBorder="1" applyAlignment="1">
      <alignment horizontal="center" vertical="center"/>
    </xf>
    <xf numFmtId="0" fontId="13" fillId="0" borderId="0" xfId="0" applyFont="1" applyBorder="1" applyAlignment="1">
      <alignment horizontal="left" vertical="center" wrapText="1"/>
    </xf>
    <xf numFmtId="0" fontId="70" fillId="0" borderId="0" xfId="0" applyFont="1" applyFill="1" applyBorder="1" applyAlignment="1">
      <alignment vertical="center" wrapText="1"/>
    </xf>
    <xf numFmtId="0" fontId="70" fillId="0" borderId="41" xfId="0" applyFont="1" applyFill="1" applyBorder="1" applyAlignment="1">
      <alignment vertical="center" wrapText="1"/>
    </xf>
    <xf numFmtId="0" fontId="13" fillId="0" borderId="0" xfId="0" applyFont="1" applyFill="1" applyBorder="1" applyAlignment="1">
      <alignment horizontal="right" vertical="center" wrapText="1"/>
    </xf>
    <xf numFmtId="0" fontId="13" fillId="0" borderId="0" xfId="0" applyFont="1" applyFill="1" applyBorder="1" applyAlignment="1">
      <alignment horizontal="left" vertical="center" wrapText="1"/>
    </xf>
    <xf numFmtId="187" fontId="16" fillId="15" borderId="0" xfId="0" applyNumberFormat="1" applyFont="1" applyFill="1" applyBorder="1" applyAlignment="1">
      <alignment vertical="center"/>
    </xf>
    <xf numFmtId="187" fontId="13" fillId="15" borderId="0" xfId="0" applyNumberFormat="1" applyFont="1" applyFill="1" applyBorder="1" applyAlignment="1">
      <alignment vertical="center"/>
    </xf>
    <xf numFmtId="187" fontId="16" fillId="13" borderId="0" xfId="0" applyNumberFormat="1" applyFont="1" applyFill="1" applyBorder="1" applyAlignment="1">
      <alignment vertical="center"/>
    </xf>
    <xf numFmtId="187" fontId="13" fillId="13" borderId="0" xfId="0" applyNumberFormat="1" applyFont="1" applyFill="1" applyBorder="1" applyAlignment="1">
      <alignment vertical="center"/>
    </xf>
    <xf numFmtId="187" fontId="13" fillId="3" borderId="0" xfId="0" applyNumberFormat="1" applyFont="1" applyFill="1" applyBorder="1" applyAlignment="1">
      <alignment vertical="center"/>
    </xf>
    <xf numFmtId="187" fontId="16" fillId="3" borderId="0" xfId="0" applyNumberFormat="1" applyFont="1" applyFill="1" applyBorder="1" applyAlignment="1">
      <alignment vertical="center"/>
    </xf>
    <xf numFmtId="0" fontId="70" fillId="0" borderId="41" xfId="0" applyFont="1" applyFill="1" applyBorder="1" applyAlignment="1">
      <alignment horizontal="left" vertical="center"/>
    </xf>
    <xf numFmtId="0" fontId="19" fillId="26" borderId="0" xfId="0" applyFont="1" applyFill="1" applyAlignment="1">
      <alignment vertical="center"/>
    </xf>
    <xf numFmtId="0" fontId="18" fillId="26" borderId="0" xfId="0" applyFont="1" applyFill="1" applyAlignment="1">
      <alignment vertical="center"/>
    </xf>
    <xf numFmtId="0" fontId="18" fillId="26" borderId="0" xfId="0" applyFont="1" applyFill="1" applyAlignment="1">
      <alignment horizontal="center" vertical="center"/>
    </xf>
    <xf numFmtId="4" fontId="70" fillId="35" borderId="22" xfId="0" applyNumberFormat="1" applyFont="1" applyFill="1" applyBorder="1" applyAlignment="1">
      <alignment horizontal="center" vertical="center" wrapText="1"/>
    </xf>
    <xf numFmtId="4" fontId="70" fillId="35" borderId="0" xfId="0" applyNumberFormat="1" applyFont="1" applyFill="1" applyBorder="1" applyAlignment="1">
      <alignment horizontal="center" vertical="center" wrapText="1"/>
    </xf>
    <xf numFmtId="0" fontId="13" fillId="0" borderId="41" xfId="0" applyFont="1" applyBorder="1"/>
    <xf numFmtId="0" fontId="16" fillId="0" borderId="41" xfId="0" applyFont="1" applyBorder="1"/>
    <xf numFmtId="4" fontId="16" fillId="0" borderId="41" xfId="0" applyNumberFormat="1" applyFont="1" applyBorder="1"/>
    <xf numFmtId="3" fontId="39" fillId="0" borderId="41" xfId="0" applyNumberFormat="1" applyFont="1" applyBorder="1"/>
    <xf numFmtId="3" fontId="2" fillId="0" borderId="0" xfId="0" applyNumberFormat="1" applyFont="1" applyBorder="1" applyAlignment="1">
      <alignment horizontal="right"/>
    </xf>
    <xf numFmtId="2" fontId="39" fillId="0" borderId="41" xfId="0" applyNumberFormat="1" applyFont="1" applyBorder="1"/>
    <xf numFmtId="2" fontId="0" fillId="0" borderId="41" xfId="0" applyNumberFormat="1" applyBorder="1"/>
    <xf numFmtId="2" fontId="0" fillId="0" borderId="5" xfId="0" applyNumberFormat="1" applyBorder="1"/>
    <xf numFmtId="165" fontId="9" fillId="4" borderId="0" xfId="1" applyNumberFormat="1" applyFont="1" applyFill="1" applyBorder="1" applyAlignment="1">
      <alignment horizontal="right"/>
    </xf>
    <xf numFmtId="187" fontId="9" fillId="21" borderId="0" xfId="1" applyNumberFormat="1" applyFont="1" applyFill="1" applyBorder="1" applyAlignment="1">
      <alignment horizontal="right"/>
    </xf>
    <xf numFmtId="0" fontId="16" fillId="18" borderId="14" xfId="0" applyFont="1" applyFill="1" applyBorder="1" applyAlignment="1">
      <alignment horizontal="center"/>
    </xf>
    <xf numFmtId="0" fontId="19" fillId="18" borderId="14" xfId="0" applyFont="1" applyFill="1" applyBorder="1" applyAlignment="1">
      <alignment horizontal="center"/>
    </xf>
    <xf numFmtId="9" fontId="69" fillId="9" borderId="0" xfId="0" applyNumberFormat="1" applyFont="1" applyFill="1" applyAlignment="1">
      <alignment horizontal="center"/>
    </xf>
    <xf numFmtId="10" fontId="69" fillId="9" borderId="0" xfId="0" applyNumberFormat="1" applyFont="1" applyFill="1" applyAlignment="1">
      <alignment horizontal="center"/>
    </xf>
    <xf numFmtId="0" fontId="52" fillId="36" borderId="53" xfId="0" applyFont="1" applyFill="1" applyBorder="1" applyAlignment="1">
      <alignment horizontal="center" vertical="center" wrapText="1"/>
    </xf>
    <xf numFmtId="0" fontId="52" fillId="36" borderId="54" xfId="0" applyFont="1" applyFill="1" applyBorder="1" applyAlignment="1">
      <alignment horizontal="center" vertical="center" wrapText="1"/>
    </xf>
    <xf numFmtId="0" fontId="52" fillId="36" borderId="49" xfId="0" applyFont="1" applyFill="1" applyBorder="1" applyAlignment="1">
      <alignment vertical="center"/>
    </xf>
    <xf numFmtId="0" fontId="52" fillId="36" borderId="50" xfId="0" applyFont="1" applyFill="1" applyBorder="1" applyAlignment="1">
      <alignment vertical="center"/>
    </xf>
    <xf numFmtId="0" fontId="52" fillId="36" borderId="51" xfId="0" applyFont="1" applyFill="1" applyBorder="1" applyAlignment="1">
      <alignment vertical="center"/>
    </xf>
    <xf numFmtId="0" fontId="52" fillId="36" borderId="52" xfId="0" applyFont="1" applyFill="1" applyBorder="1" applyAlignment="1">
      <alignment vertical="center"/>
    </xf>
    <xf numFmtId="165" fontId="55" fillId="0" borderId="22" xfId="1" applyFont="1" applyBorder="1" applyAlignment="1">
      <alignment horizontal="center" vertical="center" wrapText="1"/>
    </xf>
    <xf numFmtId="165" fontId="57" fillId="0" borderId="22" xfId="1" applyFont="1" applyBorder="1" applyAlignment="1">
      <alignment horizontal="center" vertical="center" wrapText="1"/>
    </xf>
    <xf numFmtId="167" fontId="39" fillId="0" borderId="5" xfId="0" applyNumberFormat="1" applyFont="1" applyBorder="1"/>
    <xf numFmtId="174" fontId="55" fillId="0" borderId="22" xfId="0" applyNumberFormat="1" applyFont="1" applyBorder="1" applyAlignment="1">
      <alignment horizontal="center" vertical="center" wrapText="1"/>
    </xf>
    <xf numFmtId="1" fontId="55" fillId="0" borderId="22" xfId="0" applyNumberFormat="1" applyFont="1" applyBorder="1" applyAlignment="1">
      <alignment horizontal="center" vertical="center" wrapText="1"/>
    </xf>
    <xf numFmtId="0" fontId="52" fillId="36" borderId="19" xfId="0" applyFont="1" applyFill="1" applyBorder="1" applyAlignment="1">
      <alignment vertical="center" wrapText="1"/>
    </xf>
    <xf numFmtId="190" fontId="0" fillId="0" borderId="0" xfId="0" applyNumberFormat="1"/>
    <xf numFmtId="10" fontId="25" fillId="0" borderId="0" xfId="16" applyNumberFormat="1" applyFont="1" applyFill="1" applyBorder="1" applyAlignment="1">
      <alignment horizontal="center" vertical="center"/>
    </xf>
    <xf numFmtId="165" fontId="16" fillId="0" borderId="0" xfId="1" applyFont="1"/>
    <xf numFmtId="9" fontId="30" fillId="7" borderId="0" xfId="16" applyNumberFormat="1" applyFont="1" applyFill="1" applyBorder="1" applyAlignment="1">
      <alignment horizontal="center" vertical="center" wrapText="1"/>
    </xf>
    <xf numFmtId="2" fontId="13" fillId="0" borderId="0" xfId="0" applyNumberFormat="1" applyFont="1"/>
    <xf numFmtId="0" fontId="16" fillId="0" borderId="0" xfId="0" applyFont="1" applyAlignment="1">
      <alignment horizontal="center"/>
    </xf>
    <xf numFmtId="10" fontId="6" fillId="8" borderId="0" xfId="2" applyNumberFormat="1" applyFont="1" applyFill="1" applyBorder="1"/>
    <xf numFmtId="0" fontId="25" fillId="9" borderId="0" xfId="19" applyFont="1" applyFill="1" applyAlignment="1">
      <alignment horizontal="center" vertical="center"/>
    </xf>
    <xf numFmtId="0" fontId="25" fillId="9" borderId="0" xfId="19" applyFont="1" applyFill="1" applyAlignment="1">
      <alignment vertical="center" wrapText="1"/>
    </xf>
    <xf numFmtId="0" fontId="25" fillId="9" borderId="0" xfId="19" applyFont="1" applyFill="1" applyAlignment="1">
      <alignment vertical="center"/>
    </xf>
    <xf numFmtId="3" fontId="25" fillId="0" borderId="0" xfId="16" applyNumberFormat="1" applyFont="1" applyFill="1" applyAlignment="1">
      <alignment vertical="center"/>
    </xf>
    <xf numFmtId="3" fontId="25" fillId="0" borderId="0" xfId="17" applyNumberFormat="1" applyFont="1" applyFill="1" applyAlignment="1">
      <alignment vertical="center" wrapText="1"/>
    </xf>
    <xf numFmtId="165" fontId="9" fillId="21" borderId="0" xfId="1" applyNumberFormat="1" applyFont="1" applyFill="1" applyBorder="1" applyAlignment="1">
      <alignment horizontal="right"/>
    </xf>
    <xf numFmtId="0" fontId="0" fillId="0" borderId="0" xfId="0" applyAlignment="1">
      <alignment horizontal="center" vertical="center"/>
    </xf>
    <xf numFmtId="2" fontId="13" fillId="0" borderId="0" xfId="0" applyNumberFormat="1" applyFont="1" applyAlignment="1">
      <alignment horizontal="center" vertical="center"/>
    </xf>
    <xf numFmtId="0" fontId="0" fillId="0" borderId="0" xfId="0" applyAlignment="1">
      <alignment horizontal="center" vertical="center" wrapText="1"/>
    </xf>
    <xf numFmtId="1" fontId="73" fillId="0" borderId="22" xfId="0" applyNumberFormat="1" applyFont="1" applyBorder="1" applyAlignment="1">
      <alignment horizontal="center" vertical="center" wrapText="1"/>
    </xf>
    <xf numFmtId="2" fontId="2" fillId="4" borderId="0" xfId="0" applyNumberFormat="1" applyFont="1" applyFill="1" applyBorder="1" applyAlignment="1">
      <alignment horizontal="right" indent="1"/>
    </xf>
    <xf numFmtId="171" fontId="13" fillId="0" borderId="0" xfId="0" applyNumberFormat="1" applyFont="1" applyAlignment="1">
      <alignment horizontal="center" vertical="center"/>
    </xf>
    <xf numFmtId="0" fontId="25" fillId="0" borderId="14" xfId="19" applyFont="1" applyBorder="1" applyAlignment="1">
      <alignment vertical="center" wrapText="1"/>
    </xf>
    <xf numFmtId="176" fontId="49" fillId="0" borderId="0" xfId="16" applyNumberFormat="1" applyFont="1" applyBorder="1" applyAlignment="1">
      <alignment vertical="center" wrapText="1"/>
    </xf>
    <xf numFmtId="10" fontId="0" fillId="0" borderId="0" xfId="0" applyNumberFormat="1"/>
    <xf numFmtId="9" fontId="13" fillId="0" borderId="0" xfId="0" applyNumberFormat="1" applyFont="1"/>
    <xf numFmtId="10" fontId="25" fillId="0" borderId="0" xfId="2" applyNumberFormat="1" applyFont="1" applyFill="1"/>
    <xf numFmtId="10" fontId="25" fillId="8" borderId="0" xfId="2" applyNumberFormat="1" applyFont="1" applyFill="1"/>
    <xf numFmtId="3" fontId="13" fillId="0" borderId="0" xfId="0" applyNumberFormat="1" applyFont="1" applyFill="1" applyAlignment="1">
      <alignment horizontal="center" vertical="center"/>
    </xf>
    <xf numFmtId="0" fontId="18" fillId="0" borderId="0" xfId="0" applyFont="1" applyFill="1" applyBorder="1" applyAlignment="1">
      <alignment horizontal="center" vertical="center"/>
    </xf>
    <xf numFmtId="0" fontId="19" fillId="0" borderId="0" xfId="0" applyFont="1" applyFill="1" applyBorder="1" applyAlignment="1">
      <alignment vertical="center"/>
    </xf>
    <xf numFmtId="0" fontId="19" fillId="0" borderId="0" xfId="0" applyFont="1" applyFill="1" applyBorder="1" applyAlignment="1">
      <alignment horizontal="center" vertical="center"/>
    </xf>
    <xf numFmtId="0" fontId="39" fillId="0" borderId="0" xfId="0" applyFont="1" applyAlignment="1">
      <alignment horizontal="center"/>
    </xf>
    <xf numFmtId="166" fontId="13" fillId="7" borderId="0" xfId="0" applyNumberFormat="1" applyFont="1" applyFill="1" applyBorder="1" applyAlignment="1">
      <alignment horizontal="center" vertical="center"/>
    </xf>
    <xf numFmtId="167" fontId="13" fillId="0" borderId="0" xfId="1" applyNumberFormat="1" applyFont="1" applyFill="1" applyAlignment="1">
      <alignment horizontal="center" vertical="center"/>
    </xf>
    <xf numFmtId="0" fontId="0" fillId="0" borderId="0" xfId="0" applyAlignment="1">
      <alignment horizontal="left"/>
    </xf>
    <xf numFmtId="0" fontId="0" fillId="0" borderId="0" xfId="0" applyAlignment="1">
      <alignment horizontal="left" vertical="center"/>
    </xf>
    <xf numFmtId="1" fontId="0" fillId="0" borderId="0" xfId="0" applyNumberFormat="1"/>
    <xf numFmtId="1" fontId="25" fillId="0" borderId="0" xfId="19" applyNumberFormat="1" applyFont="1" applyFill="1" applyBorder="1" applyAlignment="1">
      <alignment vertical="center" wrapText="1"/>
    </xf>
    <xf numFmtId="3" fontId="25" fillId="0" borderId="0" xfId="16" applyNumberFormat="1" applyFont="1" applyBorder="1" applyAlignment="1">
      <alignment vertical="center"/>
    </xf>
    <xf numFmtId="0" fontId="52" fillId="36" borderId="18" xfId="0" applyFont="1" applyFill="1" applyBorder="1" applyAlignment="1">
      <alignment horizontal="center" vertical="center"/>
    </xf>
    <xf numFmtId="0" fontId="55" fillId="0" borderId="22" xfId="0" applyFont="1" applyBorder="1" applyAlignment="1">
      <alignment horizontal="center" vertical="center"/>
    </xf>
    <xf numFmtId="0" fontId="71" fillId="0" borderId="22" xfId="0" applyFont="1" applyBorder="1" applyAlignment="1">
      <alignment horizontal="center" vertical="center"/>
    </xf>
    <xf numFmtId="0" fontId="57" fillId="0" borderId="22" xfId="0" applyFont="1" applyBorder="1" applyAlignment="1">
      <alignment horizontal="center" vertical="center"/>
    </xf>
    <xf numFmtId="1" fontId="57" fillId="0" borderId="22" xfId="0" applyNumberFormat="1" applyFont="1" applyBorder="1" applyAlignment="1">
      <alignment horizontal="center" vertical="center" wrapText="1"/>
    </xf>
    <xf numFmtId="3" fontId="25" fillId="0" borderId="0" xfId="19" applyNumberFormat="1" applyFont="1" applyBorder="1" applyAlignment="1">
      <alignment vertical="center"/>
    </xf>
    <xf numFmtId="4"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xf>
    <xf numFmtId="167" fontId="13" fillId="0" borderId="0" xfId="1" applyNumberFormat="1" applyFont="1" applyFill="1" applyBorder="1" applyAlignment="1">
      <alignment vertical="center"/>
    </xf>
    <xf numFmtId="167" fontId="0" fillId="0" borderId="0" xfId="0" applyNumberFormat="1"/>
    <xf numFmtId="3" fontId="13" fillId="0" borderId="0" xfId="0" applyNumberFormat="1" applyFont="1" applyFill="1" applyBorder="1" applyAlignment="1">
      <alignment vertical="center"/>
    </xf>
    <xf numFmtId="3" fontId="57" fillId="0" borderId="0" xfId="0" applyNumberFormat="1" applyFont="1" applyFill="1" applyBorder="1" applyAlignment="1">
      <alignment horizontal="center" vertical="center" wrapText="1"/>
    </xf>
    <xf numFmtId="3" fontId="57" fillId="0" borderId="0" xfId="0" applyNumberFormat="1" applyFont="1" applyFill="1" applyBorder="1" applyAlignment="1">
      <alignment horizontal="center" vertical="center"/>
    </xf>
    <xf numFmtId="181" fontId="6" fillId="28" borderId="0" xfId="0" applyNumberFormat="1" applyFont="1" applyFill="1" applyBorder="1" applyAlignment="1">
      <alignment horizontal="center" vertical="center"/>
    </xf>
    <xf numFmtId="174" fontId="13" fillId="0" borderId="0" xfId="0" applyNumberFormat="1" applyFont="1"/>
    <xf numFmtId="2" fontId="13" fillId="0" borderId="0" xfId="2" applyNumberFormat="1" applyFont="1"/>
    <xf numFmtId="2" fontId="25" fillId="7" borderId="0" xfId="0" applyNumberFormat="1" applyFont="1" applyFill="1" applyAlignment="1">
      <alignment horizontal="center" vertical="center"/>
    </xf>
    <xf numFmtId="1" fontId="13" fillId="8" borderId="0" xfId="0" applyNumberFormat="1" applyFont="1" applyFill="1" applyAlignment="1">
      <alignment horizontal="center" vertical="center"/>
    </xf>
    <xf numFmtId="2" fontId="16" fillId="0" borderId="0" xfId="2" applyNumberFormat="1" applyFont="1"/>
    <xf numFmtId="39" fontId="13" fillId="0" borderId="0" xfId="0" applyNumberFormat="1" applyFont="1" applyAlignment="1">
      <alignment horizontal="center" vertical="center"/>
    </xf>
    <xf numFmtId="167" fontId="25" fillId="0" borderId="0" xfId="1" applyNumberFormat="1" applyFont="1" applyFill="1" applyBorder="1" applyAlignment="1">
      <alignment horizontal="center" vertical="center" wrapText="1"/>
    </xf>
    <xf numFmtId="167" fontId="13" fillId="0" borderId="0" xfId="1" applyNumberFormat="1" applyFont="1" applyFill="1"/>
    <xf numFmtId="3" fontId="57" fillId="0" borderId="0" xfId="0" applyNumberFormat="1" applyFont="1" applyBorder="1" applyAlignment="1">
      <alignment horizontal="right" vertical="center"/>
    </xf>
    <xf numFmtId="3" fontId="55" fillId="0" borderId="0" xfId="0" applyNumberFormat="1" applyFont="1" applyBorder="1" applyAlignment="1">
      <alignment horizontal="right" vertical="center"/>
    </xf>
    <xf numFmtId="0" fontId="55" fillId="0" borderId="0" xfId="0" applyFont="1" applyBorder="1" applyAlignment="1">
      <alignment horizontal="right" vertical="center"/>
    </xf>
    <xf numFmtId="0" fontId="52" fillId="36" borderId="51" xfId="0" applyFont="1" applyFill="1" applyBorder="1" applyAlignment="1">
      <alignment horizontal="center" vertical="center" wrapText="1"/>
    </xf>
    <xf numFmtId="0" fontId="52" fillId="36" borderId="52" xfId="0" applyFont="1" applyFill="1" applyBorder="1" applyAlignment="1">
      <alignment horizontal="center" vertical="center" wrapText="1"/>
    </xf>
    <xf numFmtId="0" fontId="55" fillId="0" borderId="22" xfId="0" applyFont="1" applyBorder="1" applyAlignment="1">
      <alignment horizontal="right" vertical="center" wrapText="1"/>
    </xf>
    <xf numFmtId="0" fontId="55" fillId="0" borderId="22" xfId="0" applyFont="1" applyBorder="1" applyAlignment="1">
      <alignment horizontal="right" vertical="center"/>
    </xf>
    <xf numFmtId="191" fontId="0" fillId="0" borderId="0" xfId="0" applyNumberFormat="1"/>
    <xf numFmtId="167" fontId="55" fillId="0" borderId="22" xfId="1" applyNumberFormat="1" applyFont="1" applyBorder="1" applyAlignment="1">
      <alignment horizontal="right" vertical="center" wrapText="1"/>
    </xf>
    <xf numFmtId="167" fontId="55" fillId="0" borderId="22" xfId="1" applyNumberFormat="1" applyFont="1" applyBorder="1" applyAlignment="1">
      <alignment horizontal="right" vertical="center"/>
    </xf>
    <xf numFmtId="167" fontId="57" fillId="0" borderId="22" xfId="1" applyNumberFormat="1" applyFont="1" applyBorder="1" applyAlignment="1">
      <alignment horizontal="right" vertical="center" wrapText="1"/>
    </xf>
    <xf numFmtId="167" fontId="57" fillId="0" borderId="22" xfId="1" applyNumberFormat="1" applyFont="1" applyBorder="1" applyAlignment="1">
      <alignment horizontal="right" vertical="center"/>
    </xf>
    <xf numFmtId="181" fontId="13" fillId="2" borderId="0" xfId="0" applyNumberFormat="1" applyFont="1" applyFill="1" applyBorder="1" applyAlignment="1">
      <alignment horizontal="center" vertical="center"/>
    </xf>
    <xf numFmtId="0" fontId="68" fillId="26" borderId="27" xfId="0" applyFont="1" applyFill="1" applyBorder="1" applyAlignment="1">
      <alignment horizontal="center" vertical="center"/>
    </xf>
    <xf numFmtId="0" fontId="68" fillId="26" borderId="0" xfId="0" applyFont="1" applyFill="1" applyBorder="1" applyAlignment="1">
      <alignment horizontal="center" vertical="center"/>
    </xf>
    <xf numFmtId="0" fontId="68" fillId="26" borderId="28" xfId="0" applyFont="1" applyFill="1" applyBorder="1" applyAlignment="1">
      <alignment horizontal="center" vertical="center"/>
    </xf>
    <xf numFmtId="1" fontId="18" fillId="6" borderId="0" xfId="4" applyNumberFormat="1" applyFont="1" applyFill="1" applyAlignment="1">
      <alignment horizontal="center"/>
    </xf>
    <xf numFmtId="0" fontId="74" fillId="0" borderId="55" xfId="0" applyFont="1" applyBorder="1" applyAlignment="1">
      <alignment horizontal="center" vertical="center" wrapText="1"/>
    </xf>
    <xf numFmtId="0" fontId="74" fillId="0" borderId="56" xfId="0" applyFont="1" applyBorder="1" applyAlignment="1">
      <alignment horizontal="center" vertical="center" wrapText="1"/>
    </xf>
    <xf numFmtId="0" fontId="74" fillId="0" borderId="57" xfId="0" applyFont="1" applyBorder="1" applyAlignment="1">
      <alignment horizontal="center" vertical="center" wrapText="1"/>
    </xf>
    <xf numFmtId="0" fontId="52" fillId="36" borderId="49" xfId="0" applyFont="1" applyFill="1" applyBorder="1" applyAlignment="1">
      <alignment horizontal="center" vertical="center"/>
    </xf>
    <xf numFmtId="0" fontId="52" fillId="36" borderId="50" xfId="0" applyFont="1" applyFill="1" applyBorder="1" applyAlignment="1">
      <alignment horizontal="center" vertical="center"/>
    </xf>
    <xf numFmtId="0" fontId="52" fillId="36" borderId="51" xfId="0" applyFont="1" applyFill="1" applyBorder="1" applyAlignment="1">
      <alignment horizontal="center" vertical="center" wrapText="1"/>
    </xf>
    <xf numFmtId="0" fontId="52" fillId="36" borderId="52" xfId="0" applyFont="1" applyFill="1" applyBorder="1" applyAlignment="1">
      <alignment horizontal="center" vertical="center" wrapText="1"/>
    </xf>
    <xf numFmtId="0" fontId="52" fillId="36" borderId="53" xfId="0" applyFont="1" applyFill="1" applyBorder="1" applyAlignment="1">
      <alignment horizontal="center" vertical="center"/>
    </xf>
    <xf numFmtId="0" fontId="52" fillId="36" borderId="54" xfId="0" applyFont="1" applyFill="1" applyBorder="1" applyAlignment="1">
      <alignment horizontal="center" vertical="center"/>
    </xf>
    <xf numFmtId="0" fontId="19" fillId="26" borderId="0" xfId="0" applyFont="1" applyFill="1" applyAlignment="1">
      <alignment horizontal="center"/>
    </xf>
    <xf numFmtId="0" fontId="19" fillId="18" borderId="14" xfId="0" applyFont="1" applyFill="1" applyBorder="1" applyAlignment="1">
      <alignment horizontal="center"/>
    </xf>
    <xf numFmtId="0" fontId="19" fillId="18" borderId="48" xfId="0" applyFont="1" applyFill="1" applyBorder="1" applyAlignment="1">
      <alignment horizontal="center"/>
    </xf>
    <xf numFmtId="0" fontId="19" fillId="18" borderId="1" xfId="0" applyFont="1" applyFill="1" applyBorder="1" applyAlignment="1">
      <alignment horizontal="center"/>
    </xf>
    <xf numFmtId="0" fontId="19" fillId="18" borderId="13" xfId="0" applyFont="1" applyFill="1" applyBorder="1" applyAlignment="1">
      <alignment horizontal="center"/>
    </xf>
    <xf numFmtId="165" fontId="9" fillId="12" borderId="0" xfId="1" applyFont="1" applyFill="1" applyBorder="1" applyAlignment="1">
      <alignment horizontal="center"/>
    </xf>
  </cellXfs>
  <cellStyles count="25">
    <cellStyle name="Comma" xfId="1" builtinId="3"/>
    <cellStyle name="Comma 2" xfId="7" xr:uid="{B081F397-C3D6-4365-A541-FD781478B120}"/>
    <cellStyle name="Comma 2 2" xfId="14" xr:uid="{8BC08DFF-E18D-4288-B873-C016980E3D3A}"/>
    <cellStyle name="Comma 3" xfId="9" xr:uid="{23F53B98-B82F-457F-BAA8-78C81DA23D53}"/>
    <cellStyle name="Comma 3 2" xfId="18" xr:uid="{61719B75-25D4-49CB-A79E-EAED0093D2EE}"/>
    <cellStyle name="Comma 3 5" xfId="6" xr:uid="{E78566DB-5BB0-4526-929B-35B52F25BE16}"/>
    <cellStyle name="Comma 4" xfId="11" xr:uid="{6624963A-6A0C-436B-BAED-7CD26E5AA3F4}"/>
    <cellStyle name="Comma 5" xfId="23" xr:uid="{E7381D81-C973-4655-AE03-37839689A13E}"/>
    <cellStyle name="Currency" xfId="24" builtinId="4"/>
    <cellStyle name="Currency 2" xfId="15" xr:uid="{7AF00294-3C45-4941-9022-B09C910C375A}"/>
    <cellStyle name="Input" xfId="13" builtinId="20"/>
    <cellStyle name="Normal" xfId="0" builtinId="0"/>
    <cellStyle name="Normal 10" xfId="5" xr:uid="{32BCA5F8-47D3-44B2-92E3-14D70CB38C5B}"/>
    <cellStyle name="Normal 2" xfId="4" xr:uid="{AF4AE5E2-06E3-49EE-AD16-7B15AABB85BB}"/>
    <cellStyle name="Normal 2 2" xfId="16" xr:uid="{3D0DB05A-ECD7-4B4E-8173-75FC7CA3A19D}"/>
    <cellStyle name="Normal 2 2 2" xfId="19" xr:uid="{1662FB14-7E56-45BA-9BA7-0747AF09A34A}"/>
    <cellStyle name="Normal 2 3" xfId="3" xr:uid="{6A9A5FE9-A4F9-466C-AB28-B190D82A4C9D}"/>
    <cellStyle name="Normal 2 4" xfId="12" xr:uid="{040FAD3F-C0B2-49E9-A6CC-ADAA8826ABC6}"/>
    <cellStyle name="Normal 3" xfId="8" xr:uid="{A21ECE7C-98A4-412A-81D1-AEDBCF6FE971}"/>
    <cellStyle name="Normal_Offer of Final Copy (2) of workingr of BOM20-1-10 and cable size-" xfId="17" xr:uid="{B59C5AAB-35FF-4423-A8C4-F034BAB86DF8}"/>
    <cellStyle name="Normal_Offer of Final Copy (2) of workingr of BOM20-1-10 and cable size- 2" xfId="20" xr:uid="{6F0B4473-0CF7-413A-A7FD-93B99DD9EDF1}"/>
    <cellStyle name="Percent" xfId="2" builtinId="5"/>
    <cellStyle name="Percent 2" xfId="10" xr:uid="{D8FE79AA-0C8A-4372-AD1B-B3C846180F95}"/>
    <cellStyle name="Percent 3" xfId="21" xr:uid="{934B89FE-E63B-4F70-A94E-F03AE5C45936}"/>
    <cellStyle name="Percent 4" xfId="22" xr:uid="{8DB05B76-A006-4DF7-8971-BE0BC8D591B9}"/>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mailto:NPV@" TargetMode="External"/><Relationship Id="rId1" Type="http://schemas.openxmlformats.org/officeDocument/2006/relationships/hyperlink" Target="mailto:NPV@"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5ECE2-8050-4ED1-83E2-2509C8CA5014}">
  <dimension ref="C2:Q18"/>
  <sheetViews>
    <sheetView showGridLines="0" showRowColHeaders="0" topLeftCell="B1" zoomScale="120" zoomScaleNormal="120" workbookViewId="0">
      <selection activeCell="B1" sqref="B1"/>
    </sheetView>
  </sheetViews>
  <sheetFormatPr defaultRowHeight="14.5" x14ac:dyDescent="0.35"/>
  <sheetData>
    <row r="2" spans="3:17" ht="15" thickBot="1" x14ac:dyDescent="0.4"/>
    <row r="3" spans="3:17" x14ac:dyDescent="0.35">
      <c r="C3" s="1048"/>
      <c r="D3" s="1049"/>
      <c r="E3" s="1049"/>
      <c r="F3" s="1049"/>
      <c r="G3" s="1049"/>
      <c r="H3" s="1049"/>
      <c r="I3" s="1049"/>
      <c r="J3" s="1049"/>
      <c r="K3" s="1049"/>
      <c r="L3" s="1049"/>
      <c r="M3" s="1049"/>
      <c r="N3" s="1049"/>
      <c r="O3" s="1049"/>
      <c r="P3" s="1049"/>
      <c r="Q3" s="1050"/>
    </row>
    <row r="4" spans="3:17" x14ac:dyDescent="0.35">
      <c r="C4" s="1051"/>
      <c r="D4" s="964"/>
      <c r="E4" s="964"/>
      <c r="F4" s="964"/>
      <c r="G4" s="964"/>
      <c r="H4" s="964"/>
      <c r="I4" s="964"/>
      <c r="J4" s="964"/>
      <c r="K4" s="964"/>
      <c r="L4" s="964"/>
      <c r="M4" s="964"/>
      <c r="N4" s="964"/>
      <c r="O4" s="964"/>
      <c r="P4" s="964"/>
      <c r="Q4" s="1052"/>
    </row>
    <row r="5" spans="3:17" x14ac:dyDescent="0.35">
      <c r="C5" s="1051"/>
      <c r="D5" s="964"/>
      <c r="E5" s="964"/>
      <c r="F5" s="964"/>
      <c r="G5" s="964"/>
      <c r="H5" s="964"/>
      <c r="I5" s="964"/>
      <c r="J5" s="964"/>
      <c r="K5" s="964"/>
      <c r="L5" s="964"/>
      <c r="M5" s="964"/>
      <c r="N5" s="964"/>
      <c r="O5" s="964"/>
      <c r="P5" s="964"/>
      <c r="Q5" s="1052"/>
    </row>
    <row r="6" spans="3:17" x14ac:dyDescent="0.35">
      <c r="C6" s="1051"/>
      <c r="D6" s="964"/>
      <c r="E6" s="964"/>
      <c r="F6" s="964"/>
      <c r="G6" s="964"/>
      <c r="H6" s="964"/>
      <c r="I6" s="964"/>
      <c r="J6" s="964"/>
      <c r="K6" s="964"/>
      <c r="L6" s="964"/>
      <c r="M6" s="964"/>
      <c r="N6" s="964"/>
      <c r="O6" s="964"/>
      <c r="P6" s="964"/>
      <c r="Q6" s="1052"/>
    </row>
    <row r="7" spans="3:17" x14ac:dyDescent="0.35">
      <c r="C7" s="1051"/>
      <c r="D7" s="964"/>
      <c r="E7" s="964"/>
      <c r="F7" s="964"/>
      <c r="G7" s="964"/>
      <c r="H7" s="964"/>
      <c r="I7" s="964"/>
      <c r="J7" s="964"/>
      <c r="K7" s="964"/>
      <c r="L7" s="964"/>
      <c r="M7" s="964"/>
      <c r="N7" s="964"/>
      <c r="O7" s="964"/>
      <c r="P7" s="964"/>
      <c r="Q7" s="1052"/>
    </row>
    <row r="8" spans="3:17" x14ac:dyDescent="0.35">
      <c r="C8" s="1051"/>
      <c r="D8" s="964"/>
      <c r="E8" s="964"/>
      <c r="F8" s="964"/>
      <c r="G8" s="964"/>
      <c r="H8" s="964"/>
      <c r="I8" s="964"/>
      <c r="J8" s="964"/>
      <c r="K8" s="964"/>
      <c r="L8" s="964"/>
      <c r="M8" s="964"/>
      <c r="N8" s="964"/>
      <c r="O8" s="964"/>
      <c r="P8" s="964"/>
      <c r="Q8" s="1052"/>
    </row>
    <row r="9" spans="3:17" x14ac:dyDescent="0.35">
      <c r="C9" s="1051"/>
      <c r="D9" s="964"/>
      <c r="E9" s="964"/>
      <c r="F9" s="964"/>
      <c r="G9" s="964"/>
      <c r="H9" s="964"/>
      <c r="I9" s="964"/>
      <c r="J9" s="964"/>
      <c r="K9" s="964"/>
      <c r="L9" s="964"/>
      <c r="M9" s="964"/>
      <c r="N9" s="964"/>
      <c r="O9" s="964"/>
      <c r="P9" s="964"/>
      <c r="Q9" s="1052"/>
    </row>
    <row r="10" spans="3:17" ht="23" customHeight="1" x14ac:dyDescent="0.35">
      <c r="C10" s="1262" t="s">
        <v>1120</v>
      </c>
      <c r="D10" s="1263"/>
      <c r="E10" s="1263"/>
      <c r="F10" s="1263"/>
      <c r="G10" s="1263"/>
      <c r="H10" s="1263"/>
      <c r="I10" s="1263"/>
      <c r="J10" s="1263"/>
      <c r="K10" s="1263"/>
      <c r="L10" s="1263"/>
      <c r="M10" s="1263"/>
      <c r="N10" s="1263"/>
      <c r="O10" s="1263"/>
      <c r="P10" s="1263"/>
      <c r="Q10" s="1264"/>
    </row>
    <row r="11" spans="3:17" x14ac:dyDescent="0.35">
      <c r="C11" s="1053"/>
      <c r="D11" s="1054"/>
      <c r="E11" s="1054"/>
      <c r="F11" s="1057"/>
      <c r="G11" s="1057"/>
      <c r="H11" s="1057"/>
      <c r="I11" s="1059"/>
      <c r="J11" s="1059"/>
      <c r="K11" s="1059"/>
      <c r="L11" s="1061"/>
      <c r="M11" s="1061"/>
      <c r="N11" s="1061"/>
      <c r="O11" s="1064"/>
      <c r="P11" s="1064"/>
      <c r="Q11" s="1065"/>
    </row>
    <row r="12" spans="3:17" x14ac:dyDescent="0.35">
      <c r="C12" s="1053"/>
      <c r="D12" s="1054"/>
      <c r="E12" s="1054"/>
      <c r="F12" s="1057"/>
      <c r="G12" s="1057"/>
      <c r="H12" s="1057"/>
      <c r="I12" s="1059"/>
      <c r="J12" s="1059"/>
      <c r="K12" s="1059"/>
      <c r="L12" s="1061"/>
      <c r="M12" s="1061"/>
      <c r="N12" s="1061"/>
      <c r="O12" s="1064"/>
      <c r="P12" s="1064"/>
      <c r="Q12" s="1065"/>
    </row>
    <row r="13" spans="3:17" x14ac:dyDescent="0.35">
      <c r="C13" s="1053"/>
      <c r="D13" s="1054"/>
      <c r="E13" s="1054"/>
      <c r="F13" s="1057"/>
      <c r="G13" s="1057"/>
      <c r="H13" s="1057"/>
      <c r="I13" s="1059"/>
      <c r="J13" s="1059"/>
      <c r="K13" s="1059"/>
      <c r="L13" s="1061"/>
      <c r="M13" s="1061"/>
      <c r="N13" s="1061"/>
      <c r="O13" s="1064"/>
      <c r="P13" s="1064"/>
      <c r="Q13" s="1065"/>
    </row>
    <row r="14" spans="3:17" x14ac:dyDescent="0.35">
      <c r="C14" s="1053"/>
      <c r="D14" s="1054"/>
      <c r="E14" s="1054"/>
      <c r="F14" s="1057"/>
      <c r="G14" s="1057"/>
      <c r="H14" s="1057"/>
      <c r="I14" s="1059"/>
      <c r="J14" s="1059"/>
      <c r="K14" s="1059"/>
      <c r="L14" s="1061"/>
      <c r="M14" s="1061"/>
      <c r="N14" s="1061"/>
      <c r="O14" s="1064"/>
      <c r="P14" s="1064"/>
      <c r="Q14" s="1065"/>
    </row>
    <row r="15" spans="3:17" x14ac:dyDescent="0.35">
      <c r="C15" s="1053"/>
      <c r="D15" s="1054"/>
      <c r="E15" s="1054"/>
      <c r="F15" s="1057"/>
      <c r="G15" s="1057"/>
      <c r="H15" s="1057"/>
      <c r="I15" s="1059"/>
      <c r="J15" s="1059"/>
      <c r="K15" s="1059"/>
      <c r="L15" s="1061"/>
      <c r="M15" s="1061"/>
      <c r="N15" s="1062"/>
      <c r="O15" s="1064"/>
      <c r="P15" s="1064"/>
      <c r="Q15" s="1065"/>
    </row>
    <row r="16" spans="3:17" x14ac:dyDescent="0.35">
      <c r="C16" s="1053"/>
      <c r="D16" s="1054"/>
      <c r="E16" s="1054"/>
      <c r="F16" s="1057"/>
      <c r="G16" s="1057"/>
      <c r="H16" s="1057"/>
      <c r="I16" s="1059"/>
      <c r="J16" s="1059"/>
      <c r="K16" s="1059"/>
      <c r="L16" s="1061"/>
      <c r="M16" s="1061"/>
      <c r="N16" s="1061"/>
      <c r="O16" s="1064"/>
      <c r="P16" s="1064"/>
      <c r="Q16" s="1065"/>
    </row>
    <row r="17" spans="3:17" x14ac:dyDescent="0.35">
      <c r="C17" s="1053"/>
      <c r="D17" s="1054"/>
      <c r="E17" s="1054"/>
      <c r="F17" s="1057"/>
      <c r="G17" s="1057"/>
      <c r="H17" s="1057"/>
      <c r="I17" s="1059"/>
      <c r="J17" s="1059"/>
      <c r="K17" s="1059"/>
      <c r="L17" s="1061"/>
      <c r="M17" s="1061"/>
      <c r="N17" s="1061"/>
      <c r="O17" s="1064"/>
      <c r="P17" s="1064"/>
      <c r="Q17" s="1065"/>
    </row>
    <row r="18" spans="3:17" ht="15" thickBot="1" x14ac:dyDescent="0.4">
      <c r="C18" s="1055"/>
      <c r="D18" s="1056"/>
      <c r="E18" s="1056"/>
      <c r="F18" s="1058"/>
      <c r="G18" s="1058"/>
      <c r="H18" s="1058"/>
      <c r="I18" s="1060"/>
      <c r="J18" s="1060"/>
      <c r="K18" s="1060"/>
      <c r="L18" s="1063"/>
      <c r="M18" s="1063"/>
      <c r="N18" s="1063"/>
      <c r="O18" s="1066"/>
      <c r="P18" s="1066"/>
      <c r="Q18" s="1067"/>
    </row>
  </sheetData>
  <mergeCells count="1">
    <mergeCell ref="C10:Q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3A4C6-614A-43EE-A6A5-C58C8D5BE413}">
  <sheetPr>
    <tabColor theme="7" tint="0.79998168889431442"/>
  </sheetPr>
  <dimension ref="A1:L50"/>
  <sheetViews>
    <sheetView showGridLines="0" zoomScale="90" zoomScaleNormal="90" workbookViewId="0">
      <selection activeCell="L17" sqref="L17"/>
    </sheetView>
  </sheetViews>
  <sheetFormatPr defaultColWidth="8.90625" defaultRowHeight="12" x14ac:dyDescent="0.3"/>
  <cols>
    <col min="1" max="6" width="8.90625" style="10"/>
    <col min="7" max="8" width="9.36328125" style="10" bestFit="1" customWidth="1"/>
    <col min="9" max="9" width="8.90625" style="10"/>
    <col min="10" max="10" width="10.6328125" style="10" bestFit="1" customWidth="1"/>
    <col min="11" max="16384" width="8.90625" style="10"/>
  </cols>
  <sheetData>
    <row r="1" spans="1:12" x14ac:dyDescent="0.3">
      <c r="A1" s="86" t="s">
        <v>394</v>
      </c>
      <c r="B1" s="86"/>
      <c r="C1" s="86"/>
      <c r="D1" s="86"/>
      <c r="E1" s="86"/>
      <c r="F1" s="86"/>
      <c r="G1" s="86"/>
      <c r="H1" s="86"/>
      <c r="I1" s="86"/>
      <c r="J1" s="86"/>
      <c r="K1" s="86"/>
      <c r="L1" s="86" t="s">
        <v>897</v>
      </c>
    </row>
    <row r="2" spans="1:12" x14ac:dyDescent="0.3">
      <c r="A2" s="87"/>
      <c r="B2" s="87" t="s">
        <v>395</v>
      </c>
      <c r="C2" s="87" t="s">
        <v>396</v>
      </c>
      <c r="D2" s="87" t="s">
        <v>397</v>
      </c>
      <c r="E2" s="87" t="s">
        <v>398</v>
      </c>
      <c r="F2" s="87" t="s">
        <v>399</v>
      </c>
      <c r="G2" s="87" t="s">
        <v>400</v>
      </c>
      <c r="H2" s="87" t="s">
        <v>401</v>
      </c>
      <c r="I2" s="87"/>
      <c r="J2" s="87"/>
      <c r="K2" s="87"/>
      <c r="L2" s="87"/>
    </row>
    <row r="3" spans="1:12" x14ac:dyDescent="0.3">
      <c r="A3" s="87"/>
      <c r="B3" s="87" t="s">
        <v>402</v>
      </c>
      <c r="C3" s="87" t="s">
        <v>402</v>
      </c>
      <c r="D3" s="87" t="s">
        <v>403</v>
      </c>
      <c r="E3" s="87" t="s">
        <v>402</v>
      </c>
      <c r="F3" s="87" t="s">
        <v>402</v>
      </c>
      <c r="G3" s="87" t="s">
        <v>404</v>
      </c>
      <c r="H3" s="87" t="s">
        <v>404</v>
      </c>
      <c r="I3" s="87" t="s">
        <v>405</v>
      </c>
      <c r="J3" s="87" t="s">
        <v>406</v>
      </c>
      <c r="K3" s="87" t="s">
        <v>407</v>
      </c>
      <c r="L3" s="87" t="s">
        <v>2</v>
      </c>
    </row>
    <row r="4" spans="1:12" x14ac:dyDescent="0.3">
      <c r="A4" s="1" t="s">
        <v>408</v>
      </c>
      <c r="B4" s="1">
        <v>121.6</v>
      </c>
      <c r="C4" s="1">
        <v>63.7</v>
      </c>
      <c r="D4" s="1">
        <v>17.100000000000001</v>
      </c>
      <c r="E4" s="1">
        <v>129.4</v>
      </c>
      <c r="F4" s="1">
        <v>120.5</v>
      </c>
      <c r="G4" s="643">
        <v>26234</v>
      </c>
      <c r="H4" s="643">
        <v>24195</v>
      </c>
      <c r="I4" s="1">
        <v>0.76700000000000002</v>
      </c>
      <c r="J4" s="4">
        <v>180.41800000000001</v>
      </c>
      <c r="K4" s="4">
        <v>31</v>
      </c>
      <c r="L4" s="84">
        <f>H4/J4/(24*K4)</f>
        <v>0.18024898452661364</v>
      </c>
    </row>
    <row r="5" spans="1:12" x14ac:dyDescent="0.3">
      <c r="A5" s="1" t="s">
        <v>409</v>
      </c>
      <c r="B5" s="1">
        <v>137.5</v>
      </c>
      <c r="C5" s="1">
        <v>61.8</v>
      </c>
      <c r="D5" s="1">
        <v>21</v>
      </c>
      <c r="E5" s="1">
        <v>144.6</v>
      </c>
      <c r="F5" s="1">
        <v>135.4</v>
      </c>
      <c r="G5" s="643">
        <v>29173</v>
      </c>
      <c r="H5" s="643">
        <v>28629</v>
      </c>
      <c r="I5" s="1">
        <v>0.81200000000000006</v>
      </c>
      <c r="J5" s="83">
        <f>J4</f>
        <v>180.41800000000001</v>
      </c>
      <c r="K5" s="4">
        <v>28</v>
      </c>
      <c r="L5" s="84">
        <f t="shared" ref="L5:L15" si="0">H5/J5/(24*K5)</f>
        <v>0.23613319386884107</v>
      </c>
    </row>
    <row r="6" spans="1:12" x14ac:dyDescent="0.3">
      <c r="A6" s="1" t="s">
        <v>410</v>
      </c>
      <c r="B6" s="1">
        <v>182.8</v>
      </c>
      <c r="C6" s="1">
        <v>77.599999999999994</v>
      </c>
      <c r="D6" s="1">
        <v>26.1</v>
      </c>
      <c r="E6" s="1">
        <v>188.7</v>
      </c>
      <c r="F6" s="1">
        <v>177.3</v>
      </c>
      <c r="G6" s="643">
        <v>37507</v>
      </c>
      <c r="H6" s="643">
        <v>36770</v>
      </c>
      <c r="I6" s="1">
        <v>0.79900000000000004</v>
      </c>
      <c r="J6" s="83">
        <f t="shared" ref="J6:J16" si="1">J5</f>
        <v>180.41800000000001</v>
      </c>
      <c r="K6" s="4">
        <v>31</v>
      </c>
      <c r="L6" s="84">
        <f>H6/J6/(24*K6)</f>
        <v>0.2739307774764862</v>
      </c>
    </row>
    <row r="7" spans="1:12" x14ac:dyDescent="0.3">
      <c r="A7" s="1" t="s">
        <v>411</v>
      </c>
      <c r="B7" s="1">
        <v>189.6</v>
      </c>
      <c r="C7" s="1">
        <v>87.2</v>
      </c>
      <c r="D7" s="1">
        <v>29.9</v>
      </c>
      <c r="E7" s="1">
        <v>191.9</v>
      </c>
      <c r="F7" s="1">
        <v>180.4</v>
      </c>
      <c r="G7" s="643">
        <v>37626</v>
      </c>
      <c r="H7" s="643">
        <v>36889</v>
      </c>
      <c r="I7" s="1">
        <v>0.78800000000000003</v>
      </c>
      <c r="J7" s="83">
        <f t="shared" si="1"/>
        <v>180.41800000000001</v>
      </c>
      <c r="K7" s="4">
        <v>30</v>
      </c>
      <c r="L7" s="84">
        <f t="shared" si="0"/>
        <v>0.28397788592170525</v>
      </c>
    </row>
    <row r="8" spans="1:12" x14ac:dyDescent="0.3">
      <c r="A8" s="1" t="s">
        <v>412</v>
      </c>
      <c r="B8" s="1">
        <v>182.3</v>
      </c>
      <c r="C8" s="1">
        <v>101.1</v>
      </c>
      <c r="D8" s="1">
        <v>30.7</v>
      </c>
      <c r="E8" s="1">
        <v>181.9</v>
      </c>
      <c r="F8" s="1">
        <v>170.6</v>
      </c>
      <c r="G8" s="643">
        <v>35441</v>
      </c>
      <c r="H8" s="643">
        <v>34791</v>
      </c>
      <c r="I8" s="1">
        <v>0.78400000000000003</v>
      </c>
      <c r="J8" s="83">
        <f t="shared" si="1"/>
        <v>180.41800000000001</v>
      </c>
      <c r="K8" s="4">
        <v>31</v>
      </c>
      <c r="L8" s="84">
        <f t="shared" si="0"/>
        <v>0.25918753546870904</v>
      </c>
    </row>
    <row r="9" spans="1:12" x14ac:dyDescent="0.3">
      <c r="A9" s="1" t="s">
        <v>413</v>
      </c>
      <c r="B9" s="1">
        <v>150.30000000000001</v>
      </c>
      <c r="C9" s="1">
        <v>95.4</v>
      </c>
      <c r="D9" s="1">
        <v>30.3</v>
      </c>
      <c r="E9" s="1">
        <v>149</v>
      </c>
      <c r="F9" s="1">
        <v>139.30000000000001</v>
      </c>
      <c r="G9" s="643">
        <v>28999</v>
      </c>
      <c r="H9" s="643">
        <v>28494</v>
      </c>
      <c r="I9" s="1">
        <v>0.78400000000000003</v>
      </c>
      <c r="J9" s="83">
        <f t="shared" si="1"/>
        <v>180.41800000000001</v>
      </c>
      <c r="K9" s="4">
        <v>30</v>
      </c>
      <c r="L9" s="84">
        <f t="shared" si="0"/>
        <v>0.21935172765466859</v>
      </c>
    </row>
    <row r="10" spans="1:12" x14ac:dyDescent="0.3">
      <c r="A10" s="1" t="s">
        <v>414</v>
      </c>
      <c r="B10" s="1">
        <v>139.5</v>
      </c>
      <c r="C10" s="1">
        <v>91.3</v>
      </c>
      <c r="D10" s="1">
        <v>29.1</v>
      </c>
      <c r="E10" s="1">
        <v>138.69999999999999</v>
      </c>
      <c r="F10" s="1">
        <v>129.6</v>
      </c>
      <c r="G10" s="643">
        <v>27101</v>
      </c>
      <c r="H10" s="643">
        <v>26626</v>
      </c>
      <c r="I10" s="1">
        <v>0.78700000000000003</v>
      </c>
      <c r="J10" s="83">
        <f t="shared" si="1"/>
        <v>180.41800000000001</v>
      </c>
      <c r="K10" s="4">
        <v>31</v>
      </c>
      <c r="L10" s="84">
        <f t="shared" si="0"/>
        <v>0.19835955618952739</v>
      </c>
    </row>
    <row r="11" spans="1:12" x14ac:dyDescent="0.3">
      <c r="A11" s="1" t="s">
        <v>415</v>
      </c>
      <c r="B11" s="1">
        <v>143.4</v>
      </c>
      <c r="C11" s="1">
        <v>89.7</v>
      </c>
      <c r="D11" s="1">
        <v>29</v>
      </c>
      <c r="E11" s="1">
        <v>143.9</v>
      </c>
      <c r="F11" s="1">
        <v>134.6</v>
      </c>
      <c r="G11" s="643">
        <v>28175</v>
      </c>
      <c r="H11" s="643">
        <v>27673</v>
      </c>
      <c r="I11" s="1">
        <v>0.78900000000000003</v>
      </c>
      <c r="J11" s="83">
        <f t="shared" si="1"/>
        <v>180.41800000000001</v>
      </c>
      <c r="K11" s="4">
        <v>31</v>
      </c>
      <c r="L11" s="84">
        <f t="shared" si="0"/>
        <v>0.20615954324467781</v>
      </c>
    </row>
    <row r="12" spans="1:12" x14ac:dyDescent="0.3">
      <c r="A12" s="1" t="s">
        <v>416</v>
      </c>
      <c r="B12" s="1">
        <v>135.69999999999999</v>
      </c>
      <c r="C12" s="1">
        <v>80.099999999999994</v>
      </c>
      <c r="D12" s="1">
        <v>28.5</v>
      </c>
      <c r="E12" s="1">
        <v>137.9</v>
      </c>
      <c r="F12" s="1">
        <v>129.1</v>
      </c>
      <c r="G12" s="643">
        <v>27085</v>
      </c>
      <c r="H12" s="643">
        <v>26592</v>
      </c>
      <c r="I12" s="1">
        <v>0.79</v>
      </c>
      <c r="J12" s="83">
        <f t="shared" si="1"/>
        <v>180.41800000000001</v>
      </c>
      <c r="K12" s="4">
        <v>30</v>
      </c>
      <c r="L12" s="84">
        <f t="shared" si="0"/>
        <v>0.20470980353032031</v>
      </c>
    </row>
    <row r="13" spans="1:12" x14ac:dyDescent="0.3">
      <c r="A13" s="1" t="s">
        <v>417</v>
      </c>
      <c r="B13" s="1">
        <v>143.30000000000001</v>
      </c>
      <c r="C13" s="1">
        <v>73.599999999999994</v>
      </c>
      <c r="D13" s="1">
        <v>26.9</v>
      </c>
      <c r="E13" s="1">
        <v>148.80000000000001</v>
      </c>
      <c r="F13" s="1">
        <v>139.1</v>
      </c>
      <c r="G13" s="643">
        <v>29351</v>
      </c>
      <c r="H13" s="643">
        <v>28821</v>
      </c>
      <c r="I13" s="1">
        <v>0.79400000000000004</v>
      </c>
      <c r="J13" s="83">
        <f t="shared" si="1"/>
        <v>180.41800000000001</v>
      </c>
      <c r="K13" s="4">
        <v>31</v>
      </c>
      <c r="L13" s="84">
        <f t="shared" si="0"/>
        <v>0.21471196458117511</v>
      </c>
    </row>
    <row r="14" spans="1:12" x14ac:dyDescent="0.3">
      <c r="A14" s="1" t="s">
        <v>418</v>
      </c>
      <c r="B14" s="1">
        <v>124.3</v>
      </c>
      <c r="C14" s="1">
        <v>64.900000000000006</v>
      </c>
      <c r="D14" s="1">
        <v>22.8</v>
      </c>
      <c r="E14" s="1">
        <v>131.5</v>
      </c>
      <c r="F14" s="1">
        <v>122.8</v>
      </c>
      <c r="G14" s="643">
        <v>26247</v>
      </c>
      <c r="H14" s="643">
        <v>22840</v>
      </c>
      <c r="I14" s="1">
        <v>0.71199999999999997</v>
      </c>
      <c r="J14" s="83">
        <f t="shared" si="1"/>
        <v>180.41800000000001</v>
      </c>
      <c r="K14" s="4">
        <v>30</v>
      </c>
      <c r="L14" s="84">
        <f t="shared" si="0"/>
        <v>0.17582626025242615</v>
      </c>
    </row>
    <row r="15" spans="1:12" x14ac:dyDescent="0.3">
      <c r="A15" s="1" t="s">
        <v>419</v>
      </c>
      <c r="B15" s="1">
        <v>111.2</v>
      </c>
      <c r="C15" s="1">
        <v>62.5</v>
      </c>
      <c r="D15" s="1">
        <v>18.489999999999998</v>
      </c>
      <c r="E15" s="1">
        <v>118.3</v>
      </c>
      <c r="F15" s="1">
        <v>110.1</v>
      </c>
      <c r="G15" s="643">
        <v>23819</v>
      </c>
      <c r="H15" s="643">
        <v>21441</v>
      </c>
      <c r="I15" s="1">
        <v>0.74299999999999999</v>
      </c>
      <c r="J15" s="83">
        <f t="shared" si="1"/>
        <v>180.41800000000001</v>
      </c>
      <c r="K15" s="4">
        <v>31</v>
      </c>
      <c r="L15" s="84">
        <f t="shared" si="0"/>
        <v>0.15973211313226382</v>
      </c>
    </row>
    <row r="16" spans="1:12" x14ac:dyDescent="0.3">
      <c r="A16" s="50" t="s">
        <v>420</v>
      </c>
      <c r="B16" s="642">
        <f>SUM(B4:B15)</f>
        <v>1761.5</v>
      </c>
      <c r="C16" s="642">
        <f>SUM(C4:C15)</f>
        <v>948.9</v>
      </c>
      <c r="D16" s="50">
        <v>25.84</v>
      </c>
      <c r="E16" s="642">
        <f>SUM(E4:E15)</f>
        <v>1804.6000000000001</v>
      </c>
      <c r="F16" s="642">
        <f>SUM(F4:F15)</f>
        <v>1688.7999999999995</v>
      </c>
      <c r="G16" s="644">
        <f>SUM(G4:G15)</f>
        <v>356758</v>
      </c>
      <c r="H16" s="644">
        <f>SUM(H4:H15)</f>
        <v>343761</v>
      </c>
      <c r="I16" s="50">
        <v>0.78100000000000003</v>
      </c>
      <c r="J16" s="50">
        <f t="shared" si="1"/>
        <v>180.41800000000001</v>
      </c>
      <c r="K16" s="4">
        <f>SUM(K4:K15)</f>
        <v>365</v>
      </c>
      <c r="L16" s="85">
        <f>H16/J16/(24*K16)</f>
        <v>0.21750669715699783</v>
      </c>
    </row>
    <row r="18" spans="1:12" x14ac:dyDescent="0.3">
      <c r="A18" s="11" t="s">
        <v>1122</v>
      </c>
    </row>
    <row r="19" spans="1:12" x14ac:dyDescent="0.3">
      <c r="A19" s="87"/>
      <c r="B19" s="87" t="s">
        <v>395</v>
      </c>
      <c r="C19" s="87" t="s">
        <v>396</v>
      </c>
      <c r="D19" s="87" t="s">
        <v>397</v>
      </c>
      <c r="E19" s="87" t="s">
        <v>398</v>
      </c>
      <c r="F19" s="87" t="s">
        <v>399</v>
      </c>
      <c r="G19" s="87" t="s">
        <v>400</v>
      </c>
      <c r="H19" s="87" t="s">
        <v>401</v>
      </c>
      <c r="I19" s="87"/>
      <c r="J19" s="87"/>
      <c r="K19" s="87"/>
      <c r="L19" s="87"/>
    </row>
    <row r="20" spans="1:12" x14ac:dyDescent="0.3">
      <c r="A20" s="87"/>
      <c r="B20" s="87" t="s">
        <v>402</v>
      </c>
      <c r="C20" s="87" t="s">
        <v>402</v>
      </c>
      <c r="D20" s="87" t="s">
        <v>403</v>
      </c>
      <c r="E20" s="87" t="s">
        <v>402</v>
      </c>
      <c r="F20" s="87" t="s">
        <v>402</v>
      </c>
      <c r="G20" s="87" t="s">
        <v>404</v>
      </c>
      <c r="H20" s="87" t="s">
        <v>404</v>
      </c>
      <c r="I20" s="87" t="s">
        <v>405</v>
      </c>
      <c r="J20" s="87" t="s">
        <v>406</v>
      </c>
      <c r="K20" s="87" t="s">
        <v>407</v>
      </c>
      <c r="L20" s="87" t="s">
        <v>2</v>
      </c>
    </row>
    <row r="21" spans="1:12" x14ac:dyDescent="0.3">
      <c r="A21" s="1" t="s">
        <v>408</v>
      </c>
      <c r="B21" s="1">
        <v>121.6</v>
      </c>
      <c r="C21" s="1">
        <v>63.7</v>
      </c>
      <c r="D21" s="1">
        <v>17.100000000000001</v>
      </c>
      <c r="E21" s="1">
        <v>129.4</v>
      </c>
      <c r="F21" s="1">
        <v>120.5</v>
      </c>
      <c r="G21" s="643">
        <v>26662</v>
      </c>
      <c r="H21" s="10">
        <v>25367</v>
      </c>
      <c r="I21" s="10">
        <v>0.80400000000000005</v>
      </c>
      <c r="J21" s="4">
        <v>199.6</v>
      </c>
      <c r="K21" s="4">
        <v>31</v>
      </c>
      <c r="L21" s="84">
        <f t="shared" ref="L21:L32" si="2">H21/J21/(24*K21)</f>
        <v>0.17081878811386214</v>
      </c>
    </row>
    <row r="22" spans="1:12" x14ac:dyDescent="0.3">
      <c r="A22" s="1" t="s">
        <v>409</v>
      </c>
      <c r="B22" s="1">
        <v>137.5</v>
      </c>
      <c r="C22" s="1">
        <v>61.8</v>
      </c>
      <c r="D22" s="1">
        <v>21</v>
      </c>
      <c r="E22" s="1">
        <v>144.6</v>
      </c>
      <c r="F22" s="1">
        <v>135.4</v>
      </c>
      <c r="G22" s="643">
        <v>29646</v>
      </c>
      <c r="H22" s="10">
        <v>29198</v>
      </c>
      <c r="I22" s="10">
        <v>0.82799999999999996</v>
      </c>
      <c r="J22" s="83">
        <f>J21</f>
        <v>199.6</v>
      </c>
      <c r="K22" s="4">
        <v>28</v>
      </c>
      <c r="L22" s="84">
        <f t="shared" si="2"/>
        <v>0.21768238858669722</v>
      </c>
    </row>
    <row r="23" spans="1:12" x14ac:dyDescent="0.3">
      <c r="A23" s="1" t="s">
        <v>410</v>
      </c>
      <c r="B23" s="1">
        <v>182.8</v>
      </c>
      <c r="C23" s="1">
        <v>77.599999999999994</v>
      </c>
      <c r="D23" s="1">
        <v>26.1</v>
      </c>
      <c r="E23" s="1">
        <v>188.7</v>
      </c>
      <c r="F23" s="1">
        <v>177.3</v>
      </c>
      <c r="G23" s="643">
        <v>38108</v>
      </c>
      <c r="H23" s="10">
        <v>37512</v>
      </c>
      <c r="I23" s="10">
        <v>0.81499999999999995</v>
      </c>
      <c r="J23" s="83">
        <f t="shared" ref="J23:J33" si="3">J22</f>
        <v>199.6</v>
      </c>
      <c r="K23" s="4">
        <v>31</v>
      </c>
      <c r="L23" s="84">
        <f t="shared" si="2"/>
        <v>0.25260197814984808</v>
      </c>
    </row>
    <row r="24" spans="1:12" x14ac:dyDescent="0.3">
      <c r="A24" s="1" t="s">
        <v>411</v>
      </c>
      <c r="B24" s="1">
        <v>189.6</v>
      </c>
      <c r="C24" s="1">
        <v>87.2</v>
      </c>
      <c r="D24" s="1">
        <v>29.9</v>
      </c>
      <c r="E24" s="1">
        <v>191.9</v>
      </c>
      <c r="F24" s="1">
        <v>180.4</v>
      </c>
      <c r="G24" s="643">
        <v>38230</v>
      </c>
      <c r="H24" s="10">
        <v>37634</v>
      </c>
      <c r="I24" s="10">
        <v>0.80400000000000005</v>
      </c>
      <c r="J24" s="83">
        <f t="shared" si="3"/>
        <v>199.6</v>
      </c>
      <c r="K24" s="4">
        <v>30</v>
      </c>
      <c r="L24" s="84">
        <f t="shared" si="2"/>
        <v>0.26187096415052324</v>
      </c>
    </row>
    <row r="25" spans="1:12" x14ac:dyDescent="0.3">
      <c r="A25" s="1" t="s">
        <v>412</v>
      </c>
      <c r="B25" s="1">
        <v>182.3</v>
      </c>
      <c r="C25" s="1">
        <v>101.1</v>
      </c>
      <c r="D25" s="1">
        <v>30.7</v>
      </c>
      <c r="E25" s="1">
        <v>181.9</v>
      </c>
      <c r="F25" s="1">
        <v>170.6</v>
      </c>
      <c r="G25" s="643">
        <v>36021</v>
      </c>
      <c r="H25" s="10">
        <v>35482</v>
      </c>
      <c r="I25" s="10">
        <v>0.8</v>
      </c>
      <c r="J25" s="83">
        <f t="shared" si="3"/>
        <v>199.6</v>
      </c>
      <c r="K25" s="4">
        <v>31</v>
      </c>
      <c r="L25" s="84">
        <f t="shared" si="2"/>
        <v>0.238932165406081</v>
      </c>
    </row>
    <row r="26" spans="1:12" x14ac:dyDescent="0.3">
      <c r="A26" s="1" t="s">
        <v>413</v>
      </c>
      <c r="B26" s="1">
        <v>150.30000000000001</v>
      </c>
      <c r="C26" s="1">
        <v>95.4</v>
      </c>
      <c r="D26" s="1">
        <v>30.3</v>
      </c>
      <c r="E26" s="1">
        <v>149</v>
      </c>
      <c r="F26" s="1">
        <v>139.30000000000001</v>
      </c>
      <c r="G26" s="643">
        <v>29471</v>
      </c>
      <c r="H26" s="10">
        <v>29042</v>
      </c>
      <c r="I26" s="10">
        <v>0.79900000000000004</v>
      </c>
      <c r="J26" s="83">
        <f t="shared" si="3"/>
        <v>199.6</v>
      </c>
      <c r="K26" s="4">
        <v>30</v>
      </c>
      <c r="L26" s="84">
        <f t="shared" si="2"/>
        <v>0.20208472500556671</v>
      </c>
    </row>
    <row r="27" spans="1:12" x14ac:dyDescent="0.3">
      <c r="A27" s="1" t="s">
        <v>414</v>
      </c>
      <c r="B27" s="1">
        <v>139.5</v>
      </c>
      <c r="C27" s="1">
        <v>91.3</v>
      </c>
      <c r="D27" s="1">
        <v>29.1</v>
      </c>
      <c r="E27" s="1">
        <v>138.69999999999999</v>
      </c>
      <c r="F27" s="1">
        <v>129.6</v>
      </c>
      <c r="G27" s="643">
        <v>27533</v>
      </c>
      <c r="H27" s="10">
        <v>26983</v>
      </c>
      <c r="I27" s="10">
        <v>0.79800000000000004</v>
      </c>
      <c r="J27" s="83">
        <f t="shared" si="3"/>
        <v>199.6</v>
      </c>
      <c r="K27" s="4">
        <v>31</v>
      </c>
      <c r="L27" s="84">
        <f t="shared" si="2"/>
        <v>0.18170076712564914</v>
      </c>
    </row>
    <row r="28" spans="1:12" x14ac:dyDescent="0.3">
      <c r="A28" s="1" t="s">
        <v>415</v>
      </c>
      <c r="B28" s="1">
        <v>143.4</v>
      </c>
      <c r="C28" s="1">
        <v>89.7</v>
      </c>
      <c r="D28" s="1">
        <v>29</v>
      </c>
      <c r="E28" s="1">
        <v>143.9</v>
      </c>
      <c r="F28" s="1">
        <v>134.6</v>
      </c>
      <c r="G28" s="643">
        <v>28631</v>
      </c>
      <c r="H28" s="10">
        <v>28209</v>
      </c>
      <c r="I28" s="10">
        <v>0.80400000000000005</v>
      </c>
      <c r="J28" s="83">
        <f t="shared" si="3"/>
        <v>199.6</v>
      </c>
      <c r="K28" s="4">
        <v>31</v>
      </c>
      <c r="L28" s="84">
        <f t="shared" si="2"/>
        <v>0.1899565259551361</v>
      </c>
    </row>
    <row r="29" spans="1:12" x14ac:dyDescent="0.3">
      <c r="A29" s="1" t="s">
        <v>416</v>
      </c>
      <c r="B29" s="1">
        <v>135.69999999999999</v>
      </c>
      <c r="C29" s="1">
        <v>80.099999999999994</v>
      </c>
      <c r="D29" s="1">
        <v>28.5</v>
      </c>
      <c r="E29" s="1">
        <v>137.9</v>
      </c>
      <c r="F29" s="1">
        <v>129.1</v>
      </c>
      <c r="G29" s="643">
        <v>27520</v>
      </c>
      <c r="H29" s="10">
        <v>27107</v>
      </c>
      <c r="I29" s="10">
        <v>0.80600000000000005</v>
      </c>
      <c r="J29" s="83">
        <f t="shared" si="3"/>
        <v>199.6</v>
      </c>
      <c r="K29" s="4">
        <v>30</v>
      </c>
      <c r="L29" s="84">
        <f t="shared" si="2"/>
        <v>0.18862029614785125</v>
      </c>
    </row>
    <row r="30" spans="1:12" x14ac:dyDescent="0.3">
      <c r="A30" s="1" t="s">
        <v>417</v>
      </c>
      <c r="B30" s="1">
        <v>143.30000000000001</v>
      </c>
      <c r="C30" s="1">
        <v>73.599999999999994</v>
      </c>
      <c r="D30" s="1">
        <v>26.9</v>
      </c>
      <c r="E30" s="1">
        <v>148.80000000000001</v>
      </c>
      <c r="F30" s="1">
        <v>139.1</v>
      </c>
      <c r="G30" s="643">
        <v>29829</v>
      </c>
      <c r="H30" s="10">
        <v>29384</v>
      </c>
      <c r="I30" s="10">
        <v>0.81</v>
      </c>
      <c r="J30" s="83">
        <f t="shared" si="3"/>
        <v>199.6</v>
      </c>
      <c r="K30" s="4">
        <v>31</v>
      </c>
      <c r="L30" s="84">
        <f t="shared" si="2"/>
        <v>0.19786885599155299</v>
      </c>
    </row>
    <row r="31" spans="1:12" x14ac:dyDescent="0.3">
      <c r="A31" s="1" t="s">
        <v>418</v>
      </c>
      <c r="B31" s="1">
        <v>124.3</v>
      </c>
      <c r="C31" s="1">
        <v>64.900000000000006</v>
      </c>
      <c r="D31" s="1">
        <v>22.8</v>
      </c>
      <c r="E31" s="1">
        <v>131.5</v>
      </c>
      <c r="F31" s="1">
        <v>122.8</v>
      </c>
      <c r="G31" s="643">
        <v>26672</v>
      </c>
      <c r="H31" s="10">
        <v>25980</v>
      </c>
      <c r="I31" s="10">
        <v>0.81</v>
      </c>
      <c r="J31" s="83">
        <f t="shared" si="3"/>
        <v>199.6</v>
      </c>
      <c r="K31" s="4">
        <v>30</v>
      </c>
      <c r="L31" s="84">
        <f t="shared" si="2"/>
        <v>0.18077822311289246</v>
      </c>
    </row>
    <row r="32" spans="1:12" x14ac:dyDescent="0.3">
      <c r="A32" s="1" t="s">
        <v>419</v>
      </c>
      <c r="B32" s="1">
        <v>111.2</v>
      </c>
      <c r="C32" s="1">
        <v>62.5</v>
      </c>
      <c r="D32" s="1">
        <v>18.489999999999998</v>
      </c>
      <c r="E32" s="1">
        <v>118.3</v>
      </c>
      <c r="F32" s="1">
        <v>110.1</v>
      </c>
      <c r="G32" s="643">
        <v>24207</v>
      </c>
      <c r="H32" s="10">
        <v>23859</v>
      </c>
      <c r="I32" s="10">
        <v>0.82699999999999996</v>
      </c>
      <c r="J32" s="83">
        <f t="shared" si="3"/>
        <v>199.6</v>
      </c>
      <c r="K32" s="4">
        <v>31</v>
      </c>
      <c r="L32" s="84">
        <f t="shared" si="2"/>
        <v>0.16066407007563516</v>
      </c>
    </row>
    <row r="33" spans="1:12" x14ac:dyDescent="0.3">
      <c r="A33" s="50" t="s">
        <v>420</v>
      </c>
      <c r="B33" s="642">
        <f>SUM(B21:B32)</f>
        <v>1761.5</v>
      </c>
      <c r="C33" s="642">
        <f>SUM(C21:C32)</f>
        <v>948.9</v>
      </c>
      <c r="D33" s="50">
        <v>25.84</v>
      </c>
      <c r="E33" s="642">
        <f>SUM(E21:E32)</f>
        <v>1804.6000000000001</v>
      </c>
      <c r="F33" s="642">
        <f>SUM(F21:F32)</f>
        <v>1688.7999999999995</v>
      </c>
      <c r="G33" s="644">
        <v>362529</v>
      </c>
      <c r="H33" s="644">
        <v>355757</v>
      </c>
      <c r="I33" s="1074">
        <v>0.80800000000000005</v>
      </c>
      <c r="J33" s="50">
        <f t="shared" si="3"/>
        <v>199.6</v>
      </c>
      <c r="K33" s="4">
        <f>SUM(K21:K32)</f>
        <v>365</v>
      </c>
      <c r="L33" s="85">
        <f>H33/J33/(24*K33)</f>
        <v>0.20346457755694036</v>
      </c>
    </row>
    <row r="35" spans="1:12" x14ac:dyDescent="0.3">
      <c r="A35" s="11" t="s">
        <v>1122</v>
      </c>
    </row>
    <row r="36" spans="1:12" x14ac:dyDescent="0.3">
      <c r="A36" s="87"/>
      <c r="B36" s="87" t="s">
        <v>395</v>
      </c>
      <c r="C36" s="87" t="s">
        <v>396</v>
      </c>
      <c r="D36" s="87" t="s">
        <v>397</v>
      </c>
      <c r="E36" s="87" t="s">
        <v>398</v>
      </c>
      <c r="F36" s="87" t="s">
        <v>399</v>
      </c>
      <c r="G36" s="87" t="s">
        <v>400</v>
      </c>
      <c r="H36" s="87" t="s">
        <v>401</v>
      </c>
      <c r="I36" s="87"/>
      <c r="J36" s="87"/>
      <c r="K36" s="87"/>
      <c r="L36" s="87"/>
    </row>
    <row r="37" spans="1:12" x14ac:dyDescent="0.3">
      <c r="A37" s="87"/>
      <c r="B37" s="87" t="s">
        <v>402</v>
      </c>
      <c r="C37" s="87" t="s">
        <v>402</v>
      </c>
      <c r="D37" s="87" t="s">
        <v>403</v>
      </c>
      <c r="E37" s="87" t="s">
        <v>402</v>
      </c>
      <c r="F37" s="87" t="s">
        <v>402</v>
      </c>
      <c r="G37" s="87" t="s">
        <v>404</v>
      </c>
      <c r="H37" s="87" t="s">
        <v>404</v>
      </c>
      <c r="I37" s="87" t="s">
        <v>405</v>
      </c>
      <c r="J37" s="87" t="s">
        <v>406</v>
      </c>
      <c r="K37" s="87" t="s">
        <v>407</v>
      </c>
      <c r="L37" s="87" t="s">
        <v>2</v>
      </c>
    </row>
    <row r="38" spans="1:12" x14ac:dyDescent="0.3">
      <c r="A38" s="1" t="s">
        <v>408</v>
      </c>
      <c r="B38" s="1">
        <v>121.6</v>
      </c>
      <c r="C38" s="1">
        <v>63.7</v>
      </c>
      <c r="D38" s="1">
        <v>17.100000000000001</v>
      </c>
      <c r="E38" s="1">
        <v>129.4</v>
      </c>
      <c r="F38" s="1">
        <v>120.5</v>
      </c>
      <c r="G38" s="643">
        <v>26234</v>
      </c>
      <c r="H38" s="10">
        <v>24204</v>
      </c>
      <c r="I38" s="10">
        <v>0.76700000000000002</v>
      </c>
      <c r="J38" s="4">
        <v>203.24</v>
      </c>
      <c r="K38" s="4">
        <v>31</v>
      </c>
      <c r="L38" s="84">
        <f t="shared" ref="L38:L49" si="4">H38/J38/(24*K38)</f>
        <v>0.1600681857140136</v>
      </c>
    </row>
    <row r="39" spans="1:12" x14ac:dyDescent="0.3">
      <c r="A39" s="1" t="s">
        <v>409</v>
      </c>
      <c r="B39" s="1">
        <v>137.5</v>
      </c>
      <c r="C39" s="1">
        <v>61.8</v>
      </c>
      <c r="D39" s="1">
        <v>21</v>
      </c>
      <c r="E39" s="1">
        <v>144.6</v>
      </c>
      <c r="F39" s="1">
        <v>135.4</v>
      </c>
      <c r="G39" s="643">
        <v>29173</v>
      </c>
      <c r="H39" s="10">
        <v>28645</v>
      </c>
      <c r="I39" s="10">
        <v>0.81200000000000006</v>
      </c>
      <c r="J39" s="83">
        <f>J38</f>
        <v>203.24</v>
      </c>
      <c r="K39" s="4">
        <v>28</v>
      </c>
      <c r="L39" s="84">
        <f t="shared" si="4"/>
        <v>0.20973473772504475</v>
      </c>
    </row>
    <row r="40" spans="1:12" x14ac:dyDescent="0.3">
      <c r="A40" s="1" t="s">
        <v>410</v>
      </c>
      <c r="B40" s="1">
        <v>182.8</v>
      </c>
      <c r="C40" s="1">
        <v>77.599999999999994</v>
      </c>
      <c r="D40" s="1">
        <v>26.1</v>
      </c>
      <c r="E40" s="1">
        <v>188.7</v>
      </c>
      <c r="F40" s="1">
        <v>177.3</v>
      </c>
      <c r="G40" s="643">
        <v>37507</v>
      </c>
      <c r="H40" s="10">
        <v>36795</v>
      </c>
      <c r="I40" s="10">
        <v>0.8</v>
      </c>
      <c r="J40" s="83">
        <f t="shared" ref="J40:J50" si="5">J39</f>
        <v>203.24</v>
      </c>
      <c r="K40" s="4">
        <v>31</v>
      </c>
      <c r="L40" s="84">
        <f t="shared" si="4"/>
        <v>0.24333617969538632</v>
      </c>
    </row>
    <row r="41" spans="1:12" x14ac:dyDescent="0.3">
      <c r="A41" s="1" t="s">
        <v>411</v>
      </c>
      <c r="B41" s="1">
        <v>189.6</v>
      </c>
      <c r="C41" s="1">
        <v>87.2</v>
      </c>
      <c r="D41" s="1">
        <v>29.9</v>
      </c>
      <c r="E41" s="1">
        <v>191.9</v>
      </c>
      <c r="F41" s="1">
        <v>180.4</v>
      </c>
      <c r="G41" s="643">
        <v>37648</v>
      </c>
      <c r="H41" s="10">
        <v>36935</v>
      </c>
      <c r="I41" s="10">
        <v>0.78900000000000003</v>
      </c>
      <c r="J41" s="83">
        <f t="shared" si="5"/>
        <v>203.24</v>
      </c>
      <c r="K41" s="4">
        <v>30</v>
      </c>
      <c r="L41" s="84">
        <f>H42/J41/(24*K41)</f>
        <v>0.23802592446806184</v>
      </c>
    </row>
    <row r="42" spans="1:12" x14ac:dyDescent="0.3">
      <c r="A42" s="1" t="s">
        <v>412</v>
      </c>
      <c r="B42" s="1">
        <v>182.3</v>
      </c>
      <c r="C42" s="1">
        <v>101.1</v>
      </c>
      <c r="D42" s="1">
        <v>30.7</v>
      </c>
      <c r="E42" s="1">
        <v>181.9</v>
      </c>
      <c r="F42" s="1">
        <v>170.6</v>
      </c>
      <c r="G42" s="643">
        <v>35463</v>
      </c>
      <c r="H42" s="10">
        <v>34831</v>
      </c>
      <c r="I42" s="10">
        <v>0.78500000000000003</v>
      </c>
      <c r="J42" s="83">
        <f t="shared" si="5"/>
        <v>203.24</v>
      </c>
      <c r="K42" s="4">
        <v>31</v>
      </c>
      <c r="L42" s="84">
        <f>H43/J42/(24*K42)</f>
        <v>0.1885119663600214</v>
      </c>
    </row>
    <row r="43" spans="1:12" x14ac:dyDescent="0.3">
      <c r="A43" s="1" t="s">
        <v>413</v>
      </c>
      <c r="B43" s="1">
        <v>150.30000000000001</v>
      </c>
      <c r="C43" s="1">
        <v>95.4</v>
      </c>
      <c r="D43" s="1">
        <v>30.3</v>
      </c>
      <c r="E43" s="1">
        <v>149</v>
      </c>
      <c r="F43" s="1">
        <v>139.30000000000001</v>
      </c>
      <c r="G43" s="643">
        <v>28999</v>
      </c>
      <c r="H43" s="10">
        <v>28505</v>
      </c>
      <c r="I43" s="10">
        <v>0.78400000000000003</v>
      </c>
      <c r="J43" s="83">
        <f t="shared" si="5"/>
        <v>203.24</v>
      </c>
      <c r="K43" s="4">
        <v>30</v>
      </c>
      <c r="L43" s="84">
        <f>H44/J43/(24*K43)</f>
        <v>0.18202344245445998</v>
      </c>
    </row>
    <row r="44" spans="1:12" x14ac:dyDescent="0.3">
      <c r="A44" s="1" t="s">
        <v>414</v>
      </c>
      <c r="B44" s="1">
        <v>139.5</v>
      </c>
      <c r="C44" s="1">
        <v>91.3</v>
      </c>
      <c r="D44" s="1">
        <v>29.1</v>
      </c>
      <c r="E44" s="1">
        <v>138.69999999999999</v>
      </c>
      <c r="F44" s="1">
        <v>129.6</v>
      </c>
      <c r="G44" s="643">
        <v>27106</v>
      </c>
      <c r="H44" s="10">
        <v>26636</v>
      </c>
      <c r="I44" s="10">
        <v>0.78700000000000003</v>
      </c>
      <c r="J44" s="83">
        <f t="shared" si="5"/>
        <v>203.24</v>
      </c>
      <c r="K44" s="4">
        <v>31</v>
      </c>
      <c r="L44" s="84">
        <f>H45/J44/(24*K44)</f>
        <v>0.18277823982663646</v>
      </c>
    </row>
    <row r="45" spans="1:12" x14ac:dyDescent="0.3">
      <c r="A45" s="1" t="s">
        <v>415</v>
      </c>
      <c r="B45" s="1">
        <v>143.4</v>
      </c>
      <c r="C45" s="1">
        <v>89.7</v>
      </c>
      <c r="D45" s="1">
        <v>29</v>
      </c>
      <c r="E45" s="1">
        <v>143.9</v>
      </c>
      <c r="F45" s="1">
        <v>134.6</v>
      </c>
      <c r="G45" s="643">
        <v>28175</v>
      </c>
      <c r="H45" s="10">
        <v>27638</v>
      </c>
      <c r="I45" s="10">
        <v>0.78900000000000003</v>
      </c>
      <c r="J45" s="83">
        <f t="shared" si="5"/>
        <v>203.24</v>
      </c>
      <c r="K45" s="4">
        <v>31</v>
      </c>
      <c r="L45" s="84">
        <f>H46/J45/(24*K45)</f>
        <v>0.17600622602019331</v>
      </c>
    </row>
    <row r="46" spans="1:12" x14ac:dyDescent="0.3">
      <c r="A46" s="1" t="s">
        <v>416</v>
      </c>
      <c r="B46" s="1">
        <v>135.69999999999999</v>
      </c>
      <c r="C46" s="1">
        <v>80.099999999999994</v>
      </c>
      <c r="D46" s="1">
        <v>28.5</v>
      </c>
      <c r="E46" s="1">
        <v>137.9</v>
      </c>
      <c r="F46" s="1">
        <v>129.1</v>
      </c>
      <c r="G46" s="643">
        <v>27095</v>
      </c>
      <c r="H46" s="10">
        <v>26614</v>
      </c>
      <c r="I46" s="10">
        <v>0.79100000000000004</v>
      </c>
      <c r="J46" s="83">
        <f t="shared" si="5"/>
        <v>203.24</v>
      </c>
      <c r="K46" s="4">
        <v>30</v>
      </c>
      <c r="L46" s="84">
        <f t="shared" si="4"/>
        <v>0.18187310022086642</v>
      </c>
    </row>
    <row r="47" spans="1:12" x14ac:dyDescent="0.3">
      <c r="A47" s="1" t="s">
        <v>417</v>
      </c>
      <c r="B47" s="1">
        <v>143.30000000000001</v>
      </c>
      <c r="C47" s="1">
        <v>73.599999999999994</v>
      </c>
      <c r="D47" s="1">
        <v>26.9</v>
      </c>
      <c r="E47" s="1">
        <v>148.80000000000001</v>
      </c>
      <c r="F47" s="1">
        <v>139.1</v>
      </c>
      <c r="G47" s="643">
        <v>29351</v>
      </c>
      <c r="H47" s="10">
        <v>28838</v>
      </c>
      <c r="I47" s="10">
        <v>0.79500000000000004</v>
      </c>
      <c r="J47" s="83">
        <f t="shared" si="5"/>
        <v>203.24</v>
      </c>
      <c r="K47" s="4">
        <v>31</v>
      </c>
      <c r="L47" s="84">
        <f t="shared" si="4"/>
        <v>0.190714193506062</v>
      </c>
    </row>
    <row r="48" spans="1:12" x14ac:dyDescent="0.3">
      <c r="A48" s="1" t="s">
        <v>418</v>
      </c>
      <c r="B48" s="1">
        <v>124.3</v>
      </c>
      <c r="C48" s="1">
        <v>64.900000000000006</v>
      </c>
      <c r="D48" s="1">
        <v>22.8</v>
      </c>
      <c r="E48" s="1">
        <v>131.5</v>
      </c>
      <c r="F48" s="1">
        <v>122.8</v>
      </c>
      <c r="G48" s="643">
        <v>26247</v>
      </c>
      <c r="H48" s="10">
        <v>22846</v>
      </c>
      <c r="I48" s="10">
        <v>0.71199999999999997</v>
      </c>
      <c r="J48" s="83">
        <f t="shared" si="5"/>
        <v>203.24</v>
      </c>
      <c r="K48" s="4">
        <v>30</v>
      </c>
      <c r="L48" s="84">
        <f t="shared" si="4"/>
        <v>0.15612357584902359</v>
      </c>
    </row>
    <row r="49" spans="1:12" x14ac:dyDescent="0.3">
      <c r="A49" s="1" t="s">
        <v>419</v>
      </c>
      <c r="B49" s="1">
        <v>111.2</v>
      </c>
      <c r="C49" s="1">
        <v>62.5</v>
      </c>
      <c r="D49" s="1">
        <v>18.489999999999998</v>
      </c>
      <c r="E49" s="1">
        <v>118.3</v>
      </c>
      <c r="F49" s="1">
        <v>110.1</v>
      </c>
      <c r="G49" s="643">
        <v>23819</v>
      </c>
      <c r="H49" s="10">
        <v>21444</v>
      </c>
      <c r="I49" s="10">
        <v>0.74299999999999999</v>
      </c>
      <c r="J49" s="83">
        <f t="shared" si="5"/>
        <v>203.24</v>
      </c>
      <c r="K49" s="4">
        <v>31</v>
      </c>
      <c r="L49" s="84">
        <f t="shared" si="4"/>
        <v>0.1418154922513348</v>
      </c>
    </row>
    <row r="50" spans="1:12" x14ac:dyDescent="0.3">
      <c r="A50" s="50" t="s">
        <v>420</v>
      </c>
      <c r="B50" s="642">
        <f>SUM(B38:B49)</f>
        <v>1761.5</v>
      </c>
      <c r="C50" s="642">
        <f>SUM(C38:C49)</f>
        <v>948.9</v>
      </c>
      <c r="D50" s="50">
        <v>25.84</v>
      </c>
      <c r="E50" s="642">
        <f>SUM(E38:E49)</f>
        <v>1804.6000000000001</v>
      </c>
      <c r="F50" s="642">
        <f>SUM(F38:F49)</f>
        <v>1688.7999999999995</v>
      </c>
      <c r="G50" s="644">
        <f>SUM(G38:G49)</f>
        <v>356817</v>
      </c>
      <c r="H50" s="644">
        <f>SUM(H38:H49)</f>
        <v>343931</v>
      </c>
      <c r="I50" s="1074">
        <v>0.80800000000000005</v>
      </c>
      <c r="J50" s="50">
        <f t="shared" si="5"/>
        <v>203.24</v>
      </c>
      <c r="K50" s="4">
        <f>SUM(K38:K49)</f>
        <v>365</v>
      </c>
      <c r="L50" s="85">
        <f>H50/J50/(24*K50)</f>
        <v>0.19317816217459799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7324D-E1F7-4583-AE4A-D193642E24B5}">
  <sheetPr>
    <tabColor theme="8" tint="0.79998168889431442"/>
  </sheetPr>
  <dimension ref="A1:BS446"/>
  <sheetViews>
    <sheetView showGridLines="0" zoomScale="87" zoomScaleNormal="143" workbookViewId="0">
      <pane ySplit="2" topLeftCell="A3" activePane="bottomLeft" state="frozen"/>
      <selection pane="bottomLeft" activeCell="D94" sqref="D94"/>
    </sheetView>
  </sheetViews>
  <sheetFormatPr defaultRowHeight="12" outlineLevelRow="1" x14ac:dyDescent="0.3"/>
  <cols>
    <col min="1" max="1" width="11.08984375" style="13" customWidth="1"/>
    <col min="2" max="2" width="48.54296875" style="345" customWidth="1"/>
    <col min="3" max="3" width="12.453125" style="13" bestFit="1" customWidth="1"/>
    <col min="4" max="4" width="27.54296875" style="13" bestFit="1" customWidth="1"/>
    <col min="5" max="5" width="19.36328125" style="10" bestFit="1" customWidth="1"/>
    <col min="6" max="6" width="20.26953125" style="13" customWidth="1"/>
    <col min="7" max="7" width="20.26953125" style="13" hidden="1" customWidth="1"/>
    <col min="8" max="8" width="12.36328125" style="10" bestFit="1" customWidth="1"/>
    <col min="9" max="9" width="17.90625" style="10" bestFit="1" customWidth="1"/>
    <col min="10" max="10" width="18" style="10" bestFit="1" customWidth="1"/>
    <col min="11" max="11" width="14.1796875" style="10" bestFit="1" customWidth="1"/>
    <col min="12" max="12" width="15.54296875" style="10" bestFit="1" customWidth="1"/>
    <col min="13" max="13" width="10.6328125" style="10" customWidth="1"/>
    <col min="14" max="14" width="9.54296875" style="10" bestFit="1" customWidth="1"/>
    <col min="15" max="15" width="13.26953125" style="10" bestFit="1" customWidth="1"/>
    <col min="16" max="17" width="9.54296875" style="10" bestFit="1" customWidth="1"/>
    <col min="18" max="18" width="10.90625" style="10" customWidth="1"/>
    <col min="19" max="19" width="10.36328125" style="10" bestFit="1" customWidth="1"/>
    <col min="20" max="37" width="9.54296875" style="10" bestFit="1" customWidth="1"/>
    <col min="38" max="16384" width="8.7265625" style="10"/>
  </cols>
  <sheetData>
    <row r="1" spans="1:17" x14ac:dyDescent="0.3">
      <c r="B1" s="340"/>
      <c r="C1" s="381"/>
      <c r="D1" s="381"/>
      <c r="E1" s="340"/>
      <c r="L1" s="122" t="s">
        <v>32</v>
      </c>
    </row>
    <row r="2" spans="1:17" x14ac:dyDescent="0.3">
      <c r="A2" s="119"/>
      <c r="B2" s="118"/>
      <c r="C2" s="118" t="s">
        <v>14</v>
      </c>
      <c r="D2" s="119" t="s">
        <v>218</v>
      </c>
      <c r="E2" s="120" t="s">
        <v>290</v>
      </c>
      <c r="H2" s="98"/>
      <c r="I2" s="121" t="s">
        <v>70</v>
      </c>
      <c r="J2" s="1045">
        <f ca="1">Working!D276</f>
        <v>5.2535517329743424</v>
      </c>
      <c r="L2" s="123" t="b">
        <v>1</v>
      </c>
      <c r="M2" s="123" t="b">
        <f>L2</f>
        <v>1</v>
      </c>
    </row>
    <row r="3" spans="1:17" x14ac:dyDescent="0.3">
      <c r="A3" s="382"/>
      <c r="B3" s="362" t="s">
        <v>569</v>
      </c>
      <c r="C3" s="382"/>
      <c r="D3" s="382"/>
      <c r="E3" s="362"/>
      <c r="I3" s="115" t="s">
        <v>529</v>
      </c>
      <c r="J3" s="718">
        <f ca="1">Working!D421</f>
        <v>8.7955956594178986E-2</v>
      </c>
      <c r="L3" s="337"/>
      <c r="M3" s="337"/>
    </row>
    <row r="4" spans="1:17" x14ac:dyDescent="0.3">
      <c r="A4" s="76"/>
      <c r="B4" s="341" t="s">
        <v>424</v>
      </c>
      <c r="C4" s="124" t="s">
        <v>67</v>
      </c>
      <c r="E4" s="387">
        <f>(D11*D15)+(E11*E15)</f>
        <v>243.88799999999998</v>
      </c>
      <c r="I4" s="314" t="s">
        <v>526</v>
      </c>
      <c r="J4" s="129">
        <f ca="1">Working!D482</f>
        <v>0.19492021525773828</v>
      </c>
      <c r="L4" s="338" t="s">
        <v>1122</v>
      </c>
      <c r="M4" s="339"/>
    </row>
    <row r="5" spans="1:17" x14ac:dyDescent="0.3">
      <c r="A5" s="76"/>
      <c r="B5" s="141" t="s">
        <v>62</v>
      </c>
      <c r="E5" s="98">
        <f>IF($F$5=$H$17,I17,I18)</f>
        <v>1.2</v>
      </c>
      <c r="F5" s="1099" t="s">
        <v>1122</v>
      </c>
      <c r="G5" s="1099"/>
      <c r="I5" s="13" t="s">
        <v>530</v>
      </c>
      <c r="J5" s="78">
        <f>Input!$E$228</f>
        <v>7.4760000000000007E-2</v>
      </c>
      <c r="L5" s="10">
        <v>705</v>
      </c>
      <c r="M5" s="126" t="s">
        <v>1198</v>
      </c>
    </row>
    <row r="6" spans="1:17" x14ac:dyDescent="0.3">
      <c r="A6" s="76"/>
      <c r="B6" s="341" t="s">
        <v>446</v>
      </c>
      <c r="C6" s="124" t="s">
        <v>26</v>
      </c>
      <c r="E6" s="1244">
        <f>(D15*D12)+(E15*E12)</f>
        <v>203.23999999999998</v>
      </c>
      <c r="I6" s="13" t="s">
        <v>1254</v>
      </c>
      <c r="J6" s="1204">
        <f ca="1">Output!J6</f>
        <v>6.1137671345458671</v>
      </c>
      <c r="M6" s="127"/>
    </row>
    <row r="7" spans="1:17" x14ac:dyDescent="0.3">
      <c r="A7" s="76"/>
      <c r="B7" s="341" t="s">
        <v>25</v>
      </c>
      <c r="C7" s="124" t="s">
        <v>0</v>
      </c>
      <c r="E7" s="645">
        <f>RA!L50</f>
        <v>0.19317816217459799</v>
      </c>
      <c r="I7" s="13" t="s">
        <v>1255</v>
      </c>
      <c r="J7" s="1204">
        <f ca="1">Output!I6</f>
        <v>5.0948059454548895</v>
      </c>
      <c r="K7" s="13"/>
      <c r="Q7" s="127"/>
    </row>
    <row r="8" spans="1:17" x14ac:dyDescent="0.3">
      <c r="A8" s="76"/>
      <c r="B8" s="141" t="s">
        <v>1245</v>
      </c>
      <c r="C8" s="13" t="s">
        <v>28</v>
      </c>
      <c r="E8" s="13" t="s">
        <v>548</v>
      </c>
      <c r="J8" s="13"/>
      <c r="K8" s="13"/>
      <c r="Q8" s="127"/>
    </row>
    <row r="9" spans="1:17" x14ac:dyDescent="0.3">
      <c r="A9" s="76"/>
      <c r="B9" s="141" t="s">
        <v>1246</v>
      </c>
      <c r="C9" s="13" t="s">
        <v>28</v>
      </c>
      <c r="E9" s="13" t="s">
        <v>548</v>
      </c>
      <c r="H9" s="1072" t="s">
        <v>966</v>
      </c>
      <c r="I9" s="1073" t="s">
        <v>967</v>
      </c>
      <c r="J9" s="13"/>
      <c r="K9" s="13"/>
      <c r="Q9" s="127"/>
    </row>
    <row r="10" spans="1:17" x14ac:dyDescent="0.3">
      <c r="A10" s="561"/>
      <c r="B10" s="562"/>
      <c r="C10" s="561"/>
      <c r="D10" s="1081" t="s">
        <v>816</v>
      </c>
      <c r="E10" s="1081" t="s">
        <v>817</v>
      </c>
      <c r="H10" s="1017" t="s">
        <v>968</v>
      </c>
      <c r="I10" s="1069">
        <v>0</v>
      </c>
      <c r="J10" s="13"/>
      <c r="K10" s="13"/>
    </row>
    <row r="11" spans="1:17" x14ac:dyDescent="0.3">
      <c r="A11" s="76"/>
      <c r="B11" s="342" t="s">
        <v>1126</v>
      </c>
      <c r="C11" s="128" t="s">
        <v>67</v>
      </c>
      <c r="D11" s="363">
        <f>6.087</f>
        <v>6.0869999999999997</v>
      </c>
      <c r="E11" s="363">
        <v>4.0919999999999996</v>
      </c>
      <c r="H11" s="1017" t="s">
        <v>2</v>
      </c>
      <c r="I11" s="1070">
        <v>0</v>
      </c>
      <c r="J11" s="13"/>
      <c r="K11" s="13"/>
      <c r="Q11" s="127"/>
    </row>
    <row r="12" spans="1:17" x14ac:dyDescent="0.3">
      <c r="A12" s="76"/>
      <c r="B12" s="342" t="s">
        <v>1127</v>
      </c>
      <c r="C12" s="128" t="s">
        <v>26</v>
      </c>
      <c r="D12" s="412">
        <f>D11/$E$5</f>
        <v>5.0724999999999998</v>
      </c>
      <c r="E12" s="412">
        <f>E11/$E$5</f>
        <v>3.4099999999999997</v>
      </c>
      <c r="F12" s="1204"/>
      <c r="G12" s="1204"/>
      <c r="H12" s="650" t="s">
        <v>53</v>
      </c>
      <c r="I12" s="1070">
        <v>0</v>
      </c>
      <c r="J12" s="13"/>
      <c r="K12" s="13"/>
      <c r="Q12" s="127"/>
    </row>
    <row r="13" spans="1:17" x14ac:dyDescent="0.3">
      <c r="A13" s="76"/>
      <c r="B13" s="342" t="s">
        <v>568</v>
      </c>
      <c r="C13" s="128" t="s">
        <v>69</v>
      </c>
      <c r="D13" s="391">
        <v>580</v>
      </c>
      <c r="E13" s="391">
        <v>580</v>
      </c>
      <c r="F13" s="1208"/>
      <c r="G13" s="894"/>
      <c r="H13" s="13" t="s">
        <v>1119</v>
      </c>
      <c r="I13" s="1071">
        <f>E5</f>
        <v>1.2</v>
      </c>
      <c r="Q13" s="127"/>
    </row>
    <row r="14" spans="1:17" x14ac:dyDescent="0.3">
      <c r="A14" s="76"/>
      <c r="B14" s="141" t="s">
        <v>68</v>
      </c>
      <c r="C14" s="13" t="s">
        <v>26</v>
      </c>
      <c r="D14" s="1098">
        <v>4.4000000000000004</v>
      </c>
      <c r="E14" s="390">
        <v>1.1000000000000001</v>
      </c>
      <c r="J14" s="13"/>
      <c r="K14" s="13"/>
      <c r="Q14" s="127"/>
    </row>
    <row r="15" spans="1:17" x14ac:dyDescent="0.3">
      <c r="A15" s="76"/>
      <c r="B15" s="141" t="s">
        <v>1128</v>
      </c>
      <c r="C15" s="13" t="s">
        <v>28</v>
      </c>
      <c r="D15" s="389">
        <f>IF($E$9="Yes",32,23)</f>
        <v>32</v>
      </c>
      <c r="E15" s="115">
        <f>IF($E$9="Yes",12,15)</f>
        <v>12</v>
      </c>
      <c r="J15" s="13"/>
      <c r="K15" s="13"/>
      <c r="Q15" s="127"/>
    </row>
    <row r="16" spans="1:17" x14ac:dyDescent="0.3">
      <c r="A16" s="76"/>
      <c r="B16" s="141" t="s">
        <v>1219</v>
      </c>
      <c r="C16" s="13" t="s">
        <v>28</v>
      </c>
      <c r="D16" s="389">
        <f>D15+E15</f>
        <v>44</v>
      </c>
      <c r="E16" s="115">
        <f>E15</f>
        <v>12</v>
      </c>
      <c r="H16" s="13"/>
      <c r="I16" s="13" t="s">
        <v>1125</v>
      </c>
      <c r="J16" s="13"/>
      <c r="K16" s="1047"/>
      <c r="Q16" s="127"/>
    </row>
    <row r="17" spans="1:17" x14ac:dyDescent="0.3">
      <c r="A17" s="76"/>
      <c r="B17" s="141" t="s">
        <v>1129</v>
      </c>
      <c r="C17" s="13" t="s">
        <v>28</v>
      </c>
      <c r="D17" s="115">
        <v>1</v>
      </c>
      <c r="E17" s="115">
        <v>1</v>
      </c>
      <c r="H17" s="13" t="s">
        <v>1123</v>
      </c>
      <c r="I17" s="115">
        <v>1.3520000000000001</v>
      </c>
      <c r="M17" s="13"/>
      <c r="Q17" s="127"/>
    </row>
    <row r="18" spans="1:17" x14ac:dyDescent="0.3">
      <c r="A18" s="76"/>
      <c r="B18" s="141" t="s">
        <v>818</v>
      </c>
      <c r="C18" s="13" t="s">
        <v>28</v>
      </c>
      <c r="D18" s="389">
        <v>28</v>
      </c>
      <c r="E18" s="389">
        <v>28</v>
      </c>
      <c r="H18" s="13" t="s">
        <v>1122</v>
      </c>
      <c r="I18" s="115">
        <v>1.2</v>
      </c>
      <c r="L18" s="13"/>
      <c r="M18" s="13"/>
      <c r="Q18" s="127"/>
    </row>
    <row r="19" spans="1:17" hidden="1" x14ac:dyDescent="0.3">
      <c r="A19" s="76"/>
      <c r="B19" s="141"/>
      <c r="D19" s="563"/>
      <c r="E19" s="563"/>
      <c r="L19" s="13"/>
      <c r="M19" s="13"/>
      <c r="Q19" s="127"/>
    </row>
    <row r="20" spans="1:17" x14ac:dyDescent="0.3">
      <c r="A20" s="76"/>
      <c r="B20" s="141" t="s">
        <v>1131</v>
      </c>
      <c r="C20" s="13" t="s">
        <v>28</v>
      </c>
      <c r="D20" s="487">
        <f>D22+D24</f>
        <v>336544</v>
      </c>
      <c r="E20" s="487">
        <f>E22+E24</f>
        <v>84841</v>
      </c>
      <c r="F20" s="142"/>
      <c r="G20" s="396"/>
      <c r="H20" s="13"/>
      <c r="I20" s="1246"/>
      <c r="K20" s="13"/>
      <c r="Q20" s="127"/>
    </row>
    <row r="21" spans="1:17" x14ac:dyDescent="0.3">
      <c r="A21" s="76"/>
      <c r="B21" s="141" t="s">
        <v>617</v>
      </c>
      <c r="C21" s="13" t="s">
        <v>28</v>
      </c>
      <c r="D21" s="389">
        <v>10496</v>
      </c>
      <c r="E21" s="389">
        <v>7056</v>
      </c>
      <c r="F21" s="894"/>
      <c r="G21" s="894"/>
      <c r="H21" s="13"/>
      <c r="K21" s="13"/>
      <c r="Q21" s="127"/>
    </row>
    <row r="22" spans="1:17" x14ac:dyDescent="0.3">
      <c r="A22" s="76"/>
      <c r="B22" s="141" t="s">
        <v>1130</v>
      </c>
      <c r="C22" s="13" t="s">
        <v>28</v>
      </c>
      <c r="D22" s="387">
        <f>D15*D21</f>
        <v>335872</v>
      </c>
      <c r="E22" s="387">
        <f>E15*E21</f>
        <v>84672</v>
      </c>
      <c r="H22" s="13"/>
      <c r="K22" s="13"/>
      <c r="Q22" s="127"/>
    </row>
    <row r="23" spans="1:17" x14ac:dyDescent="0.3">
      <c r="A23" s="76"/>
      <c r="B23" s="141" t="s">
        <v>625</v>
      </c>
      <c r="C23" s="13" t="s">
        <v>0</v>
      </c>
      <c r="D23" s="153">
        <v>2E-3</v>
      </c>
      <c r="E23" s="153">
        <f>D23</f>
        <v>2E-3</v>
      </c>
      <c r="F23" s="396"/>
      <c r="G23" s="396"/>
      <c r="H23" s="13"/>
      <c r="I23" s="13"/>
      <c r="J23" s="13"/>
      <c r="K23" s="13"/>
      <c r="Q23" s="127"/>
    </row>
    <row r="24" spans="1:17" x14ac:dyDescent="0.3">
      <c r="A24" s="76"/>
      <c r="B24" s="141" t="s">
        <v>625</v>
      </c>
      <c r="C24" s="13" t="s">
        <v>28</v>
      </c>
      <c r="D24" s="130">
        <f>ROUND(D23*D22,0)</f>
        <v>672</v>
      </c>
      <c r="E24" s="130">
        <f>ROUND(E23*E22,0)</f>
        <v>169</v>
      </c>
      <c r="F24" s="396"/>
      <c r="G24" s="396"/>
      <c r="H24" s="13"/>
      <c r="I24" s="894"/>
      <c r="J24" s="13"/>
      <c r="K24" s="13"/>
      <c r="Q24" s="127"/>
    </row>
    <row r="25" spans="1:17" x14ac:dyDescent="0.3">
      <c r="A25" s="76"/>
      <c r="B25" s="141" t="s">
        <v>969</v>
      </c>
      <c r="C25" s="13" t="s">
        <v>28</v>
      </c>
      <c r="D25" s="389">
        <v>1180</v>
      </c>
      <c r="E25" s="389">
        <v>856</v>
      </c>
      <c r="F25" s="817"/>
      <c r="G25" s="817"/>
      <c r="J25" s="13"/>
      <c r="K25" s="13"/>
      <c r="Q25" s="127"/>
    </row>
    <row r="26" spans="1:17" x14ac:dyDescent="0.3">
      <c r="A26" s="76"/>
      <c r="B26" s="10" t="s">
        <v>971</v>
      </c>
      <c r="C26" s="13" t="s">
        <v>28</v>
      </c>
      <c r="D26" s="389">
        <v>4092</v>
      </c>
      <c r="E26" s="389">
        <v>2697</v>
      </c>
      <c r="F26" s="817"/>
      <c r="G26" s="817"/>
      <c r="H26" s="13"/>
      <c r="I26" s="894"/>
      <c r="J26" s="13"/>
      <c r="K26" s="13"/>
      <c r="Q26" s="127"/>
    </row>
    <row r="27" spans="1:17" x14ac:dyDescent="0.3">
      <c r="A27" s="76"/>
      <c r="B27" s="141" t="s">
        <v>970</v>
      </c>
      <c r="C27" s="13" t="s">
        <v>28</v>
      </c>
      <c r="D27" s="389">
        <v>3712</v>
      </c>
      <c r="E27" s="389">
        <v>2436</v>
      </c>
      <c r="H27" s="13"/>
      <c r="I27" s="894"/>
      <c r="J27" s="13"/>
      <c r="K27" s="13"/>
      <c r="Q27" s="127"/>
    </row>
    <row r="28" spans="1:17" x14ac:dyDescent="0.3">
      <c r="A28" s="76"/>
      <c r="B28" s="141" t="s">
        <v>972</v>
      </c>
      <c r="C28" s="13" t="s">
        <v>28</v>
      </c>
      <c r="D28" s="389">
        <v>597</v>
      </c>
      <c r="E28" s="389">
        <v>416</v>
      </c>
      <c r="H28" s="13"/>
      <c r="I28" s="894"/>
      <c r="J28" s="13"/>
      <c r="K28" s="13"/>
      <c r="Q28" s="127"/>
    </row>
    <row r="29" spans="1:17" x14ac:dyDescent="0.3">
      <c r="A29" s="76"/>
      <c r="B29" s="350" t="s">
        <v>1139</v>
      </c>
      <c r="C29" s="388" t="s">
        <v>28</v>
      </c>
      <c r="D29" s="389">
        <v>20695</v>
      </c>
      <c r="E29" s="389">
        <v>7761</v>
      </c>
      <c r="H29" s="13"/>
      <c r="I29" s="13"/>
      <c r="J29" s="13"/>
      <c r="K29" s="13"/>
      <c r="Q29" s="127"/>
    </row>
    <row r="30" spans="1:17" x14ac:dyDescent="0.3">
      <c r="A30" s="76"/>
      <c r="B30" s="350" t="s">
        <v>1140</v>
      </c>
      <c r="C30" s="388" t="s">
        <v>28</v>
      </c>
      <c r="D30" s="389">
        <v>24803</v>
      </c>
      <c r="E30" s="389">
        <v>9301</v>
      </c>
      <c r="H30" s="13"/>
      <c r="I30" s="13"/>
      <c r="J30" s="13"/>
      <c r="K30" s="13"/>
      <c r="Q30" s="127"/>
    </row>
    <row r="31" spans="1:17" x14ac:dyDescent="0.3">
      <c r="A31" s="76"/>
      <c r="B31" s="350" t="s">
        <v>1141</v>
      </c>
      <c r="C31" s="388" t="s">
        <v>1007</v>
      </c>
      <c r="D31" s="389">
        <f>68320/1000</f>
        <v>68.319999999999993</v>
      </c>
      <c r="E31" s="389">
        <f>19320/1000</f>
        <v>19.32</v>
      </c>
      <c r="H31" s="13"/>
      <c r="I31" s="13"/>
      <c r="J31" s="13"/>
      <c r="K31" s="13"/>
      <c r="Q31" s="127"/>
    </row>
    <row r="32" spans="1:17" x14ac:dyDescent="0.3">
      <c r="A32" s="76"/>
      <c r="B32" s="350" t="s">
        <v>1142</v>
      </c>
      <c r="C32" s="388" t="s">
        <v>1007</v>
      </c>
      <c r="D32" s="389">
        <f>55360/1000</f>
        <v>55.36</v>
      </c>
      <c r="E32" s="389">
        <f>15480/1000</f>
        <v>15.48</v>
      </c>
      <c r="H32" s="13"/>
      <c r="I32" s="13"/>
      <c r="J32" s="13"/>
      <c r="K32" s="13"/>
      <c r="Q32" s="127"/>
    </row>
    <row r="33" spans="1:21" x14ac:dyDescent="0.3">
      <c r="A33" s="76"/>
      <c r="B33" s="350" t="s">
        <v>1143</v>
      </c>
      <c r="C33" s="388" t="s">
        <v>1007</v>
      </c>
      <c r="D33" s="389">
        <f>5940/1000</f>
        <v>5.94</v>
      </c>
      <c r="E33" s="389">
        <f>5940/1000</f>
        <v>5.94</v>
      </c>
      <c r="H33" s="13"/>
      <c r="I33" s="13"/>
      <c r="J33" s="13"/>
      <c r="K33" s="894"/>
      <c r="Q33" s="127"/>
    </row>
    <row r="34" spans="1:21" x14ac:dyDescent="0.3">
      <c r="A34" s="1080" t="s">
        <v>1114</v>
      </c>
      <c r="B34" s="1038"/>
      <c r="C34" s="1039"/>
      <c r="D34" s="1036" t="s">
        <v>386</v>
      </c>
      <c r="E34" s="1036" t="s">
        <v>567</v>
      </c>
    </row>
    <row r="35" spans="1:21" x14ac:dyDescent="0.3">
      <c r="A35" s="76" t="s">
        <v>268</v>
      </c>
      <c r="B35" s="719" t="s">
        <v>74</v>
      </c>
      <c r="C35" s="720"/>
      <c r="D35" s="721"/>
      <c r="E35" s="721"/>
    </row>
    <row r="36" spans="1:21" x14ac:dyDescent="0.3">
      <c r="A36" s="76"/>
      <c r="B36" s="345" t="s">
        <v>63</v>
      </c>
      <c r="C36" s="415" t="s">
        <v>28</v>
      </c>
      <c r="D36" s="1261">
        <f>14.4*1.1</f>
        <v>15.840000000000002</v>
      </c>
      <c r="E36" s="1040">
        <f>IF($E$9="Yes",D20+E20,E36*0.95)</f>
        <v>421385</v>
      </c>
      <c r="F36" s="660">
        <v>0</v>
      </c>
      <c r="G36" s="660"/>
    </row>
    <row r="37" spans="1:21" x14ac:dyDescent="0.3">
      <c r="A37" s="76"/>
      <c r="B37" s="566" t="s">
        <v>627</v>
      </c>
      <c r="C37" s="415" t="s">
        <v>28</v>
      </c>
      <c r="D37" s="1068">
        <v>1000000</v>
      </c>
      <c r="E37" s="1041">
        <v>1</v>
      </c>
    </row>
    <row r="38" spans="1:21" x14ac:dyDescent="0.3">
      <c r="A38" s="76"/>
      <c r="B38" s="573" t="s">
        <v>628</v>
      </c>
      <c r="C38" s="415" t="s">
        <v>28</v>
      </c>
      <c r="D38" s="1068">
        <v>500000</v>
      </c>
      <c r="E38" s="1041">
        <v>1</v>
      </c>
    </row>
    <row r="39" spans="1:21" x14ac:dyDescent="0.3">
      <c r="A39" s="76"/>
      <c r="B39" s="1023" t="s">
        <v>609</v>
      </c>
      <c r="C39" s="388" t="s">
        <v>28</v>
      </c>
      <c r="D39" s="1042">
        <v>5700000</v>
      </c>
      <c r="E39" s="1240">
        <f>D16</f>
        <v>44</v>
      </c>
    </row>
    <row r="40" spans="1:21" x14ac:dyDescent="0.3">
      <c r="A40" s="76"/>
      <c r="B40" s="1023" t="s">
        <v>1213</v>
      </c>
      <c r="C40" s="388" t="s">
        <v>28</v>
      </c>
      <c r="D40" s="1042">
        <v>1187500</v>
      </c>
      <c r="E40" s="1043">
        <f>E16</f>
        <v>12</v>
      </c>
    </row>
    <row r="41" spans="1:21" x14ac:dyDescent="0.3">
      <c r="A41" s="76"/>
    </row>
    <row r="42" spans="1:21" x14ac:dyDescent="0.3">
      <c r="A42" s="119"/>
      <c r="B42" s="133" t="s">
        <v>441</v>
      </c>
      <c r="C42" s="119"/>
      <c r="D42" s="1036"/>
      <c r="E42" s="1036"/>
      <c r="H42" s="1036" t="s">
        <v>1247</v>
      </c>
      <c r="I42" s="1036" t="s">
        <v>1248</v>
      </c>
      <c r="J42" s="11"/>
    </row>
    <row r="43" spans="1:21" x14ac:dyDescent="0.3">
      <c r="B43" s="344" t="s">
        <v>76</v>
      </c>
      <c r="C43" s="383"/>
      <c r="D43" s="361" t="s">
        <v>218</v>
      </c>
      <c r="E43" s="361" t="s">
        <v>290</v>
      </c>
      <c r="F43" s="13" t="s">
        <v>1243</v>
      </c>
      <c r="N43" s="13"/>
      <c r="O43" s="13"/>
      <c r="P43" s="13"/>
      <c r="Q43" s="13"/>
    </row>
    <row r="44" spans="1:21" ht="13.75" customHeight="1" x14ac:dyDescent="0.3">
      <c r="B44" s="345" t="s">
        <v>1134</v>
      </c>
      <c r="C44" s="13" t="s">
        <v>28</v>
      </c>
      <c r="D44" s="1068">
        <v>1045</v>
      </c>
      <c r="E44" s="1082">
        <f>IF($E$9="Yes",H44,I44)</f>
        <v>420544</v>
      </c>
      <c r="F44" s="13" t="s">
        <v>1243</v>
      </c>
      <c r="H44" s="1082">
        <v>420544</v>
      </c>
      <c r="I44" s="107">
        <f>H44*(1-17%)</f>
        <v>349051.51999999996</v>
      </c>
      <c r="J44" s="365"/>
      <c r="K44" s="1247"/>
      <c r="L44" s="1248"/>
      <c r="N44" s="134"/>
      <c r="O44" s="134"/>
      <c r="P44" s="134"/>
      <c r="Q44" s="134"/>
      <c r="R44" s="134"/>
      <c r="S44" s="134"/>
      <c r="U44" s="134"/>
    </row>
    <row r="45" spans="1:21" ht="13.75" customHeight="1" x14ac:dyDescent="0.3">
      <c r="B45" s="345" t="s">
        <v>1135</v>
      </c>
      <c r="C45" s="13" t="s">
        <v>28</v>
      </c>
      <c r="D45" s="1068">
        <v>4018.5</v>
      </c>
      <c r="E45" s="1082">
        <f t="shared" ref="E45:E50" si="0">IF($E$9="Yes",H45,I45)</f>
        <v>48032</v>
      </c>
      <c r="F45" s="13" t="s">
        <v>1243</v>
      </c>
      <c r="H45" s="1082">
        <v>48032</v>
      </c>
      <c r="I45" s="107">
        <f t="shared" ref="I45:I50" si="1">H45*(1-17%)</f>
        <v>39866.559999999998</v>
      </c>
      <c r="K45" s="1247"/>
      <c r="L45" s="1248"/>
      <c r="N45" s="134"/>
      <c r="O45" s="134"/>
      <c r="P45" s="134"/>
      <c r="Q45" s="134"/>
      <c r="R45" s="134"/>
      <c r="S45" s="134"/>
      <c r="U45" s="134"/>
    </row>
    <row r="46" spans="1:21" ht="13.75" customHeight="1" x14ac:dyDescent="0.3">
      <c r="B46" s="345" t="s">
        <v>551</v>
      </c>
      <c r="C46" s="13" t="s">
        <v>28</v>
      </c>
      <c r="D46" s="1068">
        <v>2411.1</v>
      </c>
      <c r="E46" s="1082">
        <f t="shared" si="0"/>
        <v>163308</v>
      </c>
      <c r="F46" s="13" t="s">
        <v>1243</v>
      </c>
      <c r="H46" s="1082">
        <v>163308</v>
      </c>
      <c r="I46" s="107">
        <f t="shared" si="1"/>
        <v>135545.63999999998</v>
      </c>
      <c r="J46" s="1021"/>
      <c r="K46" s="1247"/>
      <c r="L46" s="1248"/>
      <c r="N46" s="134"/>
      <c r="O46" s="134"/>
      <c r="P46" s="134"/>
      <c r="Q46" s="134"/>
      <c r="R46" s="134"/>
      <c r="S46" s="134"/>
      <c r="U46" s="134"/>
    </row>
    <row r="47" spans="1:21" ht="13.75" customHeight="1" x14ac:dyDescent="0.3">
      <c r="B47" s="345" t="s">
        <v>552</v>
      </c>
      <c r="C47" s="13" t="s">
        <v>28</v>
      </c>
      <c r="D47" s="1068">
        <v>1607.3999999999999</v>
      </c>
      <c r="E47" s="1082">
        <f t="shared" si="0"/>
        <v>148016</v>
      </c>
      <c r="F47" s="13" t="s">
        <v>1243</v>
      </c>
      <c r="H47" s="1082">
        <v>148016</v>
      </c>
      <c r="I47" s="107">
        <f t="shared" si="1"/>
        <v>122853.28</v>
      </c>
      <c r="K47" s="1247"/>
      <c r="L47" s="1248"/>
      <c r="N47" s="134"/>
      <c r="O47" s="134"/>
      <c r="P47" s="134"/>
      <c r="Q47" s="134"/>
      <c r="R47" s="134"/>
      <c r="S47" s="134"/>
      <c r="U47" s="134"/>
    </row>
    <row r="48" spans="1:21" ht="13.75" customHeight="1" x14ac:dyDescent="0.3">
      <c r="B48" s="345" t="s">
        <v>1133</v>
      </c>
      <c r="C48" s="13" t="s">
        <v>28</v>
      </c>
      <c r="D48" s="1068">
        <v>7968.125</v>
      </c>
      <c r="E48" s="1082">
        <f t="shared" si="0"/>
        <v>24096</v>
      </c>
      <c r="F48" s="13" t="s">
        <v>1243</v>
      </c>
      <c r="H48" s="1082">
        <v>24096</v>
      </c>
      <c r="I48" s="107">
        <f t="shared" si="1"/>
        <v>19999.68</v>
      </c>
      <c r="K48" s="1247"/>
      <c r="L48" s="1248"/>
      <c r="N48" s="134"/>
      <c r="O48" s="134"/>
      <c r="P48" s="134"/>
      <c r="Q48" s="134"/>
      <c r="R48" s="134"/>
      <c r="S48" s="134"/>
      <c r="U48" s="134"/>
    </row>
    <row r="49" spans="1:21" ht="13.75" customHeight="1" x14ac:dyDescent="0.3">
      <c r="B49" s="350" t="s">
        <v>1139</v>
      </c>
      <c r="C49" s="13" t="s">
        <v>28</v>
      </c>
      <c r="D49" s="1068">
        <v>126.35</v>
      </c>
      <c r="E49" s="1082">
        <f t="shared" si="0"/>
        <v>755372</v>
      </c>
      <c r="F49" s="13" t="s">
        <v>1243</v>
      </c>
      <c r="H49" s="1082">
        <v>755372</v>
      </c>
      <c r="I49" s="107">
        <f t="shared" si="1"/>
        <v>626958.76</v>
      </c>
      <c r="K49" s="1221"/>
      <c r="L49" s="1248"/>
      <c r="N49" s="134"/>
      <c r="O49" s="134"/>
      <c r="P49" s="134"/>
      <c r="Q49" s="134"/>
      <c r="R49" s="134"/>
      <c r="S49" s="134"/>
      <c r="U49" s="134"/>
    </row>
    <row r="50" spans="1:21" ht="13.75" customHeight="1" x14ac:dyDescent="0.3">
      <c r="B50" s="350" t="s">
        <v>1140</v>
      </c>
      <c r="C50" s="13" t="s">
        <v>28</v>
      </c>
      <c r="D50" s="1068">
        <v>105.44999999999999</v>
      </c>
      <c r="E50" s="1082">
        <f t="shared" si="0"/>
        <v>905308</v>
      </c>
      <c r="F50" s="13" t="s">
        <v>1243</v>
      </c>
      <c r="H50" s="1082">
        <v>905308</v>
      </c>
      <c r="I50" s="107">
        <f t="shared" si="1"/>
        <v>751405.64</v>
      </c>
      <c r="K50" s="1221"/>
      <c r="L50" s="1248"/>
      <c r="N50" s="134"/>
      <c r="O50" s="134"/>
      <c r="P50" s="134"/>
      <c r="Q50" s="134"/>
      <c r="R50" s="134"/>
      <c r="S50" s="134"/>
      <c r="U50" s="134"/>
    </row>
    <row r="51" spans="1:21" ht="13.75" hidden="1" customHeight="1" x14ac:dyDescent="0.3">
      <c r="D51" s="1132"/>
      <c r="E51" s="1133"/>
      <c r="I51" s="12"/>
      <c r="K51" s="1248"/>
      <c r="L51" s="1248"/>
      <c r="N51" s="134"/>
      <c r="O51" s="134"/>
      <c r="P51" s="134"/>
      <c r="Q51" s="134"/>
      <c r="R51" s="134"/>
      <c r="S51" s="134"/>
      <c r="U51" s="134"/>
    </row>
    <row r="52" spans="1:21" ht="13.75" hidden="1" customHeight="1" x14ac:dyDescent="0.3">
      <c r="D52" s="1132"/>
      <c r="E52" s="1133"/>
      <c r="I52" s="12"/>
      <c r="K52" s="1248"/>
      <c r="L52" s="1248"/>
      <c r="N52" s="134"/>
      <c r="O52" s="134"/>
      <c r="P52" s="134"/>
      <c r="Q52" s="134"/>
      <c r="R52" s="134"/>
      <c r="S52" s="134"/>
      <c r="U52" s="134"/>
    </row>
    <row r="53" spans="1:21" ht="13.75" hidden="1" customHeight="1" x14ac:dyDescent="0.3">
      <c r="B53" s="13"/>
      <c r="E53" s="13"/>
      <c r="K53" s="1248"/>
      <c r="L53" s="1248"/>
      <c r="N53" s="134"/>
      <c r="O53" s="134"/>
      <c r="P53" s="134"/>
      <c r="Q53" s="134"/>
      <c r="R53" s="134"/>
      <c r="S53" s="134"/>
      <c r="U53" s="134"/>
    </row>
    <row r="54" spans="1:21" ht="13.75" customHeight="1" x14ac:dyDescent="0.3">
      <c r="B54" s="344" t="s">
        <v>570</v>
      </c>
      <c r="C54" s="383"/>
      <c r="D54" s="361" t="s">
        <v>1138</v>
      </c>
      <c r="E54" s="185" t="s">
        <v>72</v>
      </c>
      <c r="I54" s="13"/>
      <c r="J54" s="13"/>
      <c r="K54" s="1221"/>
      <c r="L54" s="1221"/>
      <c r="M54" s="13"/>
      <c r="N54" s="13"/>
      <c r="O54" s="134"/>
      <c r="P54" s="134"/>
      <c r="Q54" s="134"/>
      <c r="R54" s="134"/>
      <c r="S54" s="134"/>
      <c r="T54" s="134"/>
      <c r="U54" s="134"/>
    </row>
    <row r="55" spans="1:21" ht="13.75" customHeight="1" x14ac:dyDescent="0.3">
      <c r="B55" s="345" t="s">
        <v>850</v>
      </c>
      <c r="C55" s="13" t="s">
        <v>1113</v>
      </c>
      <c r="D55" s="1068">
        <v>5878028.0999999996</v>
      </c>
      <c r="E55" s="1082">
        <f t="shared" ref="E55:E58" si="2">IF($E$9="Yes",H55,I55)</f>
        <v>87.639999999999986</v>
      </c>
      <c r="F55" s="650"/>
      <c r="H55" s="389">
        <f>D31+E31</f>
        <v>87.639999999999986</v>
      </c>
      <c r="I55" s="105">
        <f t="shared" ref="I55:I60" si="3">H55*(1-17%)</f>
        <v>72.741199999999992</v>
      </c>
      <c r="J55" s="13"/>
      <c r="K55" s="1221"/>
      <c r="L55" s="1248"/>
      <c r="M55" s="13"/>
      <c r="N55" s="13"/>
      <c r="O55" s="134"/>
      <c r="P55" s="134"/>
      <c r="Q55" s="134"/>
      <c r="R55" s="134"/>
      <c r="S55" s="134"/>
      <c r="T55" s="134"/>
      <c r="U55" s="134"/>
    </row>
    <row r="56" spans="1:21" ht="13.75" customHeight="1" x14ac:dyDescent="0.3">
      <c r="B56" s="345" t="s">
        <v>851</v>
      </c>
      <c r="C56" s="13" t="s">
        <v>1113</v>
      </c>
      <c r="D56" s="1068">
        <v>5878028.0999999996</v>
      </c>
      <c r="E56" s="1082">
        <f t="shared" si="2"/>
        <v>70.84</v>
      </c>
      <c r="F56" s="650"/>
      <c r="H56" s="389">
        <f>D32+E32</f>
        <v>70.84</v>
      </c>
      <c r="I56" s="105">
        <f t="shared" si="3"/>
        <v>58.797199999999997</v>
      </c>
      <c r="J56" s="13"/>
      <c r="K56" s="1221"/>
      <c r="L56" s="1248"/>
      <c r="M56" s="13"/>
      <c r="N56" s="13"/>
      <c r="O56" s="134"/>
      <c r="P56" s="134"/>
      <c r="Q56" s="134"/>
      <c r="R56" s="134"/>
      <c r="S56" s="134"/>
      <c r="T56" s="134"/>
      <c r="U56" s="134"/>
    </row>
    <row r="57" spans="1:21" ht="13.75" customHeight="1" x14ac:dyDescent="0.3">
      <c r="B57" s="345" t="s">
        <v>607</v>
      </c>
      <c r="C57" s="13" t="s">
        <v>425</v>
      </c>
      <c r="D57" s="1068">
        <v>7505</v>
      </c>
      <c r="E57" s="1082">
        <f t="shared" si="2"/>
        <v>2400</v>
      </c>
      <c r="H57" s="115">
        <v>2400</v>
      </c>
      <c r="I57" s="105">
        <f t="shared" si="3"/>
        <v>1992</v>
      </c>
      <c r="J57" s="13"/>
      <c r="K57" s="1221"/>
      <c r="L57" s="1248"/>
      <c r="M57" s="13"/>
      <c r="N57" s="13"/>
      <c r="O57" s="134"/>
      <c r="P57" s="134"/>
      <c r="Q57" s="134"/>
      <c r="R57" s="134"/>
      <c r="S57" s="134"/>
      <c r="T57" s="134"/>
      <c r="U57" s="134"/>
    </row>
    <row r="58" spans="1:21" ht="13.75" customHeight="1" x14ac:dyDescent="0.3">
      <c r="B58" s="1135" t="s">
        <v>973</v>
      </c>
      <c r="C58" s="388" t="s">
        <v>1112</v>
      </c>
      <c r="D58" s="1068">
        <v>1055716.2849999999</v>
      </c>
      <c r="E58" s="1082">
        <f t="shared" si="2"/>
        <v>11.88</v>
      </c>
      <c r="H58" s="389">
        <f>SUM(D33:E33)</f>
        <v>11.88</v>
      </c>
      <c r="I58" s="105">
        <f t="shared" si="3"/>
        <v>9.8604000000000003</v>
      </c>
      <c r="J58" s="13"/>
      <c r="K58" s="1221"/>
      <c r="L58" s="1248"/>
      <c r="M58" s="13"/>
      <c r="N58" s="13"/>
      <c r="O58" s="134"/>
      <c r="P58" s="134"/>
      <c r="Q58" s="134"/>
      <c r="R58" s="134"/>
      <c r="S58" s="134"/>
      <c r="T58" s="134"/>
      <c r="U58" s="134"/>
    </row>
    <row r="59" spans="1:21" ht="13.75" customHeight="1" x14ac:dyDescent="0.3">
      <c r="B59" s="344" t="s">
        <v>571</v>
      </c>
      <c r="C59" s="383"/>
      <c r="D59" s="361"/>
      <c r="E59" s="361"/>
      <c r="I59" s="13"/>
      <c r="J59" s="13"/>
      <c r="K59" s="1221"/>
      <c r="L59" s="1221"/>
      <c r="M59" s="13"/>
      <c r="N59" s="13"/>
      <c r="O59" s="134"/>
      <c r="P59" s="134"/>
      <c r="Q59" s="134"/>
      <c r="R59" s="134"/>
      <c r="S59" s="134"/>
      <c r="T59" s="134"/>
      <c r="U59" s="134"/>
    </row>
    <row r="60" spans="1:21" ht="13.75" customHeight="1" x14ac:dyDescent="0.3">
      <c r="B60" s="345" t="s">
        <v>594</v>
      </c>
      <c r="C60" s="13" t="s">
        <v>1111</v>
      </c>
      <c r="D60" s="1068">
        <v>17307.099999999999</v>
      </c>
      <c r="E60" s="1082">
        <f t="shared" ref="E60" si="4">IF($E$9="Yes",H60,I60)</f>
        <v>5536</v>
      </c>
      <c r="H60" s="96">
        <v>5536</v>
      </c>
      <c r="I60" s="105">
        <f t="shared" si="3"/>
        <v>4594.88</v>
      </c>
      <c r="J60" s="1037"/>
      <c r="K60" s="1221"/>
      <c r="L60" s="1248"/>
      <c r="M60" s="13"/>
      <c r="N60" s="13"/>
      <c r="O60" s="134"/>
      <c r="P60" s="134"/>
      <c r="Q60" s="134"/>
      <c r="R60" s="134"/>
      <c r="S60" s="134"/>
      <c r="T60" s="134"/>
      <c r="U60" s="134"/>
    </row>
    <row r="61" spans="1:21" ht="13.75" hidden="1" customHeight="1" x14ac:dyDescent="0.3">
      <c r="B61" s="13"/>
      <c r="E61" s="13"/>
      <c r="H61" s="13"/>
      <c r="I61" s="13"/>
      <c r="J61" s="13"/>
      <c r="K61" s="1221"/>
      <c r="L61" s="1221"/>
      <c r="M61" s="13"/>
      <c r="N61" s="13"/>
      <c r="O61" s="134"/>
      <c r="P61" s="134"/>
      <c r="Q61" s="134"/>
      <c r="R61" s="134"/>
      <c r="S61" s="134"/>
      <c r="T61" s="134"/>
      <c r="U61" s="134"/>
    </row>
    <row r="62" spans="1:21" ht="13.75" customHeight="1" x14ac:dyDescent="0.3">
      <c r="A62" s="1134"/>
      <c r="B62" s="362" t="s">
        <v>579</v>
      </c>
      <c r="C62" s="382"/>
      <c r="D62" s="382"/>
      <c r="E62" s="362"/>
      <c r="H62" s="13"/>
      <c r="I62" s="13"/>
      <c r="J62" s="13"/>
      <c r="K62" s="1221"/>
      <c r="L62" s="1221"/>
      <c r="M62" s="13"/>
      <c r="N62" s="13"/>
      <c r="O62" s="134"/>
      <c r="P62" s="134"/>
      <c r="Q62" s="134"/>
      <c r="R62" s="134"/>
      <c r="S62" s="134"/>
      <c r="T62" s="134"/>
      <c r="U62" s="134"/>
    </row>
    <row r="63" spans="1:21" ht="13.75" customHeight="1" x14ac:dyDescent="0.3">
      <c r="A63" s="388"/>
      <c r="B63" s="345" t="s">
        <v>1214</v>
      </c>
      <c r="C63" s="13" t="s">
        <v>425</v>
      </c>
      <c r="D63" s="1068">
        <v>5790249.9999999991</v>
      </c>
      <c r="E63" s="96">
        <f>E15</f>
        <v>12</v>
      </c>
      <c r="F63" s="388" t="s">
        <v>1241</v>
      </c>
      <c r="G63" s="388"/>
      <c r="H63" s="1221"/>
      <c r="I63" s="388"/>
      <c r="J63" s="13"/>
      <c r="K63" s="1221"/>
      <c r="L63" s="1248"/>
      <c r="M63" s="13"/>
      <c r="N63" s="13"/>
      <c r="O63" s="134"/>
      <c r="P63" s="134"/>
      <c r="Q63" s="134"/>
      <c r="R63" s="134"/>
      <c r="S63" s="134"/>
      <c r="T63" s="134"/>
      <c r="U63" s="134"/>
    </row>
    <row r="64" spans="1:21" ht="13.75" customHeight="1" x14ac:dyDescent="0.3">
      <c r="A64" s="388"/>
      <c r="B64" s="345" t="s">
        <v>1215</v>
      </c>
      <c r="C64" s="13" t="s">
        <v>425</v>
      </c>
      <c r="D64" s="1068">
        <v>6991999.9999999991</v>
      </c>
      <c r="E64" s="96">
        <f>D15</f>
        <v>32</v>
      </c>
      <c r="F64" s="388" t="s">
        <v>1241</v>
      </c>
      <c r="G64" s="1215"/>
      <c r="H64" s="1221"/>
      <c r="I64" s="388"/>
      <c r="J64" s="13"/>
      <c r="K64" s="1221"/>
      <c r="L64" s="1248"/>
      <c r="M64" s="13"/>
      <c r="N64" s="13"/>
      <c r="O64" s="134"/>
      <c r="P64" s="134"/>
      <c r="Q64" s="134"/>
      <c r="R64" s="134"/>
      <c r="S64" s="134"/>
      <c r="T64" s="134"/>
      <c r="U64" s="134"/>
    </row>
    <row r="65" spans="1:21" ht="13.75" customHeight="1" x14ac:dyDescent="0.3">
      <c r="B65" s="345" t="s">
        <v>1236</v>
      </c>
      <c r="C65" s="13" t="s">
        <v>1237</v>
      </c>
      <c r="D65" s="1068">
        <v>5500000</v>
      </c>
      <c r="E65" s="1082">
        <f t="shared" ref="E65" si="5">IF($E$9="Yes",H65,I65)</f>
        <v>52</v>
      </c>
      <c r="F65" s="10"/>
      <c r="G65" s="10"/>
      <c r="H65" s="314">
        <v>52</v>
      </c>
      <c r="I65" s="12">
        <v>38</v>
      </c>
      <c r="J65" s="13"/>
      <c r="K65" s="1221"/>
      <c r="L65" s="1248"/>
      <c r="M65" s="13"/>
      <c r="N65" s="13"/>
      <c r="O65" s="134"/>
      <c r="P65" s="134"/>
      <c r="Q65" s="134"/>
      <c r="R65" s="134"/>
      <c r="S65" s="134"/>
      <c r="T65" s="134"/>
      <c r="U65" s="134"/>
    </row>
    <row r="66" spans="1:21" ht="13.75" hidden="1" customHeight="1" x14ac:dyDescent="0.3">
      <c r="B66" s="346" t="s">
        <v>606</v>
      </c>
      <c r="C66" s="384"/>
      <c r="D66" s="361"/>
      <c r="E66" s="361"/>
      <c r="H66" s="13"/>
      <c r="I66" s="13"/>
      <c r="J66" s="13"/>
      <c r="K66" s="13"/>
      <c r="L66" s="13"/>
      <c r="M66" s="13"/>
      <c r="N66" s="13"/>
      <c r="O66" s="13"/>
    </row>
    <row r="67" spans="1:21" s="80" customFormat="1" hidden="1" x14ac:dyDescent="0.3">
      <c r="A67" s="202"/>
      <c r="B67" s="8" t="s">
        <v>204</v>
      </c>
      <c r="C67" s="202" t="s">
        <v>876</v>
      </c>
      <c r="D67" s="293">
        <v>0.15</v>
      </c>
      <c r="E67" s="13"/>
      <c r="F67" s="13"/>
      <c r="G67" s="13"/>
      <c r="H67" s="13"/>
      <c r="I67" s="13"/>
      <c r="J67" s="13"/>
      <c r="K67" s="13"/>
      <c r="L67" s="13"/>
      <c r="M67" s="13"/>
      <c r="N67" s="13"/>
      <c r="O67" s="13"/>
    </row>
    <row r="68" spans="1:21" s="80" customFormat="1" hidden="1" x14ac:dyDescent="0.3">
      <c r="A68" s="202"/>
      <c r="B68" s="366" t="s">
        <v>877</v>
      </c>
      <c r="C68" s="202" t="s">
        <v>876</v>
      </c>
      <c r="D68" s="293">
        <v>0.15</v>
      </c>
      <c r="E68" s="13"/>
      <c r="F68" s="13"/>
      <c r="G68" s="13"/>
      <c r="H68" s="13"/>
      <c r="I68" s="13"/>
      <c r="J68" s="13"/>
      <c r="K68" s="13"/>
      <c r="L68" s="13"/>
      <c r="M68" s="13"/>
      <c r="N68" s="13"/>
      <c r="O68" s="13"/>
    </row>
    <row r="69" spans="1:21" s="80" customFormat="1" hidden="1" x14ac:dyDescent="0.3">
      <c r="A69" s="202"/>
      <c r="B69" s="366" t="s">
        <v>551</v>
      </c>
      <c r="C69" s="202" t="s">
        <v>876</v>
      </c>
      <c r="D69" s="293">
        <v>0.15</v>
      </c>
      <c r="E69" s="13"/>
      <c r="F69" s="13"/>
      <c r="G69" s="13"/>
      <c r="H69" s="13"/>
      <c r="I69" s="13"/>
      <c r="J69" s="13"/>
      <c r="K69" s="13"/>
      <c r="L69" s="13"/>
      <c r="M69" s="13"/>
      <c r="N69" s="13"/>
      <c r="O69" s="13"/>
    </row>
    <row r="70" spans="1:21" s="80" customFormat="1" hidden="1" x14ac:dyDescent="0.3">
      <c r="A70" s="202"/>
      <c r="B70" s="366" t="s">
        <v>552</v>
      </c>
      <c r="C70" s="202" t="s">
        <v>876</v>
      </c>
      <c r="D70" s="293">
        <v>0.15</v>
      </c>
      <c r="E70" s="13"/>
      <c r="F70" s="13"/>
      <c r="G70" s="13"/>
      <c r="H70" s="13"/>
      <c r="I70" s="13"/>
      <c r="J70" s="13"/>
      <c r="K70" s="13"/>
      <c r="L70" s="13"/>
      <c r="M70" s="13"/>
      <c r="N70" s="13"/>
      <c r="O70" s="13"/>
    </row>
    <row r="71" spans="1:21" s="80" customFormat="1" hidden="1" x14ac:dyDescent="0.3">
      <c r="A71" s="202"/>
      <c r="B71" s="366" t="s">
        <v>878</v>
      </c>
      <c r="C71" s="202" t="s">
        <v>876</v>
      </c>
      <c r="D71" s="293">
        <v>0.15</v>
      </c>
      <c r="E71" s="13"/>
      <c r="F71" s="13"/>
      <c r="G71" s="13"/>
      <c r="H71" s="13"/>
      <c r="I71" s="13"/>
      <c r="J71" s="13"/>
      <c r="K71" s="13"/>
      <c r="L71" s="13"/>
      <c r="M71" s="13"/>
      <c r="N71" s="13"/>
      <c r="O71" s="13"/>
    </row>
    <row r="72" spans="1:21" s="80" customFormat="1" hidden="1" x14ac:dyDescent="0.3">
      <c r="A72" s="202"/>
      <c r="B72" s="366" t="s">
        <v>572</v>
      </c>
      <c r="C72" s="202" t="s">
        <v>876</v>
      </c>
      <c r="D72" s="293">
        <v>0.15</v>
      </c>
      <c r="E72" s="13"/>
      <c r="F72" s="13"/>
      <c r="G72" s="13"/>
      <c r="H72" s="13"/>
      <c r="I72" s="13"/>
      <c r="J72" s="13"/>
      <c r="K72" s="13"/>
      <c r="L72" s="13"/>
      <c r="M72" s="13"/>
      <c r="N72" s="13"/>
      <c r="O72" s="13"/>
    </row>
    <row r="73" spans="1:21" s="80" customFormat="1" hidden="1" x14ac:dyDescent="0.3">
      <c r="A73" s="202"/>
      <c r="B73" s="366" t="s">
        <v>581</v>
      </c>
      <c r="C73" s="202" t="s">
        <v>876</v>
      </c>
      <c r="D73" s="293">
        <v>0.15</v>
      </c>
      <c r="E73" s="13"/>
      <c r="F73" s="13"/>
      <c r="G73" s="13"/>
      <c r="H73" s="13"/>
      <c r="I73" s="13"/>
      <c r="J73" s="13"/>
      <c r="K73" s="13"/>
      <c r="L73" s="13"/>
      <c r="M73" s="13"/>
      <c r="N73" s="13"/>
      <c r="O73" s="13"/>
    </row>
    <row r="74" spans="1:21" s="80" customFormat="1" hidden="1" x14ac:dyDescent="0.3">
      <c r="A74" s="202"/>
      <c r="B74" s="366" t="s">
        <v>580</v>
      </c>
      <c r="C74" s="202" t="s">
        <v>876</v>
      </c>
      <c r="D74" s="293">
        <v>0.15</v>
      </c>
      <c r="E74" s="13"/>
      <c r="F74" s="13"/>
      <c r="G74" s="13"/>
      <c r="H74" s="13"/>
      <c r="I74" s="13"/>
      <c r="J74" s="13"/>
      <c r="K74" s="13"/>
      <c r="L74" s="13"/>
      <c r="M74" s="13"/>
      <c r="N74" s="13"/>
      <c r="O74" s="13"/>
    </row>
    <row r="75" spans="1:21" s="69" customFormat="1" x14ac:dyDescent="0.35">
      <c r="A75" s="847" t="s">
        <v>603</v>
      </c>
      <c r="B75" s="656" t="s">
        <v>421</v>
      </c>
      <c r="C75" s="657"/>
      <c r="D75" s="658"/>
      <c r="E75" s="658"/>
      <c r="F75" s="658"/>
      <c r="G75" s="658"/>
      <c r="H75" s="659"/>
      <c r="I75" s="659"/>
    </row>
    <row r="76" spans="1:21" s="455" customFormat="1" x14ac:dyDescent="0.35">
      <c r="A76" s="427" t="s">
        <v>268</v>
      </c>
      <c r="B76" s="456" t="s">
        <v>760</v>
      </c>
      <c r="C76" s="456"/>
      <c r="D76" s="428"/>
      <c r="E76" s="428" t="s">
        <v>754</v>
      </c>
      <c r="F76" s="427" t="s">
        <v>752</v>
      </c>
      <c r="G76" s="427"/>
      <c r="H76" s="427" t="s">
        <v>753</v>
      </c>
      <c r="I76" s="427"/>
    </row>
    <row r="77" spans="1:21" s="455" customFormat="1" outlineLevel="1" x14ac:dyDescent="0.35">
      <c r="A77" s="41">
        <v>1</v>
      </c>
      <c r="B77" s="443" t="s">
        <v>750</v>
      </c>
      <c r="C77" s="455" t="s">
        <v>854</v>
      </c>
      <c r="D77" s="376">
        <v>0</v>
      </c>
      <c r="E77" s="478">
        <f t="shared" ref="E77:E81" si="6">(F77*H77)/4000</f>
        <v>10.125</v>
      </c>
      <c r="F77" s="444">
        <v>225</v>
      </c>
      <c r="G77" s="444"/>
      <c r="H77" s="444">
        <v>180</v>
      </c>
      <c r="K77" s="41"/>
      <c r="L77" s="441"/>
      <c r="M77" s="441"/>
      <c r="N77" s="442"/>
    </row>
    <row r="78" spans="1:21" s="455" customFormat="1" outlineLevel="1" x14ac:dyDescent="0.35">
      <c r="A78" s="41">
        <v>2</v>
      </c>
      <c r="B78" s="443" t="s">
        <v>749</v>
      </c>
      <c r="C78" s="455" t="s">
        <v>854</v>
      </c>
      <c r="D78" s="376">
        <v>0</v>
      </c>
      <c r="E78" s="478">
        <f t="shared" si="6"/>
        <v>1</v>
      </c>
      <c r="F78" s="444">
        <v>80</v>
      </c>
      <c r="G78" s="444"/>
      <c r="H78" s="444">
        <v>50</v>
      </c>
      <c r="K78" s="41"/>
      <c r="L78" s="441"/>
      <c r="M78" s="441"/>
      <c r="N78" s="442"/>
    </row>
    <row r="79" spans="1:21" s="455" customFormat="1" outlineLevel="1" x14ac:dyDescent="0.35">
      <c r="A79" s="41">
        <v>3</v>
      </c>
      <c r="B79" s="443" t="s">
        <v>747</v>
      </c>
      <c r="C79" s="455" t="s">
        <v>854</v>
      </c>
      <c r="D79" s="376">
        <v>0</v>
      </c>
      <c r="E79" s="478">
        <f t="shared" si="6"/>
        <v>0.61250000000000004</v>
      </c>
      <c r="F79" s="444">
        <v>700</v>
      </c>
      <c r="G79" s="444"/>
      <c r="H79" s="444">
        <v>3.5</v>
      </c>
      <c r="K79" s="41"/>
      <c r="L79" s="441"/>
      <c r="M79" s="441"/>
      <c r="N79" s="442"/>
    </row>
    <row r="80" spans="1:21" s="455" customFormat="1" outlineLevel="1" x14ac:dyDescent="0.35">
      <c r="A80" s="41">
        <v>4</v>
      </c>
      <c r="B80" s="443" t="s">
        <v>858</v>
      </c>
      <c r="C80" s="455" t="s">
        <v>854</v>
      </c>
      <c r="D80" s="376">
        <v>0</v>
      </c>
      <c r="E80" s="478">
        <f t="shared" si="6"/>
        <v>3.8955000000000002</v>
      </c>
      <c r="F80" s="444">
        <v>147</v>
      </c>
      <c r="G80" s="444"/>
      <c r="H80" s="444">
        <v>106</v>
      </c>
      <c r="K80" s="41"/>
      <c r="L80" s="441"/>
      <c r="M80" s="441"/>
      <c r="N80" s="442"/>
    </row>
    <row r="81" spans="1:71" s="455" customFormat="1" outlineLevel="1" x14ac:dyDescent="0.35">
      <c r="A81" s="41">
        <v>5</v>
      </c>
      <c r="B81" s="443" t="s">
        <v>746</v>
      </c>
      <c r="C81" s="455" t="s">
        <v>854</v>
      </c>
      <c r="D81" s="376">
        <v>0</v>
      </c>
      <c r="E81" s="478">
        <f t="shared" si="6"/>
        <v>4.125</v>
      </c>
      <c r="F81" s="444">
        <v>165</v>
      </c>
      <c r="G81" s="444"/>
      <c r="H81" s="444">
        <v>100</v>
      </c>
      <c r="K81" s="41"/>
      <c r="L81" s="441"/>
      <c r="M81" s="441"/>
      <c r="N81" s="442"/>
    </row>
    <row r="82" spans="1:71" s="455" customFormat="1" x14ac:dyDescent="0.35">
      <c r="A82" s="185"/>
      <c r="B82" s="451" t="s">
        <v>1121</v>
      </c>
      <c r="C82" s="301"/>
      <c r="D82" s="185"/>
      <c r="E82" s="480">
        <f>SUM(E77:E81)</f>
        <v>19.758000000000003</v>
      </c>
      <c r="F82" s="185"/>
      <c r="G82" s="185"/>
      <c r="H82" s="185"/>
      <c r="I82" s="185"/>
      <c r="K82" s="41"/>
      <c r="L82" s="441"/>
      <c r="M82" s="441"/>
      <c r="N82" s="442"/>
    </row>
    <row r="83" spans="1:71" x14ac:dyDescent="0.3">
      <c r="A83" s="427" t="s">
        <v>270</v>
      </c>
      <c r="B83" s="456" t="s">
        <v>431</v>
      </c>
      <c r="C83" s="456"/>
      <c r="D83" s="428"/>
      <c r="E83" s="428"/>
      <c r="F83" s="427"/>
      <c r="G83" s="427"/>
      <c r="H83" s="427"/>
      <c r="I83" s="427"/>
      <c r="J83" s="394"/>
      <c r="K83" s="394"/>
      <c r="L83" s="394"/>
      <c r="M83" s="394"/>
    </row>
    <row r="84" spans="1:71" s="455" customFormat="1" x14ac:dyDescent="0.35">
      <c r="A84" s="41"/>
      <c r="B84" s="443" t="s">
        <v>431</v>
      </c>
      <c r="C84" s="455" t="s">
        <v>430</v>
      </c>
      <c r="D84" s="88">
        <v>100</v>
      </c>
      <c r="E84" s="479">
        <f>SUM(Input!E77:E78,E80)</f>
        <v>15.0205</v>
      </c>
      <c r="F84" s="396"/>
      <c r="G84" s="396"/>
      <c r="H84" s="394"/>
      <c r="I84" s="394"/>
      <c r="K84" s="41"/>
      <c r="L84" s="441"/>
      <c r="M84" s="441"/>
      <c r="N84" s="442"/>
    </row>
    <row r="85" spans="1:71" x14ac:dyDescent="0.3">
      <c r="A85" s="427" t="s">
        <v>272</v>
      </c>
      <c r="B85" s="456" t="s">
        <v>432</v>
      </c>
      <c r="C85" s="456"/>
      <c r="D85" s="428"/>
      <c r="E85" s="428"/>
      <c r="F85" s="427"/>
      <c r="G85" s="427"/>
      <c r="H85" s="427"/>
      <c r="I85" s="427"/>
      <c r="J85" s="394"/>
      <c r="K85" s="394"/>
      <c r="L85" s="394"/>
      <c r="M85" s="394"/>
    </row>
    <row r="86" spans="1:71" s="80" customFormat="1" x14ac:dyDescent="0.3">
      <c r="A86" s="358">
        <v>1</v>
      </c>
      <c r="B86" s="188" t="s">
        <v>857</v>
      </c>
      <c r="C86" s="13" t="s">
        <v>442</v>
      </c>
      <c r="D86" s="88">
        <v>120</v>
      </c>
      <c r="E86" s="707">
        <f>E79</f>
        <v>0.61250000000000004</v>
      </c>
      <c r="F86" s="396"/>
      <c r="G86" s="396"/>
      <c r="H86" s="394"/>
      <c r="I86" s="394"/>
      <c r="J86" s="394"/>
      <c r="K86" s="394"/>
      <c r="L86" s="394"/>
      <c r="M86" s="394"/>
      <c r="N86" s="183"/>
      <c r="O86" s="183"/>
      <c r="P86" s="183"/>
      <c r="Q86" s="183"/>
      <c r="R86" s="183"/>
      <c r="S86" s="183"/>
      <c r="T86" s="183"/>
      <c r="U86" s="183"/>
      <c r="V86" s="183"/>
      <c r="W86" s="183"/>
      <c r="X86" s="183"/>
      <c r="Y86" s="183"/>
      <c r="Z86" s="183"/>
      <c r="AA86" s="183"/>
      <c r="AB86" s="183"/>
      <c r="AC86" s="183"/>
      <c r="AD86" s="183"/>
      <c r="AE86" s="183"/>
      <c r="AF86" s="183"/>
      <c r="AG86" s="183"/>
      <c r="AH86" s="183"/>
      <c r="AI86" s="183"/>
      <c r="AJ86" s="183"/>
      <c r="AK86" s="183"/>
      <c r="BI86" s="183"/>
      <c r="BJ86" s="183"/>
      <c r="BK86" s="183"/>
      <c r="BL86" s="183"/>
      <c r="BM86" s="183"/>
      <c r="BN86" s="183"/>
      <c r="BO86" s="183"/>
      <c r="BP86" s="183"/>
      <c r="BQ86" s="183"/>
      <c r="BR86" s="183"/>
      <c r="BS86" s="183"/>
    </row>
    <row r="87" spans="1:71" x14ac:dyDescent="0.3">
      <c r="A87" s="427" t="s">
        <v>556</v>
      </c>
      <c r="B87" s="456" t="s">
        <v>433</v>
      </c>
      <c r="C87" s="456"/>
      <c r="D87" s="428"/>
      <c r="E87" s="428"/>
      <c r="F87" s="427"/>
      <c r="G87" s="427"/>
      <c r="H87" s="427"/>
      <c r="I87" s="427"/>
      <c r="J87" s="394"/>
      <c r="K87" s="394"/>
      <c r="L87" s="394"/>
      <c r="M87" s="394"/>
      <c r="N87" s="394"/>
    </row>
    <row r="88" spans="1:71" x14ac:dyDescent="0.3">
      <c r="A88" s="13">
        <v>1</v>
      </c>
      <c r="B88" s="443" t="s">
        <v>858</v>
      </c>
      <c r="C88" s="13" t="s">
        <v>199</v>
      </c>
      <c r="D88" s="88">
        <v>676</v>
      </c>
      <c r="E88" s="135">
        <f>E80*4000</f>
        <v>15582</v>
      </c>
      <c r="F88" s="396"/>
      <c r="G88" s="396"/>
      <c r="H88" s="394"/>
      <c r="I88" s="394"/>
      <c r="J88" s="394"/>
      <c r="K88" s="394"/>
      <c r="L88" s="394"/>
      <c r="M88" s="394"/>
      <c r="N88" s="394"/>
    </row>
    <row r="89" spans="1:71" x14ac:dyDescent="0.3">
      <c r="A89" s="13">
        <v>2</v>
      </c>
      <c r="B89" s="345" t="s">
        <v>598</v>
      </c>
      <c r="C89" s="13" t="s">
        <v>199</v>
      </c>
      <c r="D89" s="88">
        <v>676</v>
      </c>
      <c r="E89" s="135">
        <v>20000</v>
      </c>
      <c r="F89" s="396"/>
      <c r="G89" s="396"/>
      <c r="H89" s="394"/>
      <c r="I89" s="394"/>
      <c r="J89" s="394"/>
      <c r="K89" s="394"/>
      <c r="L89" s="394"/>
      <c r="M89" s="394"/>
      <c r="N89" s="394"/>
    </row>
    <row r="90" spans="1:71" hidden="1" x14ac:dyDescent="0.3">
      <c r="A90" s="13">
        <v>3</v>
      </c>
      <c r="B90" s="345" t="s">
        <v>599</v>
      </c>
      <c r="C90" s="13" t="s">
        <v>199</v>
      </c>
      <c r="D90" s="88">
        <v>0</v>
      </c>
      <c r="E90" s="135">
        <v>0</v>
      </c>
      <c r="F90" s="396"/>
      <c r="G90" s="396"/>
      <c r="H90" s="394"/>
      <c r="I90" s="394"/>
      <c r="J90" s="394"/>
      <c r="K90" s="394"/>
      <c r="L90" s="394"/>
      <c r="M90" s="394"/>
      <c r="N90" s="394"/>
    </row>
    <row r="91" spans="1:71" x14ac:dyDescent="0.3">
      <c r="A91" s="13">
        <v>4</v>
      </c>
      <c r="B91" s="345" t="s">
        <v>600</v>
      </c>
      <c r="C91" s="13" t="s">
        <v>199</v>
      </c>
      <c r="D91" s="88">
        <v>676</v>
      </c>
      <c r="E91" s="135">
        <v>10000</v>
      </c>
      <c r="F91" s="396"/>
      <c r="G91" s="396"/>
      <c r="H91" s="394"/>
      <c r="I91" s="394"/>
      <c r="J91" s="394"/>
      <c r="K91" s="394"/>
      <c r="L91" s="394"/>
      <c r="M91" s="394"/>
      <c r="N91" s="394"/>
    </row>
    <row r="92" spans="1:71" hidden="1" x14ac:dyDescent="0.3">
      <c r="A92" s="13">
        <v>5</v>
      </c>
      <c r="B92" s="345" t="s">
        <v>559</v>
      </c>
      <c r="C92" s="13" t="s">
        <v>199</v>
      </c>
      <c r="D92" s="88">
        <v>0</v>
      </c>
      <c r="E92" s="135">
        <v>0</v>
      </c>
      <c r="F92" s="396"/>
      <c r="G92" s="396"/>
      <c r="H92" s="394"/>
      <c r="I92" s="394"/>
      <c r="J92" s="394"/>
      <c r="K92" s="394"/>
      <c r="L92" s="394"/>
      <c r="M92" s="394"/>
      <c r="N92" s="394"/>
    </row>
    <row r="93" spans="1:71" x14ac:dyDescent="0.3">
      <c r="A93" s="427" t="s">
        <v>595</v>
      </c>
      <c r="B93" s="456" t="s">
        <v>596</v>
      </c>
      <c r="C93" s="456"/>
      <c r="D93" s="428"/>
      <c r="E93" s="428"/>
      <c r="F93" s="427"/>
      <c r="G93" s="427"/>
      <c r="H93" s="427"/>
      <c r="I93" s="427"/>
      <c r="J93" s="394"/>
      <c r="K93" s="394"/>
      <c r="L93" s="394"/>
      <c r="M93" s="394"/>
    </row>
    <row r="94" spans="1:71" x14ac:dyDescent="0.3">
      <c r="A94" s="13">
        <v>1</v>
      </c>
      <c r="B94" s="345" t="s">
        <v>557</v>
      </c>
      <c r="C94" s="13" t="s">
        <v>198</v>
      </c>
      <c r="D94" s="88">
        <v>3000</v>
      </c>
      <c r="E94" s="135">
        <v>2000</v>
      </c>
      <c r="F94" s="396"/>
      <c r="G94" s="396"/>
      <c r="H94" s="394"/>
      <c r="I94" s="394"/>
      <c r="J94" s="394"/>
      <c r="K94" s="394"/>
      <c r="L94" s="394"/>
      <c r="M94" s="394"/>
    </row>
    <row r="95" spans="1:71" x14ac:dyDescent="0.3">
      <c r="B95" s="345" t="s">
        <v>953</v>
      </c>
      <c r="C95" s="13" t="s">
        <v>198</v>
      </c>
      <c r="D95" s="88">
        <v>5000</v>
      </c>
      <c r="E95" s="135">
        <v>400</v>
      </c>
      <c r="F95" s="1215"/>
      <c r="G95" s="1215"/>
      <c r="H95" s="394"/>
      <c r="I95" s="394"/>
      <c r="J95" s="394"/>
      <c r="K95" s="394"/>
      <c r="L95" s="394"/>
      <c r="M95" s="394"/>
    </row>
    <row r="96" spans="1:71" hidden="1" x14ac:dyDescent="0.3">
      <c r="A96" s="13">
        <v>3</v>
      </c>
      <c r="B96" s="345" t="s">
        <v>558</v>
      </c>
      <c r="C96" s="13" t="s">
        <v>860</v>
      </c>
      <c r="D96" s="88">
        <v>0</v>
      </c>
      <c r="E96" s="135">
        <v>0</v>
      </c>
      <c r="F96" s="396"/>
      <c r="G96" s="396"/>
      <c r="H96" s="394"/>
      <c r="I96" s="394"/>
      <c r="J96" s="394"/>
      <c r="K96" s="394"/>
      <c r="L96" s="394"/>
      <c r="M96" s="394"/>
    </row>
    <row r="97" spans="1:13" hidden="1" x14ac:dyDescent="0.3">
      <c r="A97" s="13">
        <v>4</v>
      </c>
      <c r="B97" s="345" t="s">
        <v>597</v>
      </c>
      <c r="C97" s="13" t="s">
        <v>860</v>
      </c>
      <c r="D97" s="88">
        <v>0</v>
      </c>
      <c r="E97" s="135">
        <v>0</v>
      </c>
      <c r="F97" s="396"/>
      <c r="G97" s="396"/>
      <c r="H97" s="394"/>
      <c r="I97" s="394"/>
      <c r="J97" s="394"/>
      <c r="K97" s="394"/>
      <c r="L97" s="394"/>
      <c r="M97" s="394"/>
    </row>
    <row r="98" spans="1:13" hidden="1" x14ac:dyDescent="0.3">
      <c r="A98" s="13">
        <v>5</v>
      </c>
      <c r="B98" s="345" t="s">
        <v>593</v>
      </c>
      <c r="C98" s="13" t="s">
        <v>820</v>
      </c>
      <c r="D98" s="88">
        <v>0</v>
      </c>
      <c r="E98" s="135">
        <v>0</v>
      </c>
      <c r="F98" s="396"/>
      <c r="G98" s="396"/>
      <c r="H98" s="394"/>
      <c r="I98" s="394"/>
      <c r="J98" s="394"/>
      <c r="K98" s="394"/>
      <c r="L98" s="394"/>
      <c r="M98" s="394"/>
    </row>
    <row r="99" spans="1:13" hidden="1" x14ac:dyDescent="0.3">
      <c r="A99" s="13">
        <v>7</v>
      </c>
      <c r="B99" s="345" t="s">
        <v>553</v>
      </c>
      <c r="C99" s="13" t="s">
        <v>425</v>
      </c>
      <c r="D99" s="88">
        <v>0</v>
      </c>
      <c r="E99" s="135">
        <v>0</v>
      </c>
      <c r="F99" s="396"/>
      <c r="G99" s="396"/>
      <c r="H99" s="394"/>
      <c r="I99" s="394"/>
      <c r="J99" s="394"/>
      <c r="K99" s="394"/>
      <c r="L99" s="394"/>
      <c r="M99" s="394"/>
    </row>
    <row r="100" spans="1:13" hidden="1" x14ac:dyDescent="0.3">
      <c r="A100" s="13">
        <v>8</v>
      </c>
      <c r="B100" s="345" t="s">
        <v>560</v>
      </c>
      <c r="C100" s="13" t="s">
        <v>199</v>
      </c>
      <c r="D100" s="88">
        <v>0</v>
      </c>
      <c r="E100" s="135">
        <v>0</v>
      </c>
      <c r="F100" s="396"/>
      <c r="G100" s="396"/>
      <c r="H100" s="394"/>
      <c r="I100" s="394"/>
      <c r="J100" s="394"/>
      <c r="K100" s="394"/>
      <c r="L100" s="394"/>
      <c r="M100" s="394"/>
    </row>
    <row r="101" spans="1:13" hidden="1" x14ac:dyDescent="0.3">
      <c r="A101" s="13">
        <v>9</v>
      </c>
      <c r="B101" s="349" t="s">
        <v>550</v>
      </c>
      <c r="C101" s="13" t="s">
        <v>199</v>
      </c>
      <c r="D101" s="88">
        <v>0</v>
      </c>
      <c r="E101" s="135">
        <v>0</v>
      </c>
      <c r="F101" s="396"/>
      <c r="G101" s="396"/>
      <c r="H101" s="396"/>
      <c r="J101" s="394"/>
    </row>
    <row r="102" spans="1:13" hidden="1" x14ac:dyDescent="0.3">
      <c r="A102" s="13">
        <v>10</v>
      </c>
      <c r="B102" s="345" t="s">
        <v>554</v>
      </c>
      <c r="C102" s="13" t="s">
        <v>443</v>
      </c>
      <c r="D102" s="88">
        <v>0</v>
      </c>
      <c r="E102" s="135">
        <v>0</v>
      </c>
      <c r="F102" s="396"/>
      <c r="G102" s="396"/>
      <c r="H102" s="394"/>
      <c r="I102" s="394"/>
      <c r="J102" s="394"/>
      <c r="K102" s="394"/>
      <c r="L102" s="394"/>
      <c r="M102" s="394"/>
    </row>
    <row r="103" spans="1:13" x14ac:dyDescent="0.3">
      <c r="A103" s="427" t="s">
        <v>576</v>
      </c>
      <c r="B103" s="456" t="s">
        <v>596</v>
      </c>
      <c r="C103" s="456"/>
      <c r="D103" s="428"/>
      <c r="E103" s="428"/>
      <c r="F103" s="427"/>
      <c r="G103" s="427"/>
      <c r="H103" s="427"/>
      <c r="I103" s="427"/>
      <c r="J103" s="394"/>
      <c r="K103" s="394"/>
      <c r="L103" s="394"/>
      <c r="M103" s="394"/>
    </row>
    <row r="104" spans="1:13" s="338" customFormat="1" x14ac:dyDescent="0.3">
      <c r="A104" s="1216"/>
      <c r="B104" s="457" t="s">
        <v>1201</v>
      </c>
      <c r="C104" s="457" t="s">
        <v>202</v>
      </c>
      <c r="D104" s="333"/>
      <c r="E104" s="333">
        <v>1000</v>
      </c>
      <c r="F104" s="1216"/>
      <c r="G104" s="1216"/>
      <c r="H104" s="1216"/>
      <c r="I104" s="1216"/>
      <c r="J104" s="394"/>
      <c r="K104" s="394"/>
      <c r="L104" s="394"/>
      <c r="M104" s="394"/>
    </row>
    <row r="105" spans="1:13" s="338" customFormat="1" x14ac:dyDescent="0.3">
      <c r="A105" s="1216"/>
      <c r="B105" s="1217"/>
      <c r="C105" s="1217"/>
      <c r="D105" s="1218"/>
      <c r="E105" s="1218"/>
      <c r="F105" s="1216"/>
      <c r="G105" s="1216"/>
      <c r="H105" s="1216"/>
      <c r="I105" s="1216"/>
      <c r="J105" s="394"/>
      <c r="K105" s="394"/>
      <c r="L105" s="394"/>
      <c r="M105" s="394"/>
    </row>
    <row r="106" spans="1:13" s="455" customFormat="1" x14ac:dyDescent="0.35">
      <c r="A106" s="427" t="s">
        <v>578</v>
      </c>
      <c r="B106" s="456" t="s">
        <v>435</v>
      </c>
      <c r="C106" s="456"/>
      <c r="D106" s="427"/>
      <c r="E106" s="427"/>
      <c r="F106" s="428"/>
      <c r="G106" s="428"/>
      <c r="H106" s="428"/>
      <c r="I106" s="428"/>
    </row>
    <row r="107" spans="1:13" x14ac:dyDescent="0.3">
      <c r="A107" s="13">
        <v>1</v>
      </c>
      <c r="B107" s="347" t="s">
        <v>436</v>
      </c>
      <c r="C107" s="13" t="s">
        <v>426</v>
      </c>
      <c r="D107" s="88">
        <v>100000</v>
      </c>
      <c r="E107" s="135">
        <f>$E$6</f>
        <v>203.23999999999998</v>
      </c>
      <c r="F107" s="455"/>
      <c r="G107" s="455"/>
      <c r="H107" s="455"/>
      <c r="J107" s="127"/>
    </row>
    <row r="108" spans="1:13" x14ac:dyDescent="0.3">
      <c r="A108" s="13">
        <v>2</v>
      </c>
      <c r="B108" s="347" t="s">
        <v>437</v>
      </c>
      <c r="C108" s="13" t="s">
        <v>426</v>
      </c>
      <c r="D108" s="88">
        <v>0</v>
      </c>
      <c r="E108" s="135">
        <f>$E$6</f>
        <v>203.23999999999998</v>
      </c>
      <c r="F108" s="455"/>
      <c r="G108" s="455"/>
      <c r="H108" s="455"/>
      <c r="J108" s="127"/>
    </row>
    <row r="109" spans="1:13" x14ac:dyDescent="0.3">
      <c r="A109" s="13">
        <v>3</v>
      </c>
      <c r="B109" s="348" t="s">
        <v>438</v>
      </c>
      <c r="C109" s="13" t="s">
        <v>426</v>
      </c>
      <c r="D109" s="88">
        <v>0</v>
      </c>
      <c r="E109" s="135">
        <f>$E$6</f>
        <v>203.23999999999998</v>
      </c>
      <c r="F109" s="455"/>
      <c r="G109" s="455"/>
      <c r="H109" s="455"/>
      <c r="J109" s="127"/>
    </row>
    <row r="110" spans="1:13" x14ac:dyDescent="0.3">
      <c r="A110" s="13">
        <v>4</v>
      </c>
      <c r="B110" s="349" t="s">
        <v>439</v>
      </c>
      <c r="D110" s="88">
        <v>500000</v>
      </c>
      <c r="E110" s="135">
        <v>1</v>
      </c>
      <c r="F110" s="455"/>
      <c r="G110" s="455"/>
      <c r="H110" s="455"/>
      <c r="J110" s="127"/>
    </row>
    <row r="111" spans="1:13" x14ac:dyDescent="0.3">
      <c r="A111" s="13">
        <v>5</v>
      </c>
      <c r="B111" s="349" t="s">
        <v>447</v>
      </c>
      <c r="D111" s="88">
        <v>0</v>
      </c>
      <c r="E111" s="135">
        <v>1</v>
      </c>
      <c r="F111" s="455"/>
      <c r="G111" s="455"/>
      <c r="H111" s="455"/>
      <c r="J111" s="127"/>
    </row>
    <row r="112" spans="1:13" s="80" customFormat="1" x14ac:dyDescent="0.3">
      <c r="A112" s="202"/>
      <c r="B112" s="8" t="s">
        <v>64</v>
      </c>
      <c r="C112" s="202"/>
      <c r="D112" s="293">
        <v>0.03</v>
      </c>
      <c r="E112" s="395"/>
      <c r="F112" s="397"/>
      <c r="G112" s="397"/>
      <c r="H112" s="66"/>
      <c r="I112" s="66"/>
    </row>
    <row r="113" spans="1:9" s="80" customFormat="1" x14ac:dyDescent="0.3">
      <c r="A113" s="202"/>
      <c r="B113" s="8" t="s">
        <v>1200</v>
      </c>
      <c r="C113" s="202"/>
      <c r="D113" s="293"/>
      <c r="E113" s="395"/>
      <c r="F113" s="397"/>
      <c r="G113" s="397"/>
      <c r="H113" s="66"/>
      <c r="I113" s="66"/>
    </row>
    <row r="114" spans="1:9" x14ac:dyDescent="0.3">
      <c r="A114" s="652" t="s">
        <v>575</v>
      </c>
      <c r="B114" s="651" t="s">
        <v>434</v>
      </c>
      <c r="C114" s="652"/>
      <c r="D114" s="653"/>
      <c r="E114" s="654"/>
      <c r="F114" s="654"/>
      <c r="G114" s="654"/>
      <c r="H114" s="655"/>
      <c r="I114" s="655"/>
    </row>
    <row r="115" spans="1:9" s="69" customFormat="1" x14ac:dyDescent="0.35">
      <c r="A115" s="427" t="s">
        <v>268</v>
      </c>
      <c r="B115" s="456" t="s">
        <v>780</v>
      </c>
      <c r="C115" s="497"/>
      <c r="D115" s="428"/>
      <c r="E115" s="456"/>
      <c r="F115" s="450"/>
      <c r="G115" s="450"/>
      <c r="H115" s="450"/>
      <c r="I115" s="450"/>
    </row>
    <row r="116" spans="1:9" s="69" customFormat="1" x14ac:dyDescent="0.35">
      <c r="A116" s="848"/>
      <c r="B116" s="462" t="s">
        <v>330</v>
      </c>
      <c r="D116" s="293" t="s">
        <v>331</v>
      </c>
      <c r="F116" s="128"/>
      <c r="G116" s="128"/>
    </row>
    <row r="117" spans="1:9" s="69" customFormat="1" x14ac:dyDescent="0.35">
      <c r="A117" s="848"/>
      <c r="B117" s="462" t="s">
        <v>332</v>
      </c>
      <c r="D117" s="293" t="s">
        <v>333</v>
      </c>
      <c r="F117" s="496"/>
      <c r="G117" s="496"/>
    </row>
    <row r="118" spans="1:9" s="69" customFormat="1" x14ac:dyDescent="0.35">
      <c r="A118" s="848"/>
      <c r="B118" s="413" t="s">
        <v>724</v>
      </c>
      <c r="C118" s="432" t="s">
        <v>334</v>
      </c>
      <c r="D118" s="1024">
        <v>4</v>
      </c>
      <c r="F118" s="496"/>
      <c r="G118" s="496"/>
    </row>
    <row r="119" spans="1:9" s="69" customFormat="1" x14ac:dyDescent="0.35">
      <c r="A119" s="848"/>
      <c r="B119" s="413" t="s">
        <v>774</v>
      </c>
      <c r="C119" s="432"/>
      <c r="D119" s="1025" t="s">
        <v>335</v>
      </c>
      <c r="F119" s="496"/>
      <c r="G119" s="496"/>
    </row>
    <row r="120" spans="1:9" s="455" customFormat="1" x14ac:dyDescent="0.35">
      <c r="A120" s="849"/>
      <c r="B120" s="504" t="s">
        <v>787</v>
      </c>
      <c r="D120" s="1025" t="s">
        <v>788</v>
      </c>
      <c r="E120" s="432"/>
      <c r="F120" s="432"/>
      <c r="G120" s="432"/>
    </row>
    <row r="121" spans="1:9" s="455" customFormat="1" x14ac:dyDescent="0.35">
      <c r="A121" s="433"/>
      <c r="B121" s="426" t="s">
        <v>775</v>
      </c>
      <c r="C121" s="432" t="s">
        <v>337</v>
      </c>
      <c r="D121" s="1026">
        <v>300</v>
      </c>
      <c r="E121" s="425"/>
      <c r="F121" s="425"/>
      <c r="G121" s="425"/>
    </row>
    <row r="122" spans="1:9" s="455" customFormat="1" x14ac:dyDescent="0.35">
      <c r="A122" s="427" t="s">
        <v>270</v>
      </c>
      <c r="B122" s="456" t="s">
        <v>793</v>
      </c>
      <c r="C122" s="497"/>
      <c r="D122" s="428"/>
      <c r="E122" s="456"/>
      <c r="F122" s="450"/>
      <c r="G122" s="450"/>
      <c r="H122" s="450"/>
      <c r="I122" s="450"/>
    </row>
    <row r="123" spans="1:9" s="455" customFormat="1" x14ac:dyDescent="0.35">
      <c r="A123" s="430">
        <v>1</v>
      </c>
      <c r="B123" s="499" t="s">
        <v>777</v>
      </c>
      <c r="C123" s="500"/>
      <c r="D123" s="1027"/>
      <c r="E123" s="501"/>
      <c r="F123" s="502"/>
      <c r="G123" s="502"/>
      <c r="H123" s="502"/>
      <c r="I123" s="502"/>
    </row>
    <row r="124" spans="1:9" s="455" customFormat="1" ht="13.5" x14ac:dyDescent="0.35">
      <c r="A124" s="850"/>
      <c r="B124" s="459" t="s">
        <v>755</v>
      </c>
      <c r="C124" s="432" t="s">
        <v>0</v>
      </c>
      <c r="D124" s="293">
        <v>0.5</v>
      </c>
      <c r="E124" s="1044">
        <f>ROUND(((Input!D$118*1000/$D$121)+1)*$D124,0)</f>
        <v>7</v>
      </c>
      <c r="F124" s="426"/>
      <c r="G124" s="426"/>
      <c r="H124" s="426"/>
      <c r="I124" s="426"/>
    </row>
    <row r="125" spans="1:9" s="455" customFormat="1" ht="13.5" x14ac:dyDescent="0.35">
      <c r="A125" s="850"/>
      <c r="B125" s="459" t="s">
        <v>756</v>
      </c>
      <c r="C125" s="432" t="s">
        <v>0</v>
      </c>
      <c r="D125" s="293">
        <v>0.15</v>
      </c>
      <c r="E125" s="1044">
        <f>ROUND(((Input!D$118*1000/$D$121)+1)*$D125,0)</f>
        <v>2</v>
      </c>
      <c r="F125" s="426"/>
      <c r="G125" s="426"/>
      <c r="H125" s="426"/>
      <c r="I125" s="426"/>
    </row>
    <row r="126" spans="1:9" s="455" customFormat="1" ht="13.5" x14ac:dyDescent="0.35">
      <c r="A126" s="850"/>
      <c r="B126" s="459" t="s">
        <v>757</v>
      </c>
      <c r="C126" s="432" t="s">
        <v>0</v>
      </c>
      <c r="D126" s="293">
        <v>0.1</v>
      </c>
      <c r="E126" s="1044">
        <f>ROUND(((Input!D$118*1000/$D$121)+1)*$D126,0)</f>
        <v>1</v>
      </c>
      <c r="F126" s="426"/>
      <c r="G126" s="426"/>
      <c r="H126" s="426"/>
      <c r="I126" s="426"/>
    </row>
    <row r="127" spans="1:9" s="455" customFormat="1" ht="13.5" x14ac:dyDescent="0.35">
      <c r="A127" s="850"/>
      <c r="B127" s="459" t="s">
        <v>758</v>
      </c>
      <c r="C127" s="432" t="s">
        <v>0</v>
      </c>
      <c r="D127" s="293">
        <v>0.25</v>
      </c>
      <c r="E127" s="1044">
        <f>ROUND(((Input!D$118*1000/$D$121)+1)*$D127,0)</f>
        <v>4</v>
      </c>
      <c r="F127" s="426"/>
      <c r="G127" s="426"/>
      <c r="H127" s="426"/>
      <c r="I127" s="426"/>
    </row>
    <row r="128" spans="1:9" s="455" customFormat="1" x14ac:dyDescent="0.35">
      <c r="A128" s="430">
        <v>2</v>
      </c>
      <c r="B128" s="470" t="s">
        <v>778</v>
      </c>
      <c r="C128" s="498"/>
      <c r="D128" s="498"/>
      <c r="E128" s="498"/>
      <c r="F128" s="498"/>
      <c r="G128" s="498"/>
      <c r="H128" s="498"/>
      <c r="I128" s="498"/>
    </row>
    <row r="129" spans="1:9" s="455" customFormat="1" x14ac:dyDescent="0.35">
      <c r="A129" s="41" t="s">
        <v>292</v>
      </c>
      <c r="B129" s="426" t="s">
        <v>776</v>
      </c>
      <c r="C129" s="432" t="s">
        <v>0</v>
      </c>
      <c r="D129" s="293">
        <v>0.2</v>
      </c>
      <c r="F129" s="426"/>
      <c r="G129" s="426"/>
      <c r="H129" s="426"/>
      <c r="I129" s="426"/>
    </row>
    <row r="130" spans="1:9" s="455" customFormat="1" ht="13.5" x14ac:dyDescent="0.35">
      <c r="A130" s="433" t="s">
        <v>295</v>
      </c>
      <c r="B130" s="459" t="s">
        <v>755</v>
      </c>
      <c r="C130" s="432" t="s">
        <v>336</v>
      </c>
      <c r="D130" s="41"/>
      <c r="E130" s="1026">
        <v>7.8</v>
      </c>
      <c r="F130" s="426"/>
      <c r="G130" s="426"/>
      <c r="H130" s="426"/>
      <c r="I130" s="426"/>
    </row>
    <row r="131" spans="1:9" s="455" customFormat="1" ht="13.5" x14ac:dyDescent="0.35">
      <c r="A131" s="433" t="s">
        <v>298</v>
      </c>
      <c r="B131" s="459" t="s">
        <v>756</v>
      </c>
      <c r="C131" s="432" t="s">
        <v>336</v>
      </c>
      <c r="D131" s="41"/>
      <c r="E131" s="1026">
        <f>E130*(1+$D$129)</f>
        <v>9.36</v>
      </c>
      <c r="F131" s="426"/>
      <c r="G131" s="426"/>
      <c r="H131" s="426"/>
      <c r="I131" s="426"/>
    </row>
    <row r="132" spans="1:9" s="455" customFormat="1" ht="13.5" x14ac:dyDescent="0.35">
      <c r="A132" s="433" t="s">
        <v>301</v>
      </c>
      <c r="B132" s="459" t="s">
        <v>757</v>
      </c>
      <c r="C132" s="432" t="s">
        <v>336</v>
      </c>
      <c r="D132" s="41"/>
      <c r="E132" s="1026">
        <f>E131*(1+$D$129)</f>
        <v>11.231999999999999</v>
      </c>
      <c r="F132" s="426"/>
      <c r="G132" s="426"/>
      <c r="H132" s="426"/>
      <c r="I132" s="426"/>
    </row>
    <row r="133" spans="1:9" s="455" customFormat="1" ht="13.5" x14ac:dyDescent="0.35">
      <c r="A133" s="433" t="s">
        <v>304</v>
      </c>
      <c r="B133" s="459" t="s">
        <v>758</v>
      </c>
      <c r="C133" s="432" t="s">
        <v>336</v>
      </c>
      <c r="D133" s="41"/>
      <c r="E133" s="1026">
        <f>E132*(1+$D$129)</f>
        <v>13.478399999999999</v>
      </c>
      <c r="F133" s="426"/>
      <c r="G133" s="426"/>
      <c r="H133" s="426"/>
      <c r="I133" s="426"/>
    </row>
    <row r="134" spans="1:9" s="455" customFormat="1" x14ac:dyDescent="0.35">
      <c r="A134" s="430">
        <v>3</v>
      </c>
      <c r="B134" s="499" t="s">
        <v>779</v>
      </c>
      <c r="C134" s="500"/>
      <c r="D134" s="1027"/>
      <c r="E134" s="501"/>
      <c r="F134" s="502"/>
      <c r="G134" s="502"/>
      <c r="H134" s="502"/>
      <c r="I134" s="502"/>
    </row>
    <row r="135" spans="1:9" s="455" customFormat="1" x14ac:dyDescent="0.35">
      <c r="A135" s="41" t="s">
        <v>292</v>
      </c>
      <c r="B135" s="426" t="s">
        <v>723</v>
      </c>
      <c r="C135" s="432" t="s">
        <v>0</v>
      </c>
      <c r="D135" s="293">
        <v>0.15</v>
      </c>
      <c r="E135" s="426"/>
      <c r="F135" s="426"/>
      <c r="G135" s="426"/>
      <c r="H135" s="426"/>
      <c r="I135" s="426"/>
    </row>
    <row r="136" spans="1:9" s="455" customFormat="1" ht="13.5" x14ac:dyDescent="0.35">
      <c r="A136" s="433" t="s">
        <v>295</v>
      </c>
      <c r="B136" s="459" t="s">
        <v>755</v>
      </c>
      <c r="C136" s="432" t="s">
        <v>582</v>
      </c>
      <c r="E136" s="452">
        <v>800000</v>
      </c>
      <c r="F136" s="426"/>
      <c r="G136" s="426"/>
      <c r="H136" s="426"/>
      <c r="I136" s="426"/>
    </row>
    <row r="137" spans="1:9" s="455" customFormat="1" ht="13.5" x14ac:dyDescent="0.35">
      <c r="A137" s="433" t="s">
        <v>298</v>
      </c>
      <c r="B137" s="459" t="s">
        <v>756</v>
      </c>
      <c r="C137" s="432"/>
      <c r="E137" s="452">
        <f>E136*(1+$D$135)</f>
        <v>919999.99999999988</v>
      </c>
      <c r="F137" s="426"/>
      <c r="G137" s="426"/>
      <c r="H137" s="426"/>
      <c r="I137" s="426"/>
    </row>
    <row r="138" spans="1:9" s="455" customFormat="1" ht="13.5" x14ac:dyDescent="0.35">
      <c r="A138" s="433" t="s">
        <v>301</v>
      </c>
      <c r="B138" s="459" t="s">
        <v>757</v>
      </c>
      <c r="C138" s="432"/>
      <c r="E138" s="452">
        <f>E137*(1+$D$135)</f>
        <v>1057999.9999999998</v>
      </c>
      <c r="F138" s="426"/>
      <c r="G138" s="426"/>
      <c r="H138" s="426"/>
      <c r="I138" s="426"/>
    </row>
    <row r="139" spans="1:9" s="455" customFormat="1" ht="13.5" x14ac:dyDescent="0.35">
      <c r="A139" s="433" t="s">
        <v>304</v>
      </c>
      <c r="B139" s="459" t="s">
        <v>758</v>
      </c>
      <c r="C139" s="432"/>
      <c r="E139" s="452">
        <f>E138*(1+$D$135)</f>
        <v>1216699.9999999995</v>
      </c>
      <c r="F139" s="426"/>
      <c r="G139" s="426"/>
      <c r="H139" s="426"/>
      <c r="I139" s="426"/>
    </row>
    <row r="140" spans="1:9" s="455" customFormat="1" x14ac:dyDescent="0.35">
      <c r="A140" s="430">
        <v>4</v>
      </c>
      <c r="B140" s="501" t="s">
        <v>781</v>
      </c>
      <c r="C140" s="500"/>
      <c r="D140" s="1027"/>
      <c r="E140" s="501"/>
      <c r="F140" s="502"/>
      <c r="G140" s="502"/>
      <c r="H140" s="502"/>
      <c r="I140" s="502"/>
    </row>
    <row r="141" spans="1:9" s="455" customFormat="1" ht="13.5" x14ac:dyDescent="0.35">
      <c r="A141" s="41" t="s">
        <v>292</v>
      </c>
      <c r="B141" s="459" t="s">
        <v>755</v>
      </c>
      <c r="C141" s="432" t="s">
        <v>28</v>
      </c>
      <c r="D141" s="452">
        <v>6</v>
      </c>
      <c r="E141" s="426"/>
      <c r="F141" s="426"/>
      <c r="G141" s="426"/>
      <c r="H141" s="426"/>
      <c r="I141" s="426"/>
    </row>
    <row r="142" spans="1:9" s="455" customFormat="1" ht="13.5" x14ac:dyDescent="0.35">
      <c r="A142" s="433" t="s">
        <v>295</v>
      </c>
      <c r="B142" s="459" t="s">
        <v>756</v>
      </c>
      <c r="C142" s="432" t="s">
        <v>28</v>
      </c>
      <c r="D142" s="452">
        <v>12</v>
      </c>
      <c r="E142" s="426"/>
    </row>
    <row r="143" spans="1:9" s="455" customFormat="1" ht="13.5" x14ac:dyDescent="0.35">
      <c r="A143" s="433" t="s">
        <v>298</v>
      </c>
      <c r="B143" s="459" t="s">
        <v>757</v>
      </c>
      <c r="C143" s="432" t="s">
        <v>28</v>
      </c>
      <c r="D143" s="452">
        <f>6*2+6</f>
        <v>18</v>
      </c>
      <c r="E143" s="426"/>
      <c r="F143" s="426"/>
      <c r="G143" s="426"/>
      <c r="H143" s="426"/>
      <c r="I143" s="426"/>
    </row>
    <row r="144" spans="1:9" s="455" customFormat="1" ht="13.5" x14ac:dyDescent="0.35">
      <c r="A144" s="433" t="s">
        <v>301</v>
      </c>
      <c r="B144" s="459" t="s">
        <v>758</v>
      </c>
      <c r="C144" s="432" t="s">
        <v>28</v>
      </c>
      <c r="D144" s="452">
        <f>6*2*2+6</f>
        <v>30</v>
      </c>
      <c r="E144" s="426"/>
      <c r="F144" s="426"/>
      <c r="G144" s="426"/>
      <c r="H144" s="426"/>
      <c r="I144" s="426"/>
    </row>
    <row r="145" spans="1:17" s="455" customFormat="1" x14ac:dyDescent="0.35">
      <c r="A145" s="427" t="s">
        <v>272</v>
      </c>
      <c r="B145" s="456" t="s">
        <v>794</v>
      </c>
      <c r="C145" s="497"/>
      <c r="D145" s="428"/>
      <c r="E145" s="456"/>
      <c r="F145" s="450"/>
      <c r="G145" s="450"/>
      <c r="H145" s="450"/>
      <c r="I145" s="450"/>
    </row>
    <row r="146" spans="1:17" s="455" customFormat="1" x14ac:dyDescent="0.35">
      <c r="A146" s="433"/>
      <c r="B146" s="462" t="s">
        <v>782</v>
      </c>
      <c r="C146" s="69"/>
      <c r="D146" s="293" t="str">
        <f>D120</f>
        <v>Single ACCC conductor Zebra Equivalent</v>
      </c>
      <c r="E146" s="425"/>
      <c r="F146" s="425"/>
      <c r="G146" s="425"/>
      <c r="H146" s="425"/>
      <c r="I146" s="425"/>
    </row>
    <row r="147" spans="1:17" s="455" customFormat="1" x14ac:dyDescent="0.35">
      <c r="A147" s="433"/>
      <c r="B147" s="459" t="s">
        <v>783</v>
      </c>
      <c r="C147" s="432" t="s">
        <v>0</v>
      </c>
      <c r="D147" s="293">
        <v>0.05</v>
      </c>
    </row>
    <row r="148" spans="1:17" s="455" customFormat="1" x14ac:dyDescent="0.35">
      <c r="A148" s="433"/>
      <c r="B148" s="443" t="s">
        <v>785</v>
      </c>
      <c r="C148" s="432" t="s">
        <v>784</v>
      </c>
      <c r="D148" s="452">
        <v>900</v>
      </c>
      <c r="E148" s="425"/>
      <c r="F148" s="425"/>
      <c r="G148" s="425"/>
      <c r="H148" s="425"/>
      <c r="I148" s="425"/>
    </row>
    <row r="149" spans="1:17" s="455" customFormat="1" x14ac:dyDescent="0.35">
      <c r="A149" s="433"/>
      <c r="B149" s="459" t="s">
        <v>786</v>
      </c>
      <c r="C149" s="432" t="s">
        <v>334</v>
      </c>
      <c r="D149" s="452">
        <v>2</v>
      </c>
      <c r="E149" s="425"/>
      <c r="F149" s="425"/>
      <c r="G149" s="425"/>
      <c r="H149" s="425"/>
      <c r="I149" s="425"/>
    </row>
    <row r="150" spans="1:17" s="455" customFormat="1" x14ac:dyDescent="0.35">
      <c r="A150" s="427" t="s">
        <v>556</v>
      </c>
      <c r="B150" s="474" t="s">
        <v>796</v>
      </c>
      <c r="C150" s="450"/>
      <c r="D150" s="427"/>
      <c r="E150" s="450"/>
      <c r="F150" s="450"/>
      <c r="G150" s="450"/>
      <c r="H150" s="450"/>
      <c r="I150" s="450"/>
      <c r="L150" s="447"/>
    </row>
    <row r="151" spans="1:17" s="455" customFormat="1" x14ac:dyDescent="0.35">
      <c r="A151" s="41">
        <v>1</v>
      </c>
      <c r="B151" s="461" t="s">
        <v>738</v>
      </c>
      <c r="C151" s="432" t="s">
        <v>28</v>
      </c>
      <c r="D151" s="444">
        <f>3 + 1</f>
        <v>4</v>
      </c>
      <c r="E151" s="425"/>
      <c r="F151" s="425"/>
      <c r="G151" s="425"/>
      <c r="H151" s="425"/>
      <c r="I151" s="425"/>
      <c r="L151" s="447"/>
    </row>
    <row r="152" spans="1:17" s="455" customFormat="1" x14ac:dyDescent="0.35">
      <c r="A152" s="41">
        <v>2</v>
      </c>
      <c r="B152" s="461" t="s">
        <v>282</v>
      </c>
      <c r="C152" s="432" t="s">
        <v>28</v>
      </c>
      <c r="D152" s="444">
        <v>12</v>
      </c>
      <c r="E152" s="425"/>
      <c r="F152" s="425"/>
      <c r="G152" s="425"/>
      <c r="H152" s="425"/>
      <c r="I152" s="425"/>
      <c r="L152" s="447"/>
    </row>
    <row r="153" spans="1:17" s="455" customFormat="1" x14ac:dyDescent="0.35">
      <c r="A153" s="41">
        <v>3</v>
      </c>
      <c r="B153" s="461" t="s">
        <v>742</v>
      </c>
      <c r="C153" s="432" t="s">
        <v>28</v>
      </c>
      <c r="D153" s="444">
        <v>8</v>
      </c>
      <c r="E153" s="425"/>
      <c r="F153" s="425"/>
      <c r="G153" s="425"/>
      <c r="H153" s="425"/>
      <c r="I153" s="425"/>
      <c r="L153" s="447"/>
    </row>
    <row r="154" spans="1:17" s="455" customFormat="1" x14ac:dyDescent="0.35">
      <c r="A154" s="41">
        <v>4</v>
      </c>
      <c r="B154" s="461" t="s">
        <v>283</v>
      </c>
      <c r="C154" s="432" t="s">
        <v>28</v>
      </c>
      <c r="D154" s="444">
        <f>3 + 1</f>
        <v>4</v>
      </c>
      <c r="E154" s="425"/>
      <c r="F154" s="425"/>
      <c r="G154" s="425"/>
      <c r="H154" s="425"/>
      <c r="I154" s="425"/>
      <c r="L154" s="447"/>
    </row>
    <row r="155" spans="1:17" s="455" customFormat="1" x14ac:dyDescent="0.35">
      <c r="A155" s="41">
        <v>5</v>
      </c>
      <c r="B155" s="461" t="s">
        <v>741</v>
      </c>
      <c r="C155" s="41" t="s">
        <v>728</v>
      </c>
      <c r="D155" s="444">
        <v>60</v>
      </c>
      <c r="E155" s="425"/>
      <c r="F155" s="425"/>
      <c r="G155" s="425"/>
      <c r="H155" s="425"/>
      <c r="I155" s="425"/>
      <c r="L155" s="447"/>
    </row>
    <row r="156" spans="1:17" s="455" customFormat="1" x14ac:dyDescent="0.35">
      <c r="A156" s="41">
        <v>6</v>
      </c>
      <c r="B156" s="461" t="s">
        <v>284</v>
      </c>
      <c r="C156" s="432" t="s">
        <v>28</v>
      </c>
      <c r="D156" s="444">
        <f>3 + 1</f>
        <v>4</v>
      </c>
      <c r="E156" s="425"/>
      <c r="F156" s="425"/>
      <c r="G156" s="425"/>
      <c r="H156" s="425"/>
      <c r="I156" s="425"/>
      <c r="L156" s="447"/>
    </row>
    <row r="157" spans="1:17" s="455" customFormat="1" x14ac:dyDescent="0.35">
      <c r="A157" s="41">
        <v>7</v>
      </c>
      <c r="B157" s="461" t="s">
        <v>740</v>
      </c>
      <c r="C157" s="432" t="s">
        <v>28</v>
      </c>
      <c r="D157" s="444">
        <f>2+1</f>
        <v>3</v>
      </c>
      <c r="E157" s="425"/>
      <c r="F157" s="425"/>
      <c r="G157" s="425"/>
      <c r="H157" s="425"/>
      <c r="I157" s="425"/>
      <c r="L157" s="447"/>
    </row>
    <row r="158" spans="1:17" s="455" customFormat="1" x14ac:dyDescent="0.35">
      <c r="A158" s="41">
        <v>8</v>
      </c>
      <c r="B158" s="461" t="s">
        <v>739</v>
      </c>
      <c r="C158" s="432" t="s">
        <v>28</v>
      </c>
      <c r="D158" s="444">
        <f>1</f>
        <v>1</v>
      </c>
      <c r="E158" s="425"/>
      <c r="F158" s="425"/>
      <c r="G158" s="425"/>
      <c r="H158" s="425"/>
      <c r="I158" s="425"/>
      <c r="L158" s="447"/>
    </row>
    <row r="159" spans="1:17" s="455" customFormat="1" x14ac:dyDescent="0.35">
      <c r="A159" s="41">
        <v>9</v>
      </c>
      <c r="B159" s="461" t="s">
        <v>286</v>
      </c>
      <c r="C159" s="432" t="s">
        <v>28</v>
      </c>
      <c r="D159" s="444">
        <v>1</v>
      </c>
      <c r="E159" s="425"/>
      <c r="F159" s="425"/>
      <c r="G159" s="425"/>
      <c r="H159" s="425"/>
      <c r="I159" s="425"/>
      <c r="L159" s="447"/>
    </row>
    <row r="160" spans="1:17" s="455" customFormat="1" x14ac:dyDescent="0.35">
      <c r="A160" s="427" t="s">
        <v>595</v>
      </c>
      <c r="B160" s="474" t="s">
        <v>810</v>
      </c>
      <c r="C160" s="450"/>
      <c r="D160" s="427"/>
      <c r="E160" s="450"/>
      <c r="F160" s="450"/>
      <c r="G160" s="450"/>
      <c r="H160" s="450"/>
      <c r="I160" s="450"/>
      <c r="J160" s="69"/>
      <c r="K160" s="69"/>
      <c r="L160" s="69"/>
      <c r="M160" s="69"/>
      <c r="N160" s="69"/>
      <c r="O160" s="69"/>
      <c r="P160" s="69"/>
      <c r="Q160" s="69"/>
    </row>
    <row r="161" spans="1:12" s="455" customFormat="1" x14ac:dyDescent="0.35">
      <c r="A161" s="851">
        <v>1</v>
      </c>
      <c r="B161" s="71" t="s">
        <v>285</v>
      </c>
      <c r="C161" s="72" t="s">
        <v>266</v>
      </c>
      <c r="D161" s="444">
        <v>2</v>
      </c>
      <c r="L161" s="447"/>
    </row>
    <row r="162" spans="1:12" s="455" customFormat="1" x14ac:dyDescent="0.35">
      <c r="A162" s="851">
        <v>2</v>
      </c>
      <c r="B162" s="71" t="s">
        <v>288</v>
      </c>
      <c r="C162" s="72" t="s">
        <v>387</v>
      </c>
      <c r="D162" s="444">
        <v>300</v>
      </c>
      <c r="L162" s="447"/>
    </row>
    <row r="163" spans="1:12" s="455" customFormat="1" x14ac:dyDescent="0.35">
      <c r="A163" s="851">
        <v>3</v>
      </c>
      <c r="B163" s="71" t="s">
        <v>289</v>
      </c>
      <c r="C163" s="72" t="s">
        <v>266</v>
      </c>
      <c r="D163" s="444">
        <v>1</v>
      </c>
      <c r="L163" s="447"/>
    </row>
    <row r="164" spans="1:12" s="70" customFormat="1" x14ac:dyDescent="0.35">
      <c r="A164" s="336"/>
      <c r="D164" s="336"/>
    </row>
    <row r="165" spans="1:12" s="455" customFormat="1" x14ac:dyDescent="0.35">
      <c r="A165" s="427" t="s">
        <v>576</v>
      </c>
      <c r="B165" s="456" t="s">
        <v>795</v>
      </c>
      <c r="C165" s="497"/>
      <c r="D165" s="428"/>
      <c r="E165" s="456"/>
      <c r="F165" s="450"/>
      <c r="G165" s="450"/>
      <c r="H165" s="450"/>
      <c r="I165" s="450"/>
    </row>
    <row r="166" spans="1:12" s="69" customFormat="1" x14ac:dyDescent="0.35">
      <c r="A166" s="852"/>
      <c r="B166" s="90"/>
      <c r="C166" s="91"/>
      <c r="D166" s="503" t="s">
        <v>269</v>
      </c>
      <c r="E166" s="503" t="s">
        <v>273</v>
      </c>
      <c r="F166" s="503" t="s">
        <v>274</v>
      </c>
      <c r="G166" s="503"/>
    </row>
    <row r="167" spans="1:12" s="69" customFormat="1" x14ac:dyDescent="0.35">
      <c r="A167" s="851"/>
      <c r="B167" s="71" t="s">
        <v>259</v>
      </c>
      <c r="C167" s="72" t="s">
        <v>0</v>
      </c>
      <c r="D167" s="92">
        <v>0.18</v>
      </c>
      <c r="E167" s="92">
        <v>0.18</v>
      </c>
      <c r="F167" s="532">
        <v>0.18</v>
      </c>
      <c r="G167" s="532"/>
    </row>
    <row r="168" spans="1:12" s="69" customFormat="1" x14ac:dyDescent="0.35">
      <c r="A168" s="851"/>
      <c r="B168" s="71" t="s">
        <v>275</v>
      </c>
      <c r="C168" s="72" t="s">
        <v>0</v>
      </c>
      <c r="D168" s="532">
        <v>0.2</v>
      </c>
      <c r="E168" s="92" t="s">
        <v>532</v>
      </c>
      <c r="F168" s="532">
        <v>0.2</v>
      </c>
      <c r="G168" s="532"/>
    </row>
    <row r="169" spans="1:12" s="69" customFormat="1" x14ac:dyDescent="0.35">
      <c r="A169" s="851"/>
      <c r="B169" s="71" t="s">
        <v>276</v>
      </c>
      <c r="C169" s="72" t="s">
        <v>0</v>
      </c>
      <c r="D169" s="532">
        <v>0.05</v>
      </c>
      <c r="E169" s="92" t="s">
        <v>532</v>
      </c>
      <c r="F169" s="532">
        <v>0.05</v>
      </c>
      <c r="G169" s="532"/>
    </row>
    <row r="170" spans="1:12" s="69" customFormat="1" x14ac:dyDescent="0.35">
      <c r="A170" s="851"/>
      <c r="B170" s="71" t="s">
        <v>277</v>
      </c>
      <c r="C170" s="72" t="s">
        <v>0</v>
      </c>
      <c r="D170" s="532">
        <v>0.02</v>
      </c>
      <c r="E170" s="92" t="s">
        <v>532</v>
      </c>
      <c r="F170" s="532">
        <v>0.02</v>
      </c>
      <c r="G170" s="532"/>
    </row>
    <row r="171" spans="1:12" s="69" customFormat="1" x14ac:dyDescent="0.35">
      <c r="A171" s="851"/>
      <c r="B171" s="71" t="s">
        <v>278</v>
      </c>
      <c r="C171" s="72" t="s">
        <v>279</v>
      </c>
      <c r="D171" s="92" t="s">
        <v>532</v>
      </c>
      <c r="E171" s="92">
        <v>0.05</v>
      </c>
      <c r="F171" s="92" t="s">
        <v>532</v>
      </c>
      <c r="G171" s="92"/>
    </row>
    <row r="172" spans="1:12" s="69" customFormat="1" x14ac:dyDescent="0.35">
      <c r="A172" s="851"/>
      <c r="B172" s="71" t="s">
        <v>280</v>
      </c>
      <c r="C172" s="72" t="s">
        <v>279</v>
      </c>
      <c r="D172" s="92">
        <v>0.08</v>
      </c>
      <c r="E172" s="92">
        <v>0.08</v>
      </c>
      <c r="F172" s="92">
        <v>0.08</v>
      </c>
      <c r="G172" s="92"/>
    </row>
    <row r="173" spans="1:12" s="69" customFormat="1" x14ac:dyDescent="0.35">
      <c r="A173" s="851"/>
      <c r="B173" s="71" t="s">
        <v>281</v>
      </c>
      <c r="C173" s="72" t="s">
        <v>279</v>
      </c>
      <c r="D173" s="92">
        <v>0.05</v>
      </c>
      <c r="E173" s="92">
        <v>0.05</v>
      </c>
      <c r="F173" s="92">
        <v>0.05</v>
      </c>
      <c r="G173" s="92"/>
    </row>
    <row r="174" spans="1:12" s="69" customFormat="1" x14ac:dyDescent="0.35">
      <c r="A174" s="851"/>
      <c r="B174" s="71" t="s">
        <v>477</v>
      </c>
      <c r="C174" s="72"/>
      <c r="D174" s="514">
        <f>D172+D173</f>
        <v>0.13</v>
      </c>
      <c r="E174" s="514">
        <f>E172+E173</f>
        <v>0.13</v>
      </c>
      <c r="F174" s="514">
        <f>F172+F173</f>
        <v>0.13</v>
      </c>
      <c r="G174" s="514"/>
    </row>
    <row r="175" spans="1:12" s="455" customFormat="1" x14ac:dyDescent="0.35">
      <c r="A175" s="427" t="s">
        <v>272</v>
      </c>
      <c r="B175" s="456" t="s">
        <v>61</v>
      </c>
      <c r="C175" s="456"/>
      <c r="D175" s="427"/>
      <c r="E175" s="427"/>
      <c r="F175" s="428"/>
      <c r="G175" s="428"/>
    </row>
    <row r="176" spans="1:12" x14ac:dyDescent="0.3">
      <c r="A176" s="853"/>
      <c r="B176" s="141" t="s">
        <v>427</v>
      </c>
      <c r="E176" s="137">
        <v>45748</v>
      </c>
    </row>
    <row r="177" spans="1:9" x14ac:dyDescent="0.3">
      <c r="A177" s="853"/>
      <c r="B177" s="141" t="s">
        <v>428</v>
      </c>
      <c r="C177" s="13" t="s">
        <v>36</v>
      </c>
      <c r="E177" s="115">
        <v>18</v>
      </c>
      <c r="F177" s="398"/>
      <c r="G177" s="398"/>
    </row>
    <row r="178" spans="1:9" x14ac:dyDescent="0.3">
      <c r="A178" s="76"/>
      <c r="B178" s="350" t="s">
        <v>60</v>
      </c>
      <c r="C178" s="124" t="s">
        <v>55</v>
      </c>
      <c r="E178" s="139">
        <f>DATE(YEAR(E176),MONTH(E176)+E177,DAY(E176))</f>
        <v>46296</v>
      </c>
    </row>
    <row r="179" spans="1:9" x14ac:dyDescent="0.3">
      <c r="A179" s="76"/>
      <c r="B179" s="350" t="s">
        <v>59</v>
      </c>
      <c r="C179" s="124" t="s">
        <v>49</v>
      </c>
      <c r="E179" s="115">
        <v>25</v>
      </c>
    </row>
    <row r="180" spans="1:9" x14ac:dyDescent="0.3">
      <c r="A180" s="76"/>
      <c r="B180" s="350" t="s">
        <v>58</v>
      </c>
      <c r="C180" s="124" t="s">
        <v>55</v>
      </c>
      <c r="E180" s="139">
        <f>IF(MONTH(E178)&lt;=3,DATE(YEAR(E178),3,31),DATE(YEAR(E178)+1,3,31))</f>
        <v>46477</v>
      </c>
    </row>
    <row r="181" spans="1:9" x14ac:dyDescent="0.3">
      <c r="A181" s="76"/>
      <c r="B181" s="350" t="s">
        <v>57</v>
      </c>
      <c r="C181" s="124" t="s">
        <v>55</v>
      </c>
      <c r="E181" s="139">
        <f>DATE(YEAR(E178)+E179,MONTH(E178),DAY(E178)-1)</f>
        <v>55426</v>
      </c>
    </row>
    <row r="182" spans="1:9" x14ac:dyDescent="0.3">
      <c r="A182" s="76"/>
      <c r="B182" s="350" t="s">
        <v>56</v>
      </c>
      <c r="C182" s="124" t="s">
        <v>55</v>
      </c>
      <c r="E182" s="139">
        <f>IF(MONTH(E181)&lt;=3,DATE(YEAR(E181),3,31),DATE(YEAR(E181)+1,3,31))</f>
        <v>55609</v>
      </c>
    </row>
    <row r="183" spans="1:9" x14ac:dyDescent="0.3">
      <c r="A183" s="853" t="s">
        <v>54</v>
      </c>
      <c r="C183" s="76"/>
    </row>
    <row r="184" spans="1:9" x14ac:dyDescent="0.3">
      <c r="A184" s="76"/>
      <c r="B184" s="154" t="s">
        <v>51</v>
      </c>
      <c r="C184" s="99" t="s">
        <v>49</v>
      </c>
      <c r="E184" s="115">
        <v>0</v>
      </c>
    </row>
    <row r="185" spans="1:9" x14ac:dyDescent="0.3">
      <c r="A185" s="76"/>
      <c r="B185" s="154" t="s">
        <v>50</v>
      </c>
      <c r="C185" s="99" t="s">
        <v>49</v>
      </c>
      <c r="E185" s="388">
        <v>15</v>
      </c>
      <c r="F185" s="13" t="s">
        <v>1244</v>
      </c>
    </row>
    <row r="186" spans="1:9" x14ac:dyDescent="0.3">
      <c r="A186" s="76"/>
      <c r="B186" s="141" t="s">
        <v>53</v>
      </c>
      <c r="C186" s="142" t="s">
        <v>0</v>
      </c>
      <c r="E186" s="151">
        <v>0.06</v>
      </c>
      <c r="F186" s="13" t="s">
        <v>1244</v>
      </c>
      <c r="I186" s="127"/>
    </row>
    <row r="187" spans="1:9" x14ac:dyDescent="0.3">
      <c r="A187" s="853" t="s">
        <v>52</v>
      </c>
      <c r="C187" s="76"/>
    </row>
    <row r="188" spans="1:9" x14ac:dyDescent="0.3">
      <c r="A188" s="76"/>
      <c r="B188" s="154" t="s">
        <v>51</v>
      </c>
      <c r="C188" s="99" t="s">
        <v>49</v>
      </c>
      <c r="E188" s="115">
        <v>0</v>
      </c>
    </row>
    <row r="189" spans="1:9" x14ac:dyDescent="0.3">
      <c r="A189" s="76"/>
      <c r="B189" s="154" t="s">
        <v>50</v>
      </c>
      <c r="C189" s="99" t="s">
        <v>49</v>
      </c>
      <c r="E189" s="115">
        <v>15</v>
      </c>
    </row>
    <row r="190" spans="1:9" x14ac:dyDescent="0.3">
      <c r="A190" s="76"/>
      <c r="B190" s="141" t="s">
        <v>48</v>
      </c>
      <c r="C190" s="142" t="s">
        <v>0</v>
      </c>
      <c r="E190" s="151">
        <v>8.5000000000000006E-2</v>
      </c>
    </row>
    <row r="191" spans="1:9" x14ac:dyDescent="0.3">
      <c r="A191" s="853" t="s">
        <v>5</v>
      </c>
      <c r="B191" s="351"/>
      <c r="C191" s="76"/>
      <c r="D191" s="142"/>
      <c r="E191" s="142"/>
    </row>
    <row r="192" spans="1:9" x14ac:dyDescent="0.3">
      <c r="A192" s="76"/>
      <c r="B192" s="154" t="s">
        <v>197</v>
      </c>
      <c r="C192" s="99" t="s">
        <v>0</v>
      </c>
      <c r="E192" s="151">
        <v>0.14000000000000001</v>
      </c>
      <c r="F192" s="650" t="s">
        <v>1204</v>
      </c>
      <c r="G192" s="650"/>
      <c r="H192" s="127"/>
      <c r="I192" s="127"/>
    </row>
    <row r="193" spans="1:71" hidden="1" x14ac:dyDescent="0.3">
      <c r="A193" s="76"/>
      <c r="B193" s="351"/>
      <c r="C193" s="76"/>
      <c r="D193" s="142"/>
      <c r="E193" s="142"/>
    </row>
    <row r="194" spans="1:71" hidden="1" x14ac:dyDescent="0.3">
      <c r="A194" s="76"/>
      <c r="B194" s="141" t="s">
        <v>47</v>
      </c>
      <c r="C194" s="142" t="s">
        <v>46</v>
      </c>
      <c r="D194" s="142"/>
      <c r="E194" s="115">
        <v>0</v>
      </c>
    </row>
    <row r="195" spans="1:71" hidden="1" x14ac:dyDescent="0.3">
      <c r="A195" s="76"/>
      <c r="B195" s="141" t="s">
        <v>45</v>
      </c>
      <c r="C195" s="142"/>
      <c r="D195" s="142"/>
      <c r="E195" s="115" t="s">
        <v>838</v>
      </c>
    </row>
    <row r="196" spans="1:71" hidden="1" x14ac:dyDescent="0.3">
      <c r="A196" s="76"/>
      <c r="B196" s="141" t="s">
        <v>44</v>
      </c>
      <c r="C196" s="142" t="s">
        <v>0</v>
      </c>
      <c r="D196" s="142"/>
      <c r="E196" s="402">
        <v>0</v>
      </c>
    </row>
    <row r="197" spans="1:71" hidden="1" x14ac:dyDescent="0.3">
      <c r="A197" s="76"/>
      <c r="B197" s="141" t="s">
        <v>43</v>
      </c>
      <c r="C197" s="142" t="s">
        <v>0</v>
      </c>
      <c r="D197" s="142"/>
      <c r="E197" s="660">
        <v>0.04</v>
      </c>
    </row>
    <row r="198" spans="1:71" hidden="1" x14ac:dyDescent="0.3">
      <c r="A198" s="1094" t="s">
        <v>42</v>
      </c>
      <c r="C198" s="76"/>
    </row>
    <row r="199" spans="1:71" hidden="1" x14ac:dyDescent="0.3">
      <c r="A199" s="76"/>
      <c r="B199" s="141" t="s">
        <v>41</v>
      </c>
      <c r="C199" s="142" t="s">
        <v>0</v>
      </c>
      <c r="E199" s="144">
        <v>0.09</v>
      </c>
    </row>
    <row r="200" spans="1:71" hidden="1" x14ac:dyDescent="0.3">
      <c r="A200" s="76"/>
      <c r="B200" s="141" t="s">
        <v>40</v>
      </c>
      <c r="E200" s="123" t="b">
        <v>1</v>
      </c>
    </row>
    <row r="201" spans="1:71" hidden="1" x14ac:dyDescent="0.3">
      <c r="A201" s="76"/>
      <c r="B201" s="141" t="s">
        <v>39</v>
      </c>
      <c r="C201" s="99" t="s">
        <v>11</v>
      </c>
      <c r="E201" s="145">
        <v>0</v>
      </c>
    </row>
    <row r="202" spans="1:71" x14ac:dyDescent="0.3">
      <c r="A202" s="76"/>
      <c r="B202" s="351"/>
      <c r="C202" s="351"/>
      <c r="E202" s="351"/>
    </row>
    <row r="203" spans="1:71" x14ac:dyDescent="0.3">
      <c r="A203" s="854" t="s">
        <v>463</v>
      </c>
      <c r="B203" s="352"/>
      <c r="C203" s="146"/>
      <c r="D203" s="146"/>
      <c r="E203" s="147"/>
    </row>
    <row r="204" spans="1:71" x14ac:dyDescent="0.3">
      <c r="A204" s="853"/>
      <c r="B204" s="154" t="s">
        <v>260</v>
      </c>
      <c r="C204" s="99" t="s">
        <v>221</v>
      </c>
      <c r="E204" s="148">
        <v>4.66</v>
      </c>
      <c r="F204" s="10"/>
      <c r="G204" s="10"/>
    </row>
    <row r="205" spans="1:71" x14ac:dyDescent="0.3">
      <c r="A205" s="76"/>
      <c r="B205" s="154" t="s">
        <v>261</v>
      </c>
      <c r="C205" s="99" t="s">
        <v>221</v>
      </c>
      <c r="E205" s="1243">
        <f>E204*(1+E225)</f>
        <v>5.4988000000000001</v>
      </c>
      <c r="F205" s="13" t="s">
        <v>1203</v>
      </c>
      <c r="M205" s="149"/>
      <c r="N205" s="149"/>
      <c r="O205" s="149"/>
      <c r="P205" s="149"/>
      <c r="Q205" s="149"/>
      <c r="R205" s="149"/>
      <c r="S205" s="149"/>
      <c r="T205" s="149"/>
      <c r="U205" s="149"/>
      <c r="V205" s="149"/>
      <c r="W205" s="149"/>
      <c r="X205" s="149"/>
      <c r="Y205" s="149"/>
      <c r="Z205" s="149"/>
      <c r="AA205" s="149"/>
      <c r="AB205" s="149"/>
      <c r="AC205" s="149"/>
      <c r="AD205" s="149"/>
      <c r="AE205" s="149"/>
      <c r="AF205" s="149"/>
      <c r="AG205" s="149"/>
      <c r="AH205" s="149"/>
      <c r="AI205" s="149"/>
      <c r="AJ205" s="149"/>
      <c r="AK205" s="149"/>
      <c r="AL205" s="149"/>
      <c r="AM205" s="149"/>
      <c r="AN205" s="149"/>
      <c r="AO205" s="149"/>
      <c r="AP205" s="149"/>
      <c r="AQ205" s="149"/>
      <c r="AR205" s="149"/>
      <c r="AS205" s="149"/>
      <c r="AT205" s="149"/>
      <c r="AU205" s="149"/>
      <c r="AV205" s="149"/>
      <c r="AW205" s="149"/>
      <c r="AX205" s="149"/>
      <c r="AY205" s="149"/>
      <c r="AZ205" s="149"/>
      <c r="BA205" s="149"/>
      <c r="BB205" s="149"/>
      <c r="BC205" s="149"/>
      <c r="BD205" s="149"/>
      <c r="BE205" s="149"/>
      <c r="BF205" s="149"/>
      <c r="BG205" s="149"/>
      <c r="BH205" s="149"/>
      <c r="BI205" s="149"/>
      <c r="BJ205" s="149"/>
      <c r="BK205" s="149"/>
      <c r="BL205" s="149"/>
      <c r="BM205" s="149"/>
      <c r="BN205" s="149"/>
      <c r="BO205" s="149"/>
      <c r="BP205" s="149"/>
      <c r="BQ205" s="149"/>
      <c r="BR205" s="149"/>
      <c r="BS205" s="149"/>
    </row>
    <row r="206" spans="1:71" x14ac:dyDescent="0.3">
      <c r="A206" s="76"/>
      <c r="B206" s="154" t="s">
        <v>478</v>
      </c>
      <c r="C206" s="99" t="s">
        <v>0</v>
      </c>
      <c r="E206" s="313">
        <v>5.2499999999999998E-2</v>
      </c>
      <c r="F206" s="650" t="s">
        <v>1204</v>
      </c>
      <c r="G206" s="650"/>
    </row>
    <row r="207" spans="1:71" x14ac:dyDescent="0.3">
      <c r="A207" s="854" t="s">
        <v>464</v>
      </c>
      <c r="B207" s="352"/>
      <c r="C207" s="146"/>
      <c r="D207" s="146"/>
      <c r="E207" s="147"/>
    </row>
    <row r="208" spans="1:71" hidden="1" x14ac:dyDescent="0.3">
      <c r="A208" s="855"/>
      <c r="B208" s="812" t="s">
        <v>457</v>
      </c>
      <c r="C208" s="813" t="s">
        <v>423</v>
      </c>
      <c r="D208" s="94"/>
      <c r="E208" s="100">
        <v>0</v>
      </c>
      <c r="F208" s="101">
        <v>0.05</v>
      </c>
      <c r="G208" s="1220"/>
    </row>
    <row r="209" spans="1:71" hidden="1" x14ac:dyDescent="0.3">
      <c r="A209" s="856"/>
      <c r="B209" s="353" t="s">
        <v>458</v>
      </c>
      <c r="C209" s="814" t="s">
        <v>465</v>
      </c>
      <c r="D209" s="41"/>
      <c r="E209" s="815">
        <v>0</v>
      </c>
      <c r="F209" s="102">
        <v>0.05</v>
      </c>
      <c r="G209" s="1220"/>
      <c r="M209" s="149"/>
      <c r="N209" s="149"/>
      <c r="O209" s="149"/>
      <c r="P209" s="149"/>
      <c r="Q209" s="149"/>
      <c r="R209" s="149"/>
      <c r="S209" s="149"/>
      <c r="T209" s="149"/>
      <c r="U209" s="149"/>
      <c r="V209" s="149"/>
      <c r="W209" s="149"/>
      <c r="X209" s="149"/>
      <c r="Y209" s="149"/>
      <c r="Z209" s="149"/>
      <c r="AA209" s="149"/>
      <c r="AB209" s="149"/>
      <c r="AC209" s="149"/>
      <c r="AD209" s="149"/>
      <c r="AE209" s="149"/>
      <c r="AF209" s="149"/>
      <c r="AG209" s="149"/>
      <c r="AH209" s="149"/>
      <c r="AI209" s="149"/>
      <c r="AJ209" s="149"/>
      <c r="AK209" s="149"/>
      <c r="AL209" s="149"/>
      <c r="AM209" s="149"/>
      <c r="AN209" s="149"/>
      <c r="AO209" s="149"/>
      <c r="AP209" s="149"/>
      <c r="AQ209" s="149"/>
      <c r="AR209" s="149"/>
      <c r="AS209" s="149"/>
      <c r="AT209" s="149"/>
      <c r="AU209" s="149"/>
      <c r="AV209" s="149"/>
      <c r="AW209" s="149"/>
      <c r="AX209" s="149"/>
      <c r="AY209" s="149"/>
      <c r="AZ209" s="149"/>
      <c r="BA209" s="149"/>
      <c r="BB209" s="149"/>
      <c r="BC209" s="149"/>
      <c r="BD209" s="149"/>
      <c r="BE209" s="149"/>
      <c r="BF209" s="149"/>
      <c r="BG209" s="149"/>
      <c r="BH209" s="149"/>
      <c r="BI209" s="149"/>
      <c r="BJ209" s="149"/>
      <c r="BK209" s="149"/>
      <c r="BL209" s="149"/>
      <c r="BM209" s="149"/>
      <c r="BN209" s="149"/>
      <c r="BO209" s="149"/>
      <c r="BP209" s="149"/>
      <c r="BQ209" s="149"/>
      <c r="BR209" s="149"/>
      <c r="BS209" s="149"/>
    </row>
    <row r="210" spans="1:71" x14ac:dyDescent="0.3">
      <c r="A210" s="857"/>
      <c r="B210" s="353" t="s">
        <v>459</v>
      </c>
      <c r="C210" s="814" t="s">
        <v>466</v>
      </c>
      <c r="D210" s="41"/>
      <c r="E210" s="102">
        <v>0.01</v>
      </c>
    </row>
    <row r="211" spans="1:71" hidden="1" x14ac:dyDescent="0.3">
      <c r="A211" s="856"/>
      <c r="B211" s="353" t="s">
        <v>460</v>
      </c>
      <c r="C211" s="814" t="s">
        <v>423</v>
      </c>
      <c r="D211" s="41"/>
      <c r="E211" s="816">
        <v>0</v>
      </c>
      <c r="F211" s="102">
        <v>0.05</v>
      </c>
      <c r="G211" s="1220"/>
      <c r="L211" s="10" t="s">
        <v>533</v>
      </c>
      <c r="M211" s="149"/>
      <c r="N211" s="149"/>
      <c r="O211" s="149"/>
      <c r="P211" s="149"/>
      <c r="Q211" s="149"/>
      <c r="R211" s="149"/>
      <c r="S211" s="149"/>
      <c r="T211" s="149"/>
      <c r="U211" s="149"/>
      <c r="V211" s="149"/>
      <c r="W211" s="149"/>
      <c r="X211" s="149"/>
      <c r="Y211" s="149"/>
      <c r="Z211" s="149"/>
      <c r="AA211" s="149"/>
      <c r="AB211" s="149"/>
      <c r="AC211" s="149"/>
      <c r="AD211" s="149"/>
      <c r="AE211" s="149"/>
      <c r="AF211" s="149"/>
      <c r="AG211" s="149"/>
      <c r="AH211" s="149"/>
      <c r="AI211" s="149"/>
      <c r="AJ211" s="149"/>
      <c r="AK211" s="149"/>
      <c r="AL211" s="149"/>
      <c r="AM211" s="149"/>
      <c r="AN211" s="149"/>
      <c r="AO211" s="149"/>
      <c r="AP211" s="149"/>
      <c r="AQ211" s="149"/>
      <c r="AR211" s="149"/>
      <c r="AS211" s="149"/>
      <c r="AT211" s="149"/>
      <c r="AU211" s="149"/>
      <c r="AV211" s="149"/>
      <c r="AW211" s="149"/>
      <c r="AX211" s="149"/>
      <c r="AY211" s="149"/>
      <c r="AZ211" s="149"/>
      <c r="BA211" s="149"/>
      <c r="BB211" s="149"/>
      <c r="BC211" s="149"/>
      <c r="BD211" s="149"/>
      <c r="BE211" s="149"/>
      <c r="BF211" s="149"/>
      <c r="BG211" s="149"/>
      <c r="BH211" s="149"/>
      <c r="BI211" s="149"/>
      <c r="BJ211" s="149"/>
      <c r="BK211" s="149"/>
      <c r="BL211" s="149"/>
      <c r="BM211" s="149"/>
      <c r="BN211" s="149"/>
      <c r="BO211" s="149"/>
      <c r="BP211" s="149"/>
      <c r="BQ211" s="149"/>
      <c r="BR211" s="149"/>
      <c r="BS211" s="149"/>
    </row>
    <row r="212" spans="1:71" hidden="1" x14ac:dyDescent="0.3">
      <c r="A212" s="857"/>
      <c r="B212" s="353" t="s">
        <v>461</v>
      </c>
      <c r="C212" s="814" t="s">
        <v>423</v>
      </c>
      <c r="D212" s="41"/>
      <c r="E212" s="103">
        <v>0</v>
      </c>
      <c r="F212" s="102">
        <v>3.6999999999999998E-2</v>
      </c>
      <c r="G212" s="1220"/>
      <c r="L212" s="53" t="s">
        <v>527</v>
      </c>
      <c r="M212" s="53" t="s">
        <v>468</v>
      </c>
      <c r="N212" s="53" t="s">
        <v>469</v>
      </c>
      <c r="O212" s="95" t="s">
        <v>470</v>
      </c>
      <c r="P212" s="73" t="s">
        <v>471</v>
      </c>
      <c r="Q212" s="73" t="s">
        <v>472</v>
      </c>
    </row>
    <row r="213" spans="1:71" x14ac:dyDescent="0.3">
      <c r="A213" s="856"/>
      <c r="B213" s="353" t="s">
        <v>462</v>
      </c>
      <c r="C213" s="814" t="s">
        <v>423</v>
      </c>
      <c r="D213" s="41"/>
      <c r="E213" s="104">
        <f>ROUND(SUM(N213:N214)/$E$4,3)</f>
        <v>1.194</v>
      </c>
      <c r="L213" s="53" t="s">
        <v>473</v>
      </c>
      <c r="M213" s="320">
        <v>8</v>
      </c>
      <c r="N213" s="53">
        <f>Q213*M213</f>
        <v>206.72</v>
      </c>
      <c r="O213" s="106" t="s">
        <v>474</v>
      </c>
      <c r="P213" s="106">
        <v>24.96</v>
      </c>
      <c r="Q213" s="106">
        <v>25.84</v>
      </c>
      <c r="R213" s="149"/>
      <c r="S213" s="149"/>
      <c r="T213" s="149"/>
      <c r="U213" s="149"/>
      <c r="V213" s="149"/>
      <c r="W213" s="149"/>
      <c r="X213" s="149"/>
      <c r="Y213" s="149"/>
      <c r="Z213" s="149"/>
      <c r="AA213" s="149"/>
      <c r="AB213" s="149"/>
      <c r="AC213" s="149"/>
      <c r="AD213" s="149"/>
      <c r="AE213" s="149"/>
      <c r="AF213" s="149"/>
      <c r="AG213" s="149"/>
      <c r="AH213" s="149"/>
      <c r="AI213" s="149"/>
      <c r="AJ213" s="149"/>
      <c r="AK213" s="149"/>
      <c r="AL213" s="149"/>
      <c r="AM213" s="149"/>
      <c r="AN213" s="149"/>
      <c r="AO213" s="149"/>
      <c r="AP213" s="149"/>
      <c r="AQ213" s="149"/>
      <c r="AR213" s="149"/>
      <c r="AS213" s="149"/>
      <c r="AT213" s="149"/>
      <c r="AU213" s="149"/>
      <c r="AV213" s="149"/>
      <c r="AW213" s="149"/>
      <c r="AX213" s="149"/>
      <c r="AY213" s="149"/>
      <c r="AZ213" s="149"/>
      <c r="BA213" s="149"/>
      <c r="BB213" s="149"/>
      <c r="BC213" s="149"/>
      <c r="BD213" s="149"/>
      <c r="BE213" s="149"/>
      <c r="BF213" s="149"/>
      <c r="BG213" s="149"/>
      <c r="BH213" s="149"/>
      <c r="BI213" s="149"/>
      <c r="BJ213" s="149"/>
      <c r="BK213" s="149"/>
      <c r="BL213" s="149"/>
      <c r="BM213" s="149"/>
      <c r="BN213" s="149"/>
      <c r="BO213" s="149"/>
      <c r="BP213" s="149"/>
      <c r="BQ213" s="149"/>
      <c r="BR213" s="149"/>
      <c r="BS213" s="149"/>
    </row>
    <row r="214" spans="1:71" x14ac:dyDescent="0.3">
      <c r="A214" s="76"/>
      <c r="B214" s="154" t="s">
        <v>478</v>
      </c>
      <c r="C214" s="99" t="s">
        <v>0</v>
      </c>
      <c r="E214" s="763">
        <v>3.7699999999999997E-2</v>
      </c>
      <c r="L214" s="53" t="s">
        <v>475</v>
      </c>
      <c r="M214" s="107">
        <v>300</v>
      </c>
      <c r="N214" s="53">
        <f>Q214*M214</f>
        <v>84.6</v>
      </c>
      <c r="O214" s="106" t="s">
        <v>476</v>
      </c>
      <c r="P214" s="106">
        <v>0.27200000000000002</v>
      </c>
      <c r="Q214" s="106">
        <v>0.28199999999999997</v>
      </c>
      <c r="R214" s="149"/>
      <c r="S214" s="149"/>
      <c r="T214" s="149"/>
      <c r="U214" s="149"/>
      <c r="V214" s="149"/>
      <c r="W214" s="149"/>
      <c r="X214" s="149"/>
      <c r="Y214" s="149"/>
      <c r="Z214" s="149"/>
      <c r="AA214" s="149"/>
      <c r="AB214" s="149"/>
      <c r="AC214" s="149"/>
      <c r="AD214" s="149"/>
      <c r="AE214" s="149"/>
      <c r="AF214" s="149"/>
      <c r="AG214" s="149"/>
      <c r="AH214" s="149"/>
      <c r="AI214" s="149"/>
      <c r="AJ214" s="149"/>
      <c r="AK214" s="149"/>
      <c r="AL214" s="149"/>
      <c r="AM214" s="149"/>
      <c r="AN214" s="149"/>
      <c r="AO214" s="149"/>
      <c r="AP214" s="149"/>
      <c r="AQ214" s="149"/>
      <c r="AR214" s="149"/>
      <c r="AS214" s="149"/>
      <c r="AT214" s="149"/>
      <c r="AU214" s="149"/>
      <c r="AV214" s="149"/>
      <c r="AW214" s="149"/>
      <c r="AX214" s="149"/>
      <c r="AY214" s="149"/>
      <c r="AZ214" s="149"/>
      <c r="BA214" s="149"/>
      <c r="BB214" s="149"/>
      <c r="BC214" s="149"/>
      <c r="BD214" s="149"/>
      <c r="BE214" s="149"/>
      <c r="BF214" s="149"/>
      <c r="BG214" s="149"/>
      <c r="BH214" s="149"/>
      <c r="BI214" s="149"/>
      <c r="BJ214" s="149"/>
      <c r="BK214" s="149"/>
      <c r="BL214" s="149"/>
      <c r="BM214" s="149"/>
      <c r="BN214" s="149"/>
      <c r="BO214" s="149"/>
      <c r="BP214" s="149"/>
      <c r="BQ214" s="149"/>
      <c r="BR214" s="149"/>
      <c r="BS214" s="149"/>
    </row>
    <row r="215" spans="1:71" x14ac:dyDescent="0.3">
      <c r="A215" s="858" t="s">
        <v>38</v>
      </c>
      <c r="B215" s="378"/>
      <c r="C215" s="361"/>
      <c r="D215" s="361"/>
      <c r="E215" s="106"/>
      <c r="F215" s="361"/>
      <c r="G215" s="361"/>
      <c r="L215" s="53" t="s">
        <v>477</v>
      </c>
      <c r="M215" s="108">
        <f>N215/$E$4</f>
        <v>1.194482713376632</v>
      </c>
      <c r="N215" s="109">
        <f>SUM(N213:N214)</f>
        <v>291.32</v>
      </c>
      <c r="O215" s="106" t="s">
        <v>478</v>
      </c>
      <c r="P215" s="110">
        <v>4.02E-2</v>
      </c>
    </row>
    <row r="216" spans="1:71" x14ac:dyDescent="0.3">
      <c r="A216" s="76"/>
      <c r="B216" s="154" t="s">
        <v>37</v>
      </c>
      <c r="C216" s="99" t="s">
        <v>36</v>
      </c>
      <c r="E216" s="125">
        <v>1.5</v>
      </c>
      <c r="F216" s="13" t="s">
        <v>222</v>
      </c>
      <c r="H216" s="650" t="s">
        <v>870</v>
      </c>
      <c r="I216" s="127"/>
    </row>
    <row r="217" spans="1:71" x14ac:dyDescent="0.3">
      <c r="A217" s="76"/>
      <c r="B217" s="154" t="s">
        <v>23</v>
      </c>
      <c r="C217" s="99" t="s">
        <v>36</v>
      </c>
      <c r="E217" s="125">
        <v>1</v>
      </c>
      <c r="F217" s="13" t="s">
        <v>222</v>
      </c>
      <c r="H217" s="650" t="s">
        <v>870</v>
      </c>
      <c r="I217" s="127"/>
    </row>
    <row r="218" spans="1:71" x14ac:dyDescent="0.3">
      <c r="A218" s="76"/>
      <c r="B218" s="154" t="s">
        <v>35</v>
      </c>
      <c r="C218" s="99" t="s">
        <v>0</v>
      </c>
      <c r="E218" s="151">
        <v>0.15</v>
      </c>
      <c r="H218" s="710"/>
      <c r="I218" s="127"/>
    </row>
    <row r="219" spans="1:71" x14ac:dyDescent="0.3">
      <c r="A219" s="76"/>
      <c r="B219" s="154"/>
      <c r="C219" s="152"/>
      <c r="D219" s="152"/>
      <c r="E219" s="13"/>
    </row>
    <row r="220" spans="1:71" x14ac:dyDescent="0.3">
      <c r="A220" s="76"/>
      <c r="B220" s="154" t="s">
        <v>130</v>
      </c>
      <c r="C220" s="99" t="s">
        <v>0</v>
      </c>
      <c r="E220" s="151">
        <v>0.115</v>
      </c>
    </row>
    <row r="221" spans="1:71" x14ac:dyDescent="0.3">
      <c r="A221" s="76"/>
      <c r="B221" s="154" t="s">
        <v>34</v>
      </c>
      <c r="C221" s="99" t="s">
        <v>0</v>
      </c>
      <c r="E221" s="151">
        <v>0.25</v>
      </c>
    </row>
    <row r="222" spans="1:71" x14ac:dyDescent="0.3">
      <c r="A222" s="858" t="s">
        <v>33</v>
      </c>
      <c r="B222" s="378"/>
      <c r="C222" s="361"/>
      <c r="D222" s="361"/>
      <c r="E222" s="106"/>
      <c r="F222" s="361" t="s">
        <v>853</v>
      </c>
      <c r="G222" s="361"/>
      <c r="H222" s="361" t="s">
        <v>852</v>
      </c>
    </row>
    <row r="223" spans="1:71" x14ac:dyDescent="0.3">
      <c r="A223" s="76"/>
      <c r="B223" s="343" t="s">
        <v>30</v>
      </c>
      <c r="C223" s="131" t="s">
        <v>0</v>
      </c>
      <c r="E223" s="902">
        <v>0.22</v>
      </c>
      <c r="F223" s="13" t="s">
        <v>1203</v>
      </c>
    </row>
    <row r="224" spans="1:71" x14ac:dyDescent="0.3">
      <c r="A224" s="76"/>
      <c r="B224" s="343" t="s">
        <v>245</v>
      </c>
      <c r="C224" s="131" t="s">
        <v>0</v>
      </c>
      <c r="E224" s="313">
        <f>15%*(1+10%)*(1+4%)</f>
        <v>0.1716</v>
      </c>
    </row>
    <row r="225" spans="1:37" x14ac:dyDescent="0.3">
      <c r="A225" s="853"/>
      <c r="B225" s="141" t="s">
        <v>259</v>
      </c>
      <c r="C225" s="13" t="s">
        <v>0</v>
      </c>
      <c r="E225" s="150">
        <v>0.18</v>
      </c>
      <c r="F225" s="150">
        <v>0.12</v>
      </c>
      <c r="G225" s="150"/>
      <c r="H225" s="150">
        <v>0.18</v>
      </c>
      <c r="I225" s="706">
        <f>70%*F225+30%*H225</f>
        <v>0.13799999999999998</v>
      </c>
    </row>
    <row r="226" spans="1:37" x14ac:dyDescent="0.3">
      <c r="A226" s="76"/>
      <c r="B226" s="141" t="s">
        <v>31</v>
      </c>
      <c r="C226" s="131" t="s">
        <v>0</v>
      </c>
      <c r="E226" s="123" t="b">
        <v>0</v>
      </c>
    </row>
    <row r="227" spans="1:37" x14ac:dyDescent="0.3">
      <c r="A227" s="76"/>
      <c r="B227" s="343" t="s">
        <v>265</v>
      </c>
      <c r="C227" s="131" t="s">
        <v>0</v>
      </c>
      <c r="E227" s="360">
        <v>2.5000000000000001E-3</v>
      </c>
    </row>
    <row r="228" spans="1:37" x14ac:dyDescent="0.3">
      <c r="A228" s="76"/>
      <c r="B228" s="343" t="s">
        <v>29</v>
      </c>
      <c r="C228" s="131" t="s">
        <v>0</v>
      </c>
      <c r="E228" s="132">
        <f>E245*E186*(1-E223)+E246*E190*(1-E223)+E247+E248*E192</f>
        <v>7.4760000000000007E-2</v>
      </c>
    </row>
    <row r="229" spans="1:37" ht="12.5" thickBot="1" x14ac:dyDescent="0.35">
      <c r="A229" s="853" t="s">
        <v>220</v>
      </c>
      <c r="B229" s="141"/>
    </row>
    <row r="230" spans="1:37" ht="12.5" thickBot="1" x14ac:dyDescent="0.35">
      <c r="A230" s="76"/>
      <c r="B230" s="154" t="s">
        <v>454</v>
      </c>
      <c r="C230" s="152" t="s">
        <v>548</v>
      </c>
      <c r="E230" s="317" t="b">
        <v>1</v>
      </c>
    </row>
    <row r="231" spans="1:37" hidden="1" x14ac:dyDescent="0.3">
      <c r="A231" s="76"/>
      <c r="B231" s="343"/>
      <c r="C231" s="131"/>
    </row>
    <row r="232" spans="1:37" x14ac:dyDescent="0.3">
      <c r="A232" s="853" t="s">
        <v>152</v>
      </c>
      <c r="B232" s="343"/>
      <c r="C232" s="131"/>
    </row>
    <row r="233" spans="1:37" x14ac:dyDescent="0.3">
      <c r="A233" s="76"/>
      <c r="B233" s="343" t="s">
        <v>258</v>
      </c>
      <c r="C233" s="131"/>
      <c r="E233" s="10" t="b">
        <v>1</v>
      </c>
    </row>
    <row r="234" spans="1:37" x14ac:dyDescent="0.3">
      <c r="A234" s="76"/>
      <c r="B234" s="343" t="s">
        <v>187</v>
      </c>
      <c r="C234" s="131"/>
      <c r="E234" s="75">
        <f ca="1">Working!$D$277</f>
        <v>5.2535517329743424</v>
      </c>
    </row>
    <row r="235" spans="1:37" x14ac:dyDescent="0.3">
      <c r="A235" s="76"/>
      <c r="B235" s="343"/>
      <c r="C235" s="131"/>
    </row>
    <row r="236" spans="1:37" x14ac:dyDescent="0.3">
      <c r="A236" s="1095" t="s">
        <v>188</v>
      </c>
      <c r="B236" s="672"/>
      <c r="C236" s="673"/>
      <c r="D236" s="1030"/>
      <c r="E236" s="674"/>
      <c r="F236" s="675"/>
      <c r="G236" s="675"/>
      <c r="H236" s="674"/>
      <c r="I236" s="674"/>
      <c r="J236" s="674"/>
      <c r="K236" s="674"/>
      <c r="L236" s="674"/>
      <c r="M236" s="674"/>
      <c r="N236" s="674"/>
      <c r="O236" s="674"/>
      <c r="P236" s="674"/>
      <c r="Q236" s="674"/>
      <c r="R236" s="674"/>
      <c r="S236" s="674"/>
      <c r="T236" s="674"/>
      <c r="U236" s="674"/>
      <c r="V236" s="674"/>
      <c r="W236" s="674"/>
      <c r="X236" s="674"/>
      <c r="Y236" s="674"/>
      <c r="Z236" s="674"/>
      <c r="AA236" s="674"/>
      <c r="AB236" s="674"/>
      <c r="AC236" s="674"/>
      <c r="AD236" s="674"/>
      <c r="AE236" s="674"/>
      <c r="AF236" s="674"/>
      <c r="AG236" s="674"/>
      <c r="AH236" s="674"/>
      <c r="AI236" s="674"/>
      <c r="AJ236" s="674"/>
      <c r="AK236" s="674"/>
    </row>
    <row r="237" spans="1:37" x14ac:dyDescent="0.3">
      <c r="A237" s="854"/>
      <c r="B237" s="354" t="s">
        <v>15</v>
      </c>
      <c r="C237" s="155" t="s">
        <v>14</v>
      </c>
      <c r="D237" s="155" t="s">
        <v>13</v>
      </c>
      <c r="E237" s="315">
        <f>YEAR(E238)</f>
        <v>2026</v>
      </c>
      <c r="F237" s="399">
        <f t="shared" ref="F237:AK237" si="7">E237+1</f>
        <v>2027</v>
      </c>
      <c r="G237" s="399"/>
      <c r="H237" s="156">
        <f>F237+1</f>
        <v>2028</v>
      </c>
      <c r="I237" s="156">
        <f>H237+1</f>
        <v>2029</v>
      </c>
      <c r="J237" s="156">
        <f>I237+1</f>
        <v>2030</v>
      </c>
      <c r="K237" s="156">
        <f t="shared" si="7"/>
        <v>2031</v>
      </c>
      <c r="L237" s="156">
        <f t="shared" si="7"/>
        <v>2032</v>
      </c>
      <c r="M237" s="156">
        <f t="shared" si="7"/>
        <v>2033</v>
      </c>
      <c r="N237" s="156">
        <f t="shared" si="7"/>
        <v>2034</v>
      </c>
      <c r="O237" s="156">
        <f t="shared" si="7"/>
        <v>2035</v>
      </c>
      <c r="P237" s="156">
        <f t="shared" si="7"/>
        <v>2036</v>
      </c>
      <c r="Q237" s="156">
        <f t="shared" si="7"/>
        <v>2037</v>
      </c>
      <c r="R237" s="156">
        <f t="shared" si="7"/>
        <v>2038</v>
      </c>
      <c r="S237" s="156">
        <f t="shared" si="7"/>
        <v>2039</v>
      </c>
      <c r="T237" s="156">
        <f t="shared" si="7"/>
        <v>2040</v>
      </c>
      <c r="U237" s="156">
        <f t="shared" si="7"/>
        <v>2041</v>
      </c>
      <c r="V237" s="156">
        <f t="shared" si="7"/>
        <v>2042</v>
      </c>
      <c r="W237" s="156">
        <f t="shared" si="7"/>
        <v>2043</v>
      </c>
      <c r="X237" s="156">
        <f t="shared" si="7"/>
        <v>2044</v>
      </c>
      <c r="Y237" s="156">
        <f t="shared" si="7"/>
        <v>2045</v>
      </c>
      <c r="Z237" s="156">
        <f t="shared" si="7"/>
        <v>2046</v>
      </c>
      <c r="AA237" s="156">
        <f t="shared" si="7"/>
        <v>2047</v>
      </c>
      <c r="AB237" s="156">
        <f t="shared" si="7"/>
        <v>2048</v>
      </c>
      <c r="AC237" s="156">
        <f t="shared" si="7"/>
        <v>2049</v>
      </c>
      <c r="AD237" s="156">
        <f t="shared" si="7"/>
        <v>2050</v>
      </c>
      <c r="AE237" s="156">
        <f t="shared" si="7"/>
        <v>2051</v>
      </c>
      <c r="AF237" s="156">
        <f t="shared" si="7"/>
        <v>2052</v>
      </c>
      <c r="AG237" s="156">
        <f t="shared" si="7"/>
        <v>2053</v>
      </c>
      <c r="AH237" s="156">
        <f t="shared" si="7"/>
        <v>2054</v>
      </c>
      <c r="AI237" s="156">
        <f t="shared" si="7"/>
        <v>2055</v>
      </c>
      <c r="AJ237" s="156">
        <f t="shared" si="7"/>
        <v>2056</v>
      </c>
      <c r="AK237" s="156">
        <f t="shared" si="7"/>
        <v>2057</v>
      </c>
    </row>
    <row r="238" spans="1:37" x14ac:dyDescent="0.3">
      <c r="A238" s="854"/>
      <c r="B238" s="354"/>
      <c r="C238" s="155"/>
      <c r="D238" s="1031">
        <f>E176-1</f>
        <v>45747</v>
      </c>
      <c r="E238" s="316">
        <f>EOMONTH(D238,12)</f>
        <v>46112</v>
      </c>
      <c r="F238" s="400">
        <f t="shared" ref="F238:AK238" si="8">EOMONTH(E238,12)</f>
        <v>46477</v>
      </c>
      <c r="G238" s="400"/>
      <c r="H238" s="157">
        <f>EOMONTH(F238,12)</f>
        <v>46843</v>
      </c>
      <c r="I238" s="157">
        <f>EOMONTH(H238,12)</f>
        <v>47208</v>
      </c>
      <c r="J238" s="157">
        <f>EOMONTH(I238,12)</f>
        <v>47573</v>
      </c>
      <c r="K238" s="157">
        <f t="shared" si="8"/>
        <v>47938</v>
      </c>
      <c r="L238" s="157">
        <f t="shared" si="8"/>
        <v>48304</v>
      </c>
      <c r="M238" s="157">
        <f t="shared" si="8"/>
        <v>48669</v>
      </c>
      <c r="N238" s="157">
        <f t="shared" si="8"/>
        <v>49034</v>
      </c>
      <c r="O238" s="157">
        <f t="shared" si="8"/>
        <v>49399</v>
      </c>
      <c r="P238" s="157">
        <f t="shared" si="8"/>
        <v>49765</v>
      </c>
      <c r="Q238" s="157">
        <f t="shared" si="8"/>
        <v>50130</v>
      </c>
      <c r="R238" s="157">
        <f t="shared" si="8"/>
        <v>50495</v>
      </c>
      <c r="S238" s="157">
        <f t="shared" si="8"/>
        <v>50860</v>
      </c>
      <c r="T238" s="157">
        <f t="shared" si="8"/>
        <v>51226</v>
      </c>
      <c r="U238" s="157">
        <f t="shared" si="8"/>
        <v>51591</v>
      </c>
      <c r="V238" s="157">
        <f t="shared" si="8"/>
        <v>51956</v>
      </c>
      <c r="W238" s="157">
        <f t="shared" si="8"/>
        <v>52321</v>
      </c>
      <c r="X238" s="157">
        <f t="shared" si="8"/>
        <v>52687</v>
      </c>
      <c r="Y238" s="157">
        <f t="shared" si="8"/>
        <v>53052</v>
      </c>
      <c r="Z238" s="157">
        <f t="shared" si="8"/>
        <v>53417</v>
      </c>
      <c r="AA238" s="157">
        <f t="shared" si="8"/>
        <v>53782</v>
      </c>
      <c r="AB238" s="157">
        <f t="shared" si="8"/>
        <v>54148</v>
      </c>
      <c r="AC238" s="157">
        <f t="shared" si="8"/>
        <v>54513</v>
      </c>
      <c r="AD238" s="157">
        <f t="shared" si="8"/>
        <v>54878</v>
      </c>
      <c r="AE238" s="157">
        <f t="shared" si="8"/>
        <v>55243</v>
      </c>
      <c r="AF238" s="157">
        <f t="shared" si="8"/>
        <v>55609</v>
      </c>
      <c r="AG238" s="157">
        <f t="shared" si="8"/>
        <v>55974</v>
      </c>
      <c r="AH238" s="157">
        <f t="shared" si="8"/>
        <v>56339</v>
      </c>
      <c r="AI238" s="157">
        <f t="shared" si="8"/>
        <v>56704</v>
      </c>
      <c r="AJ238" s="157">
        <f t="shared" si="8"/>
        <v>57070</v>
      </c>
      <c r="AK238" s="157">
        <f t="shared" si="8"/>
        <v>57435</v>
      </c>
    </row>
    <row r="239" spans="1:37" x14ac:dyDescent="0.3">
      <c r="A239" s="859"/>
      <c r="B239" s="341" t="s">
        <v>22</v>
      </c>
      <c r="C239" s="124" t="s">
        <v>0</v>
      </c>
      <c r="D239" s="1032"/>
      <c r="E239" s="151">
        <v>0</v>
      </c>
      <c r="F239" s="151">
        <v>5.0000000000000001E-3</v>
      </c>
      <c r="G239" s="151"/>
      <c r="H239" s="151">
        <v>5.0000000000000001E-3</v>
      </c>
      <c r="I239" s="151">
        <v>5.0000000000000001E-3</v>
      </c>
      <c r="J239" s="151">
        <v>5.0000000000000001E-3</v>
      </c>
      <c r="K239" s="151">
        <v>5.0000000000000001E-3</v>
      </c>
      <c r="L239" s="151">
        <v>5.0000000000000001E-3</v>
      </c>
      <c r="M239" s="151">
        <v>5.0000000000000001E-3</v>
      </c>
      <c r="N239" s="151">
        <v>5.0000000000000001E-3</v>
      </c>
      <c r="O239" s="151">
        <v>5.0000000000000001E-3</v>
      </c>
      <c r="P239" s="151">
        <v>5.0000000000000001E-3</v>
      </c>
      <c r="Q239" s="151">
        <v>5.0000000000000001E-3</v>
      </c>
      <c r="R239" s="151">
        <v>5.0000000000000001E-3</v>
      </c>
      <c r="S239" s="151">
        <v>5.0000000000000001E-3</v>
      </c>
      <c r="T239" s="151">
        <v>5.0000000000000001E-3</v>
      </c>
      <c r="U239" s="151">
        <v>5.0000000000000001E-3</v>
      </c>
      <c r="V239" s="151">
        <v>5.0000000000000001E-3</v>
      </c>
      <c r="W239" s="151">
        <v>5.0000000000000001E-3</v>
      </c>
      <c r="X239" s="151">
        <v>5.0000000000000001E-3</v>
      </c>
      <c r="Y239" s="151">
        <v>5.0000000000000001E-3</v>
      </c>
      <c r="Z239" s="151">
        <v>5.0000000000000001E-3</v>
      </c>
      <c r="AA239" s="151">
        <v>5.0000000000000001E-3</v>
      </c>
      <c r="AB239" s="151">
        <v>5.0000000000000001E-3</v>
      </c>
      <c r="AC239" s="151">
        <v>5.0000000000000001E-3</v>
      </c>
      <c r="AD239" s="151">
        <v>5.0000000000000001E-3</v>
      </c>
      <c r="AE239" s="151">
        <v>5.0000000000000001E-3</v>
      </c>
      <c r="AF239" s="151">
        <v>5.0000000000000001E-3</v>
      </c>
      <c r="AG239" s="151">
        <v>5.0000000000000001E-3</v>
      </c>
      <c r="AH239" s="151">
        <v>5.0000000000000001E-3</v>
      </c>
      <c r="AI239" s="151">
        <v>5.0000000000000001E-3</v>
      </c>
      <c r="AJ239" s="151">
        <v>5.0000000000000001E-3</v>
      </c>
      <c r="AK239" s="151">
        <v>5.0000000000000001E-3</v>
      </c>
    </row>
    <row r="240" spans="1:37" x14ac:dyDescent="0.3">
      <c r="A240" s="860"/>
      <c r="B240" s="141" t="s">
        <v>1199</v>
      </c>
      <c r="C240" s="124" t="s">
        <v>0</v>
      </c>
      <c r="D240" s="1033"/>
      <c r="E240" s="903"/>
      <c r="F240" s="1213">
        <v>7.4999999999999997E-3</v>
      </c>
      <c r="G240" s="1213"/>
      <c r="H240" s="1214">
        <f>0.75%</f>
        <v>7.4999999999999997E-3</v>
      </c>
      <c r="I240" s="1214">
        <f t="shared" ref="I240:AK240" si="9">0.75%</f>
        <v>7.4999999999999997E-3</v>
      </c>
      <c r="J240" s="1214">
        <f t="shared" si="9"/>
        <v>7.4999999999999997E-3</v>
      </c>
      <c r="K240" s="1214">
        <f t="shared" si="9"/>
        <v>7.4999999999999997E-3</v>
      </c>
      <c r="L240" s="1214">
        <f t="shared" si="9"/>
        <v>7.4999999999999997E-3</v>
      </c>
      <c r="M240" s="1214">
        <f t="shared" si="9"/>
        <v>7.4999999999999997E-3</v>
      </c>
      <c r="N240" s="1214">
        <f t="shared" si="9"/>
        <v>7.4999999999999997E-3</v>
      </c>
      <c r="O240" s="1214">
        <f t="shared" si="9"/>
        <v>7.4999999999999997E-3</v>
      </c>
      <c r="P240" s="1214">
        <f t="shared" si="9"/>
        <v>7.4999999999999997E-3</v>
      </c>
      <c r="Q240" s="1214">
        <f t="shared" si="9"/>
        <v>7.4999999999999997E-3</v>
      </c>
      <c r="R240" s="1214">
        <f t="shared" si="9"/>
        <v>7.4999999999999997E-3</v>
      </c>
      <c r="S240" s="1214">
        <f t="shared" si="9"/>
        <v>7.4999999999999997E-3</v>
      </c>
      <c r="T240" s="1214">
        <f t="shared" si="9"/>
        <v>7.4999999999999997E-3</v>
      </c>
      <c r="U240" s="1214">
        <f t="shared" si="9"/>
        <v>7.4999999999999997E-3</v>
      </c>
      <c r="V240" s="1214">
        <f t="shared" si="9"/>
        <v>7.4999999999999997E-3</v>
      </c>
      <c r="W240" s="1214">
        <f t="shared" si="9"/>
        <v>7.4999999999999997E-3</v>
      </c>
      <c r="X240" s="1214">
        <f t="shared" si="9"/>
        <v>7.4999999999999997E-3</v>
      </c>
      <c r="Y240" s="1214">
        <f t="shared" si="9"/>
        <v>7.4999999999999997E-3</v>
      </c>
      <c r="Z240" s="1214">
        <f t="shared" si="9"/>
        <v>7.4999999999999997E-3</v>
      </c>
      <c r="AA240" s="1214">
        <f t="shared" si="9"/>
        <v>7.4999999999999997E-3</v>
      </c>
      <c r="AB240" s="1214">
        <f t="shared" si="9"/>
        <v>7.4999999999999997E-3</v>
      </c>
      <c r="AC240" s="1214">
        <f t="shared" si="9"/>
        <v>7.4999999999999997E-3</v>
      </c>
      <c r="AD240" s="1214">
        <f t="shared" si="9"/>
        <v>7.4999999999999997E-3</v>
      </c>
      <c r="AE240" s="1214">
        <f t="shared" si="9"/>
        <v>7.4999999999999997E-3</v>
      </c>
      <c r="AF240" s="1214">
        <f t="shared" si="9"/>
        <v>7.4999999999999997E-3</v>
      </c>
      <c r="AG240" s="1214">
        <f t="shared" si="9"/>
        <v>7.4999999999999997E-3</v>
      </c>
      <c r="AH240" s="1214">
        <f t="shared" si="9"/>
        <v>7.4999999999999997E-3</v>
      </c>
      <c r="AI240" s="1214">
        <f t="shared" si="9"/>
        <v>7.4999999999999997E-3</v>
      </c>
      <c r="AJ240" s="1214">
        <f t="shared" si="9"/>
        <v>7.4999999999999997E-3</v>
      </c>
      <c r="AK240" s="1214">
        <f t="shared" si="9"/>
        <v>7.4999999999999997E-3</v>
      </c>
    </row>
    <row r="241" spans="1:37" x14ac:dyDescent="0.3">
      <c r="A241" s="860"/>
      <c r="B241" s="141" t="s">
        <v>1045</v>
      </c>
      <c r="C241" s="152" t="s">
        <v>0</v>
      </c>
      <c r="D241" s="1033"/>
      <c r="E241" s="903">
        <f>SUM(E266:I266)</f>
        <v>0.51654773870880566</v>
      </c>
      <c r="F241" s="903">
        <f>SUM(J266:K266)</f>
        <v>0.48345226129119434</v>
      </c>
      <c r="G241" s="903"/>
      <c r="H241" s="671">
        <f>100%-SUM(E241:F241)</f>
        <v>0</v>
      </c>
      <c r="I241" s="671">
        <f>H241</f>
        <v>0</v>
      </c>
      <c r="J241" s="671">
        <f t="shared" ref="J241:AK241" si="10">I241</f>
        <v>0</v>
      </c>
      <c r="K241" s="671">
        <f t="shared" si="10"/>
        <v>0</v>
      </c>
      <c r="L241" s="671">
        <f t="shared" si="10"/>
        <v>0</v>
      </c>
      <c r="M241" s="671">
        <f t="shared" si="10"/>
        <v>0</v>
      </c>
      <c r="N241" s="671">
        <f t="shared" si="10"/>
        <v>0</v>
      </c>
      <c r="O241" s="671">
        <f t="shared" si="10"/>
        <v>0</v>
      </c>
      <c r="P241" s="671">
        <f t="shared" si="10"/>
        <v>0</v>
      </c>
      <c r="Q241" s="671">
        <f t="shared" si="10"/>
        <v>0</v>
      </c>
      <c r="R241" s="671">
        <f t="shared" si="10"/>
        <v>0</v>
      </c>
      <c r="S241" s="671">
        <f t="shared" si="10"/>
        <v>0</v>
      </c>
      <c r="T241" s="671">
        <f t="shared" si="10"/>
        <v>0</v>
      </c>
      <c r="U241" s="671">
        <f t="shared" si="10"/>
        <v>0</v>
      </c>
      <c r="V241" s="671">
        <f t="shared" si="10"/>
        <v>0</v>
      </c>
      <c r="W241" s="671">
        <f t="shared" si="10"/>
        <v>0</v>
      </c>
      <c r="X241" s="671">
        <f t="shared" si="10"/>
        <v>0</v>
      </c>
      <c r="Y241" s="671">
        <f t="shared" si="10"/>
        <v>0</v>
      </c>
      <c r="Z241" s="671">
        <f t="shared" si="10"/>
        <v>0</v>
      </c>
      <c r="AA241" s="671">
        <f t="shared" si="10"/>
        <v>0</v>
      </c>
      <c r="AB241" s="671">
        <f t="shared" si="10"/>
        <v>0</v>
      </c>
      <c r="AC241" s="671">
        <f t="shared" si="10"/>
        <v>0</v>
      </c>
      <c r="AD241" s="671">
        <f t="shared" si="10"/>
        <v>0</v>
      </c>
      <c r="AE241" s="671">
        <f t="shared" si="10"/>
        <v>0</v>
      </c>
      <c r="AF241" s="671">
        <f t="shared" si="10"/>
        <v>0</v>
      </c>
      <c r="AG241" s="671">
        <f t="shared" si="10"/>
        <v>0</v>
      </c>
      <c r="AH241" s="671">
        <f t="shared" si="10"/>
        <v>0</v>
      </c>
      <c r="AI241" s="671">
        <f t="shared" si="10"/>
        <v>0</v>
      </c>
      <c r="AJ241" s="671">
        <f t="shared" si="10"/>
        <v>0</v>
      </c>
      <c r="AK241" s="671">
        <f t="shared" si="10"/>
        <v>0</v>
      </c>
    </row>
    <row r="242" spans="1:37" x14ac:dyDescent="0.3">
      <c r="A242" s="860"/>
      <c r="B242" s="141" t="s">
        <v>1044</v>
      </c>
      <c r="C242" s="152" t="s">
        <v>0</v>
      </c>
      <c r="D242" s="1033"/>
      <c r="E242" s="903">
        <f t="shared" ref="E242:E243" si="11">SUM(E267:I267)</f>
        <v>0.3</v>
      </c>
      <c r="F242" s="903">
        <f t="shared" ref="F242:F243" si="12">SUM(J267:K267)</f>
        <v>0.7</v>
      </c>
      <c r="G242" s="903"/>
      <c r="H242" s="671">
        <f>100%-SUM(E242:F242)</f>
        <v>0</v>
      </c>
      <c r="I242" s="671">
        <f>H242</f>
        <v>0</v>
      </c>
      <c r="J242" s="671">
        <f t="shared" ref="J242:AK243" si="13">I242</f>
        <v>0</v>
      </c>
      <c r="K242" s="671">
        <f t="shared" si="13"/>
        <v>0</v>
      </c>
      <c r="L242" s="671">
        <f t="shared" si="13"/>
        <v>0</v>
      </c>
      <c r="M242" s="671">
        <f t="shared" si="13"/>
        <v>0</v>
      </c>
      <c r="N242" s="671">
        <f t="shared" si="13"/>
        <v>0</v>
      </c>
      <c r="O242" s="671">
        <f t="shared" si="13"/>
        <v>0</v>
      </c>
      <c r="P242" s="671">
        <f t="shared" si="13"/>
        <v>0</v>
      </c>
      <c r="Q242" s="671">
        <f t="shared" si="13"/>
        <v>0</v>
      </c>
      <c r="R242" s="671">
        <f t="shared" si="13"/>
        <v>0</v>
      </c>
      <c r="S242" s="671">
        <f t="shared" si="13"/>
        <v>0</v>
      </c>
      <c r="T242" s="671">
        <f t="shared" si="13"/>
        <v>0</v>
      </c>
      <c r="U242" s="671">
        <f t="shared" si="13"/>
        <v>0</v>
      </c>
      <c r="V242" s="671">
        <f t="shared" si="13"/>
        <v>0</v>
      </c>
      <c r="W242" s="671">
        <f t="shared" si="13"/>
        <v>0</v>
      </c>
      <c r="X242" s="671">
        <f t="shared" si="13"/>
        <v>0</v>
      </c>
      <c r="Y242" s="671">
        <f t="shared" si="13"/>
        <v>0</v>
      </c>
      <c r="Z242" s="671">
        <f t="shared" si="13"/>
        <v>0</v>
      </c>
      <c r="AA242" s="671">
        <f t="shared" si="13"/>
        <v>0</v>
      </c>
      <c r="AB242" s="671">
        <f t="shared" si="13"/>
        <v>0</v>
      </c>
      <c r="AC242" s="671">
        <f t="shared" si="13"/>
        <v>0</v>
      </c>
      <c r="AD242" s="671">
        <f t="shared" si="13"/>
        <v>0</v>
      </c>
      <c r="AE242" s="671">
        <f t="shared" si="13"/>
        <v>0</v>
      </c>
      <c r="AF242" s="671">
        <f t="shared" si="13"/>
        <v>0</v>
      </c>
      <c r="AG242" s="671">
        <f t="shared" si="13"/>
        <v>0</v>
      </c>
      <c r="AH242" s="671">
        <f t="shared" si="13"/>
        <v>0</v>
      </c>
      <c r="AI242" s="671">
        <f t="shared" si="13"/>
        <v>0</v>
      </c>
      <c r="AJ242" s="671">
        <f t="shared" si="13"/>
        <v>0</v>
      </c>
      <c r="AK242" s="671">
        <f t="shared" si="13"/>
        <v>0</v>
      </c>
    </row>
    <row r="243" spans="1:37" x14ac:dyDescent="0.3">
      <c r="A243" s="860"/>
      <c r="B243" s="141" t="s">
        <v>201</v>
      </c>
      <c r="C243" s="152" t="s">
        <v>0</v>
      </c>
      <c r="D243" s="1033"/>
      <c r="E243" s="903">
        <f t="shared" si="11"/>
        <v>0.1</v>
      </c>
      <c r="F243" s="903">
        <f t="shared" si="12"/>
        <v>0.9</v>
      </c>
      <c r="G243" s="903"/>
      <c r="H243" s="671">
        <f>100%-SUM(E243:F243)</f>
        <v>0</v>
      </c>
      <c r="I243" s="671">
        <f>H243</f>
        <v>0</v>
      </c>
      <c r="J243" s="671">
        <f t="shared" si="13"/>
        <v>0</v>
      </c>
      <c r="K243" s="671">
        <f t="shared" si="13"/>
        <v>0</v>
      </c>
      <c r="L243" s="671">
        <f t="shared" si="13"/>
        <v>0</v>
      </c>
      <c r="M243" s="671">
        <f t="shared" si="13"/>
        <v>0</v>
      </c>
      <c r="N243" s="671">
        <f t="shared" si="13"/>
        <v>0</v>
      </c>
      <c r="O243" s="671">
        <f t="shared" si="13"/>
        <v>0</v>
      </c>
      <c r="P243" s="671">
        <f t="shared" si="13"/>
        <v>0</v>
      </c>
      <c r="Q243" s="671">
        <f t="shared" si="13"/>
        <v>0</v>
      </c>
      <c r="R243" s="671">
        <f t="shared" si="13"/>
        <v>0</v>
      </c>
      <c r="S243" s="671">
        <f t="shared" si="13"/>
        <v>0</v>
      </c>
      <c r="T243" s="671">
        <f t="shared" si="13"/>
        <v>0</v>
      </c>
      <c r="U243" s="671">
        <f t="shared" si="13"/>
        <v>0</v>
      </c>
      <c r="V243" s="671">
        <f t="shared" si="13"/>
        <v>0</v>
      </c>
      <c r="W243" s="671">
        <f t="shared" si="13"/>
        <v>0</v>
      </c>
      <c r="X243" s="671">
        <f t="shared" si="13"/>
        <v>0</v>
      </c>
      <c r="Y243" s="671">
        <f t="shared" si="13"/>
        <v>0</v>
      </c>
      <c r="Z243" s="671">
        <f t="shared" si="13"/>
        <v>0</v>
      </c>
      <c r="AA243" s="671">
        <f t="shared" si="13"/>
        <v>0</v>
      </c>
      <c r="AB243" s="671">
        <f t="shared" si="13"/>
        <v>0</v>
      </c>
      <c r="AC243" s="671">
        <f t="shared" si="13"/>
        <v>0</v>
      </c>
      <c r="AD243" s="671">
        <f t="shared" si="13"/>
        <v>0</v>
      </c>
      <c r="AE243" s="671">
        <f t="shared" si="13"/>
        <v>0</v>
      </c>
      <c r="AF243" s="671">
        <f t="shared" si="13"/>
        <v>0</v>
      </c>
      <c r="AG243" s="671">
        <f t="shared" si="13"/>
        <v>0</v>
      </c>
      <c r="AH243" s="671">
        <f t="shared" si="13"/>
        <v>0</v>
      </c>
      <c r="AI243" s="671">
        <f t="shared" si="13"/>
        <v>0</v>
      </c>
      <c r="AJ243" s="671">
        <f t="shared" si="13"/>
        <v>0</v>
      </c>
      <c r="AK243" s="671">
        <f t="shared" si="13"/>
        <v>0</v>
      </c>
    </row>
    <row r="244" spans="1:37" x14ac:dyDescent="0.3">
      <c r="A244" s="853" t="s">
        <v>9</v>
      </c>
      <c r="B244" s="141"/>
      <c r="E244" s="388"/>
      <c r="F244" s="388"/>
      <c r="G244" s="388"/>
    </row>
    <row r="245" spans="1:37" x14ac:dyDescent="0.3">
      <c r="A245" s="76"/>
      <c r="B245" s="141" t="s">
        <v>8</v>
      </c>
      <c r="C245" s="13" t="s">
        <v>0</v>
      </c>
      <c r="D245" s="99"/>
      <c r="E245" s="903">
        <v>0.7</v>
      </c>
      <c r="F245" s="903">
        <f t="shared" ref="F245:AK245" si="14">E245</f>
        <v>0.7</v>
      </c>
      <c r="G245" s="903"/>
      <c r="H245" s="158">
        <f>F245</f>
        <v>0.7</v>
      </c>
      <c r="I245" s="158">
        <f t="shared" si="14"/>
        <v>0.7</v>
      </c>
      <c r="J245" s="158">
        <f t="shared" si="14"/>
        <v>0.7</v>
      </c>
      <c r="K245" s="158">
        <f t="shared" si="14"/>
        <v>0.7</v>
      </c>
      <c r="L245" s="158">
        <f t="shared" si="14"/>
        <v>0.7</v>
      </c>
      <c r="M245" s="158">
        <f t="shared" si="14"/>
        <v>0.7</v>
      </c>
      <c r="N245" s="158">
        <f t="shared" si="14"/>
        <v>0.7</v>
      </c>
      <c r="O245" s="158">
        <f t="shared" si="14"/>
        <v>0.7</v>
      </c>
      <c r="P245" s="158">
        <f t="shared" si="14"/>
        <v>0.7</v>
      </c>
      <c r="Q245" s="158">
        <f t="shared" si="14"/>
        <v>0.7</v>
      </c>
      <c r="R245" s="158">
        <f t="shared" si="14"/>
        <v>0.7</v>
      </c>
      <c r="S245" s="158">
        <f t="shared" si="14"/>
        <v>0.7</v>
      </c>
      <c r="T245" s="158">
        <f t="shared" si="14"/>
        <v>0.7</v>
      </c>
      <c r="U245" s="158">
        <f t="shared" si="14"/>
        <v>0.7</v>
      </c>
      <c r="V245" s="158">
        <f t="shared" si="14"/>
        <v>0.7</v>
      </c>
      <c r="W245" s="158">
        <f t="shared" si="14"/>
        <v>0.7</v>
      </c>
      <c r="X245" s="158">
        <f t="shared" si="14"/>
        <v>0.7</v>
      </c>
      <c r="Y245" s="158">
        <f t="shared" si="14"/>
        <v>0.7</v>
      </c>
      <c r="Z245" s="158">
        <f t="shared" si="14"/>
        <v>0.7</v>
      </c>
      <c r="AA245" s="158">
        <f t="shared" si="14"/>
        <v>0.7</v>
      </c>
      <c r="AB245" s="158">
        <f t="shared" si="14"/>
        <v>0.7</v>
      </c>
      <c r="AC245" s="158">
        <f t="shared" si="14"/>
        <v>0.7</v>
      </c>
      <c r="AD245" s="158">
        <f t="shared" si="14"/>
        <v>0.7</v>
      </c>
      <c r="AE245" s="158">
        <f t="shared" si="14"/>
        <v>0.7</v>
      </c>
      <c r="AF245" s="158">
        <f t="shared" si="14"/>
        <v>0.7</v>
      </c>
      <c r="AG245" s="158">
        <f t="shared" si="14"/>
        <v>0.7</v>
      </c>
      <c r="AH245" s="158">
        <f t="shared" si="14"/>
        <v>0.7</v>
      </c>
      <c r="AI245" s="158">
        <f t="shared" si="14"/>
        <v>0.7</v>
      </c>
      <c r="AJ245" s="158">
        <f t="shared" si="14"/>
        <v>0.7</v>
      </c>
      <c r="AK245" s="158">
        <f t="shared" si="14"/>
        <v>0.7</v>
      </c>
    </row>
    <row r="246" spans="1:37" x14ac:dyDescent="0.3">
      <c r="A246" s="76"/>
      <c r="B246" s="141" t="s">
        <v>7</v>
      </c>
      <c r="C246" s="13" t="s">
        <v>0</v>
      </c>
      <c r="D246" s="99"/>
      <c r="E246" s="140">
        <v>0</v>
      </c>
      <c r="F246" s="163">
        <f t="shared" ref="F246:AK246" si="15">E246</f>
        <v>0</v>
      </c>
      <c r="G246" s="163"/>
      <c r="H246" s="140">
        <f>F246</f>
        <v>0</v>
      </c>
      <c r="I246" s="140">
        <f t="shared" si="15"/>
        <v>0</v>
      </c>
      <c r="J246" s="140">
        <f t="shared" si="15"/>
        <v>0</v>
      </c>
      <c r="K246" s="140">
        <f t="shared" si="15"/>
        <v>0</v>
      </c>
      <c r="L246" s="140">
        <f t="shared" si="15"/>
        <v>0</v>
      </c>
      <c r="M246" s="140">
        <f t="shared" si="15"/>
        <v>0</v>
      </c>
      <c r="N246" s="140">
        <f t="shared" si="15"/>
        <v>0</v>
      </c>
      <c r="O246" s="140">
        <f t="shared" si="15"/>
        <v>0</v>
      </c>
      <c r="P246" s="140">
        <f t="shared" si="15"/>
        <v>0</v>
      </c>
      <c r="Q246" s="140">
        <f t="shared" si="15"/>
        <v>0</v>
      </c>
      <c r="R246" s="140">
        <f t="shared" si="15"/>
        <v>0</v>
      </c>
      <c r="S246" s="140">
        <f t="shared" si="15"/>
        <v>0</v>
      </c>
      <c r="T246" s="140">
        <f t="shared" si="15"/>
        <v>0</v>
      </c>
      <c r="U246" s="140">
        <f t="shared" si="15"/>
        <v>0</v>
      </c>
      <c r="V246" s="140">
        <f t="shared" si="15"/>
        <v>0</v>
      </c>
      <c r="W246" s="140">
        <f t="shared" si="15"/>
        <v>0</v>
      </c>
      <c r="X246" s="140">
        <f t="shared" si="15"/>
        <v>0</v>
      </c>
      <c r="Y246" s="140">
        <f t="shared" si="15"/>
        <v>0</v>
      </c>
      <c r="Z246" s="140">
        <f t="shared" si="15"/>
        <v>0</v>
      </c>
      <c r="AA246" s="140">
        <f t="shared" si="15"/>
        <v>0</v>
      </c>
      <c r="AB246" s="140">
        <f t="shared" si="15"/>
        <v>0</v>
      </c>
      <c r="AC246" s="140">
        <f t="shared" si="15"/>
        <v>0</v>
      </c>
      <c r="AD246" s="140">
        <f t="shared" si="15"/>
        <v>0</v>
      </c>
      <c r="AE246" s="140">
        <f t="shared" si="15"/>
        <v>0</v>
      </c>
      <c r="AF246" s="140">
        <f t="shared" si="15"/>
        <v>0</v>
      </c>
      <c r="AG246" s="140">
        <f t="shared" si="15"/>
        <v>0</v>
      </c>
      <c r="AH246" s="140">
        <f t="shared" si="15"/>
        <v>0</v>
      </c>
      <c r="AI246" s="140">
        <f t="shared" si="15"/>
        <v>0</v>
      </c>
      <c r="AJ246" s="140">
        <f t="shared" si="15"/>
        <v>0</v>
      </c>
      <c r="AK246" s="140">
        <f t="shared" si="15"/>
        <v>0</v>
      </c>
    </row>
    <row r="247" spans="1:37" x14ac:dyDescent="0.3">
      <c r="A247" s="76"/>
      <c r="B247" s="141" t="s">
        <v>6</v>
      </c>
      <c r="C247" s="13" t="s">
        <v>0</v>
      </c>
      <c r="D247" s="99"/>
      <c r="E247" s="140">
        <v>0</v>
      </c>
      <c r="F247" s="163">
        <f t="shared" ref="F247:AK247" si="16">E247</f>
        <v>0</v>
      </c>
      <c r="G247" s="163"/>
      <c r="H247" s="140">
        <f>F247</f>
        <v>0</v>
      </c>
      <c r="I247" s="140">
        <f t="shared" si="16"/>
        <v>0</v>
      </c>
      <c r="J247" s="140">
        <f t="shared" si="16"/>
        <v>0</v>
      </c>
      <c r="K247" s="140">
        <f t="shared" si="16"/>
        <v>0</v>
      </c>
      <c r="L247" s="140">
        <f t="shared" si="16"/>
        <v>0</v>
      </c>
      <c r="M247" s="140">
        <f t="shared" si="16"/>
        <v>0</v>
      </c>
      <c r="N247" s="140">
        <f t="shared" si="16"/>
        <v>0</v>
      </c>
      <c r="O247" s="140">
        <f t="shared" si="16"/>
        <v>0</v>
      </c>
      <c r="P247" s="140">
        <f t="shared" si="16"/>
        <v>0</v>
      </c>
      <c r="Q247" s="140">
        <f t="shared" si="16"/>
        <v>0</v>
      </c>
      <c r="R247" s="140">
        <f t="shared" si="16"/>
        <v>0</v>
      </c>
      <c r="S247" s="140">
        <f t="shared" si="16"/>
        <v>0</v>
      </c>
      <c r="T247" s="140">
        <f t="shared" si="16"/>
        <v>0</v>
      </c>
      <c r="U247" s="140">
        <f t="shared" si="16"/>
        <v>0</v>
      </c>
      <c r="V247" s="140">
        <f t="shared" si="16"/>
        <v>0</v>
      </c>
      <c r="W247" s="140">
        <f t="shared" si="16"/>
        <v>0</v>
      </c>
      <c r="X247" s="140">
        <f t="shared" si="16"/>
        <v>0</v>
      </c>
      <c r="Y247" s="140">
        <f t="shared" si="16"/>
        <v>0</v>
      </c>
      <c r="Z247" s="140">
        <f t="shared" si="16"/>
        <v>0</v>
      </c>
      <c r="AA247" s="140">
        <f t="shared" si="16"/>
        <v>0</v>
      </c>
      <c r="AB247" s="140">
        <f t="shared" si="16"/>
        <v>0</v>
      </c>
      <c r="AC247" s="140">
        <f t="shared" si="16"/>
        <v>0</v>
      </c>
      <c r="AD247" s="140">
        <f t="shared" si="16"/>
        <v>0</v>
      </c>
      <c r="AE247" s="140">
        <f t="shared" si="16"/>
        <v>0</v>
      </c>
      <c r="AF247" s="140">
        <f t="shared" si="16"/>
        <v>0</v>
      </c>
      <c r="AG247" s="140">
        <f t="shared" si="16"/>
        <v>0</v>
      </c>
      <c r="AH247" s="140">
        <f t="shared" si="16"/>
        <v>0</v>
      </c>
      <c r="AI247" s="140">
        <f t="shared" si="16"/>
        <v>0</v>
      </c>
      <c r="AJ247" s="140">
        <f t="shared" si="16"/>
        <v>0</v>
      </c>
      <c r="AK247" s="140">
        <f t="shared" si="16"/>
        <v>0</v>
      </c>
    </row>
    <row r="248" spans="1:37" x14ac:dyDescent="0.3">
      <c r="A248" s="76"/>
      <c r="B248" s="141" t="s">
        <v>5</v>
      </c>
      <c r="C248" s="13" t="s">
        <v>0</v>
      </c>
      <c r="D248" s="99"/>
      <c r="E248" s="159">
        <f>1-SUM(E245:E247)</f>
        <v>0.30000000000000004</v>
      </c>
      <c r="F248" s="401">
        <f>1-SUM(F245:F247)</f>
        <v>0.30000000000000004</v>
      </c>
      <c r="G248" s="401"/>
      <c r="H248" s="159">
        <f>1-SUM(H245:H247)</f>
        <v>0.30000000000000004</v>
      </c>
      <c r="I248" s="159">
        <f t="shared" ref="I248:AK248" si="17">1-SUM(I245:I247)</f>
        <v>0.30000000000000004</v>
      </c>
      <c r="J248" s="159">
        <f t="shared" si="17"/>
        <v>0.30000000000000004</v>
      </c>
      <c r="K248" s="159">
        <f t="shared" si="17"/>
        <v>0.30000000000000004</v>
      </c>
      <c r="L248" s="159">
        <f t="shared" si="17"/>
        <v>0.30000000000000004</v>
      </c>
      <c r="M248" s="159">
        <f t="shared" si="17"/>
        <v>0.30000000000000004</v>
      </c>
      <c r="N248" s="159">
        <f t="shared" si="17"/>
        <v>0.30000000000000004</v>
      </c>
      <c r="O248" s="159">
        <f t="shared" si="17"/>
        <v>0.30000000000000004</v>
      </c>
      <c r="P248" s="159">
        <f t="shared" si="17"/>
        <v>0.30000000000000004</v>
      </c>
      <c r="Q248" s="159">
        <f t="shared" si="17"/>
        <v>0.30000000000000004</v>
      </c>
      <c r="R248" s="159">
        <f t="shared" si="17"/>
        <v>0.30000000000000004</v>
      </c>
      <c r="S248" s="159">
        <f t="shared" si="17"/>
        <v>0.30000000000000004</v>
      </c>
      <c r="T248" s="159">
        <f t="shared" si="17"/>
        <v>0.30000000000000004</v>
      </c>
      <c r="U248" s="159">
        <f t="shared" si="17"/>
        <v>0.30000000000000004</v>
      </c>
      <c r="V248" s="159">
        <f t="shared" si="17"/>
        <v>0.30000000000000004</v>
      </c>
      <c r="W248" s="159">
        <f t="shared" si="17"/>
        <v>0.30000000000000004</v>
      </c>
      <c r="X248" s="159">
        <f t="shared" si="17"/>
        <v>0.30000000000000004</v>
      </c>
      <c r="Y248" s="159">
        <f t="shared" si="17"/>
        <v>0.30000000000000004</v>
      </c>
      <c r="Z248" s="159">
        <f t="shared" si="17"/>
        <v>0.30000000000000004</v>
      </c>
      <c r="AA248" s="159">
        <f t="shared" si="17"/>
        <v>0.30000000000000004</v>
      </c>
      <c r="AB248" s="159">
        <f t="shared" si="17"/>
        <v>0.30000000000000004</v>
      </c>
      <c r="AC248" s="159">
        <f t="shared" si="17"/>
        <v>0.30000000000000004</v>
      </c>
      <c r="AD248" s="159">
        <f t="shared" si="17"/>
        <v>0.30000000000000004</v>
      </c>
      <c r="AE248" s="159">
        <f t="shared" si="17"/>
        <v>0.30000000000000004</v>
      </c>
      <c r="AF248" s="159">
        <f t="shared" si="17"/>
        <v>0.30000000000000004</v>
      </c>
      <c r="AG248" s="159">
        <f t="shared" si="17"/>
        <v>0.30000000000000004</v>
      </c>
      <c r="AH248" s="159">
        <f t="shared" si="17"/>
        <v>0.30000000000000004</v>
      </c>
      <c r="AI248" s="159">
        <f t="shared" si="17"/>
        <v>0.30000000000000004</v>
      </c>
      <c r="AJ248" s="159">
        <f t="shared" si="17"/>
        <v>0.30000000000000004</v>
      </c>
      <c r="AK248" s="159">
        <f t="shared" si="17"/>
        <v>0.30000000000000004</v>
      </c>
    </row>
    <row r="249" spans="1:37" x14ac:dyDescent="0.3">
      <c r="A249" s="853" t="s">
        <v>4</v>
      </c>
      <c r="B249" s="141"/>
    </row>
    <row r="250" spans="1:37" x14ac:dyDescent="0.3">
      <c r="A250" s="853"/>
      <c r="B250" s="154" t="s">
        <v>20</v>
      </c>
      <c r="C250" s="99" t="s">
        <v>0</v>
      </c>
      <c r="D250" s="115">
        <v>15</v>
      </c>
      <c r="E250" s="143">
        <f>IF(Working!E$5&lt;=15,Working!E$4*ROUND(70%/$D$250,4),Working!E$4*ROUND(($D$251-70%)/(25-$D$250),4))</f>
        <v>0</v>
      </c>
      <c r="F250" s="402">
        <f>IF(Working!F$5&lt;=15,Working!F$4*ROUND(70%/$D$250,4),Working!F$4*ROUND(($D$251-70%)/(25-$D$250),4))</f>
        <v>4.6699999999999998E-2</v>
      </c>
      <c r="G250" s="402"/>
      <c r="H250" s="143">
        <f>IF(Working!G$5&lt;=15,Working!G$4*ROUND(70%/$D$250,4),Working!G$4*ROUND(($D$251-70%)/(25-$D$250),4))</f>
        <v>4.6699999999999998E-2</v>
      </c>
      <c r="I250" s="143">
        <f>IF(Working!H$5&lt;=15,Working!H$4*ROUND(70%/$D$250,4),Working!H$4*ROUND(($D$251-70%)/(25-$D$250),4))</f>
        <v>4.6699999999999998E-2</v>
      </c>
      <c r="J250" s="143">
        <f>IF(Working!I$5&lt;=15,Working!I$4*ROUND(70%/$D$250,4),Working!I$4*ROUND(($D$251-70%)/(25-$D$250),4))</f>
        <v>4.6699999999999998E-2</v>
      </c>
      <c r="K250" s="143">
        <f>IF(Working!J$5&lt;=15,Working!J$4*ROUND(70%/$D$250,4),Working!J$4*ROUND(($D$251-70%)/(25-$D$250),4))</f>
        <v>4.6699999999999998E-2</v>
      </c>
      <c r="L250" s="143">
        <f>IF(Working!K$5&lt;=15,Working!K$4*ROUND(70%/$D$250,4),Working!K$4*ROUND(($D$251-70%)/(25-$D$250),4))</f>
        <v>4.6699999999999998E-2</v>
      </c>
      <c r="M250" s="143">
        <f>IF(Working!L$5&lt;=15,Working!L$4*ROUND(70%/$D$250,4),Working!L$4*ROUND(($D$251-70%)/(25-$D$250),4))</f>
        <v>4.6699999999999998E-2</v>
      </c>
      <c r="N250" s="143">
        <f>IF(Working!M$5&lt;=15,Working!M$4*ROUND(70%/$D$250,4),Working!M$4*ROUND(($D$251-70%)/(25-$D$250),4))</f>
        <v>4.6699999999999998E-2</v>
      </c>
      <c r="O250" s="143">
        <f>IF(Working!N$5&lt;=15,Working!N$4*ROUND(70%/$D$250,4),Working!N$4*ROUND(($D$251-70%)/(25-$D$250),4))</f>
        <v>4.6699999999999998E-2</v>
      </c>
      <c r="P250" s="143">
        <f>IF(Working!O$5&lt;=15,Working!O$4*ROUND(70%/$D$250,4),Working!O$4*ROUND(($D$251-70%)/(25-$D$250),4))</f>
        <v>4.6699999999999998E-2</v>
      </c>
      <c r="Q250" s="143">
        <f>IF(Working!P$5&lt;=15,Working!P$4*ROUND(70%/$D$250,4),Working!P$4*ROUND(($D$251-70%)/(25-$D$250),4))</f>
        <v>4.6699999999999998E-2</v>
      </c>
      <c r="R250" s="143">
        <f>IF(Working!Q$5&lt;=15,Working!Q$4*ROUND(70%/$D$250,4),Working!Q$4*ROUND(($D$251-70%)/(25-$D$250),4))</f>
        <v>4.6699999999999998E-2</v>
      </c>
      <c r="S250" s="143">
        <f>IF(Working!R$5&lt;=15,Working!R$4*ROUND(70%/$D$250,4),Working!R$4*ROUND(($D$251-70%)/(25-$D$250),4))</f>
        <v>4.6699999999999998E-2</v>
      </c>
      <c r="T250" s="143">
        <f>IF(Working!S$5&lt;=15,Working!S$4*ROUND(70%/$D$250,4),Working!S$4*ROUND(($D$251-70%)/(25-$D$250),4))</f>
        <v>4.6699999999999998E-2</v>
      </c>
      <c r="U250" s="143">
        <f>IF(Working!T$5&lt;=15,Working!T$4*ROUND(70%/$D$250,4),Working!T$4*ROUND(($D$251-70%)/(25-$D$250),4))</f>
        <v>4.6699999999999998E-2</v>
      </c>
      <c r="V250" s="143">
        <f>IF(Working!U$5&lt;=15,Working!U$4*ROUND(70%/$D$250,4),Working!U$4*ROUND(($D$251-70%)/(25-$D$250),4))</f>
        <v>0.02</v>
      </c>
      <c r="W250" s="143">
        <f>IF(Working!V$5&lt;=15,Working!V$4*ROUND(70%/$D$250,4),Working!V$4*ROUND(($D$251-70%)/(25-$D$250),4))</f>
        <v>0.02</v>
      </c>
      <c r="X250" s="143">
        <f>IF(Working!W$5&lt;=15,Working!W$4*ROUND(70%/$D$250,4),Working!W$4*ROUND(($D$251-70%)/(25-$D$250),4))</f>
        <v>0.02</v>
      </c>
      <c r="Y250" s="143">
        <f>IF(Working!X$5&lt;=15,Working!X$4*ROUND(70%/$D$250,4),Working!X$4*ROUND(($D$251-70%)/(25-$D$250),4))</f>
        <v>0.02</v>
      </c>
      <c r="Z250" s="143">
        <f>IF(Working!Y$5&lt;=15,Working!Y$4*ROUND(70%/$D$250,4),Working!Y$4*ROUND(($D$251-70%)/(25-$D$250),4))</f>
        <v>0.02</v>
      </c>
      <c r="AA250" s="143">
        <f>IF(Working!Z$5&lt;=15,Working!Z$4*ROUND(70%/$D$250,4),Working!Z$4*ROUND(($D$251-70%)/(25-$D$250),4))</f>
        <v>0.02</v>
      </c>
      <c r="AB250" s="143">
        <f>IF(Working!AA$5&lt;=15,Working!AA$4*ROUND(70%/$D$250,4),Working!AA$4*ROUND(($D$251-70%)/(25-$D$250),4))</f>
        <v>0.02</v>
      </c>
      <c r="AC250" s="143">
        <f>IF(Working!AB$5&lt;=15,Working!AB$4*ROUND(70%/$D$250,4),Working!AB$4*ROUND(($D$251-70%)/(25-$D$250),4))</f>
        <v>0.02</v>
      </c>
      <c r="AD250" s="143">
        <f>IF(Working!AC$5&lt;=15,Working!AC$4*ROUND(70%/$D$250,4),Working!AC$4*ROUND(($D$251-70%)/(25-$D$250),4))</f>
        <v>0.02</v>
      </c>
      <c r="AE250" s="143">
        <f>IF(Working!AD$5&lt;=15,Working!AD$4*ROUND(70%/$D$250,4),Working!AD$4*ROUND(($D$251-70%)/(25-$D$250),4))</f>
        <v>0.02</v>
      </c>
      <c r="AF250" s="143">
        <f>IF(Working!AE$5&lt;=15,Working!AE$4*ROUND(70%/$D$250,4),Working!AE$4*ROUND(($D$251-70%)/(25-$D$250),4))</f>
        <v>0.02</v>
      </c>
      <c r="AG250" s="143">
        <f>IF(Working!AF$5&lt;=15,Working!AF$4*ROUND(70%/$D$250,4),Working!AF$4*ROUND(($D$251-70%)/(25-$D$250),4))</f>
        <v>0</v>
      </c>
      <c r="AH250" s="143">
        <f>IF(Working!AG$5&lt;=15,Working!AG$4*ROUND(70%/$D$250,4),Working!AG$4*ROUND(($D$251-70%)/(25-$D$250),4))</f>
        <v>0</v>
      </c>
      <c r="AI250" s="143">
        <f>IF(Working!AH$5&lt;=15,Working!AH$4*ROUND(70%/$D$250,4),Working!AH$4*ROUND(($D$251-70%)/(25-$D$250),4))</f>
        <v>0</v>
      </c>
      <c r="AJ250" s="143">
        <f>IF(Working!AI$5&lt;=15,Working!AI$4*ROUND(70%/$D$250,4),Working!AI$4*ROUND(($D$251-70%)/(25-$D$250),4))</f>
        <v>0</v>
      </c>
      <c r="AK250" s="143">
        <f>IF(Working!AJ$5&lt;=15,Working!AJ$4*ROUND(70%/$D$250,4),Working!AJ$4*ROUND(($D$251-70%)/(25-$D$250),4))</f>
        <v>0</v>
      </c>
    </row>
    <row r="251" spans="1:37" x14ac:dyDescent="0.3">
      <c r="A251" s="853"/>
      <c r="B251" s="341" t="s">
        <v>19</v>
      </c>
      <c r="C251" s="99" t="s">
        <v>0</v>
      </c>
      <c r="D251" s="321">
        <v>0.9</v>
      </c>
    </row>
    <row r="252" spans="1:37" x14ac:dyDescent="0.3">
      <c r="A252" s="853" t="s">
        <v>231</v>
      </c>
      <c r="B252" s="350"/>
      <c r="H252" s="161"/>
      <c r="I252" s="161"/>
      <c r="J252" s="161"/>
      <c r="K252" s="161"/>
      <c r="L252" s="161"/>
      <c r="M252" s="161"/>
      <c r="N252" s="161"/>
      <c r="O252" s="161"/>
      <c r="P252" s="161"/>
      <c r="Q252" s="161"/>
      <c r="R252" s="161"/>
      <c r="S252" s="161"/>
      <c r="T252" s="161"/>
      <c r="U252" s="161"/>
      <c r="V252" s="161"/>
      <c r="W252" s="161"/>
      <c r="X252" s="161"/>
      <c r="Y252" s="161"/>
      <c r="Z252" s="161"/>
      <c r="AA252" s="161"/>
      <c r="AB252" s="161"/>
      <c r="AC252" s="161"/>
      <c r="AD252" s="161"/>
      <c r="AE252" s="161"/>
      <c r="AF252" s="161"/>
      <c r="AG252" s="161"/>
      <c r="AH252" s="161"/>
      <c r="AI252" s="161"/>
      <c r="AJ252" s="161"/>
      <c r="AK252" s="161"/>
    </row>
    <row r="253" spans="1:37" x14ac:dyDescent="0.3">
      <c r="A253" s="853"/>
      <c r="B253" s="341" t="s">
        <v>20</v>
      </c>
      <c r="C253" s="99" t="s">
        <v>0</v>
      </c>
      <c r="D253" s="115">
        <v>13</v>
      </c>
      <c r="E253" s="143">
        <f>IF(Working!E$5&lt;=$D$253,Working!E$4*ROUND(100%/$D$253,4),0)</f>
        <v>0</v>
      </c>
      <c r="F253" s="402">
        <f>IF(Working!F$5&lt;=$D$253,Working!F$4*ROUND(100%/$D$253,4),0)</f>
        <v>7.6899999999999996E-2</v>
      </c>
      <c r="G253" s="402"/>
      <c r="H253" s="143">
        <f>IF(Working!G$5&lt;=$D$253,Working!G$4*ROUND(100%/$D$253,4),0)</f>
        <v>7.6899999999999996E-2</v>
      </c>
      <c r="I253" s="143">
        <f>IF(Working!H$5&lt;=$D$253,Working!H$4*ROUND(100%/$D$253,4),0)</f>
        <v>7.6899999999999996E-2</v>
      </c>
      <c r="J253" s="143">
        <f>IF(Working!I$5&lt;=$D$253,Working!I$4*ROUND(100%/$D$253,4),0)</f>
        <v>7.6899999999999996E-2</v>
      </c>
      <c r="K253" s="143">
        <f>IF(Working!J$5&lt;=$D$253,Working!J$4*ROUND(100%/$D$253,4),0)</f>
        <v>7.6899999999999996E-2</v>
      </c>
      <c r="L253" s="143">
        <f>IF(Working!K$5&lt;=$D$253,Working!K$4*ROUND(100%/$D$253,4),0)</f>
        <v>7.6899999999999996E-2</v>
      </c>
      <c r="M253" s="143">
        <f>IF(Working!L$5&lt;=$D$253,Working!L$4*ROUND(100%/$D$253,4),0)</f>
        <v>7.6899999999999996E-2</v>
      </c>
      <c r="N253" s="143">
        <f>IF(Working!M$5&lt;=$D$253,Working!M$4*ROUND(100%/$D$253,4),0)</f>
        <v>7.6899999999999996E-2</v>
      </c>
      <c r="O253" s="143">
        <f>IF(Working!N$5&lt;=$D$253,Working!N$4*ROUND(100%/$D$253,4),0)</f>
        <v>7.6899999999999996E-2</v>
      </c>
      <c r="P253" s="143">
        <f>IF(Working!O$5&lt;=$D$253,Working!O$4*ROUND(100%/$D$253,4),0)</f>
        <v>7.6899999999999996E-2</v>
      </c>
      <c r="Q253" s="143">
        <f>IF(Working!P$5&lt;=$D$253,Working!P$4*ROUND(100%/$D$253,4),0)</f>
        <v>7.6899999999999996E-2</v>
      </c>
      <c r="R253" s="143">
        <f>IF(Working!Q$5&lt;=$D$253,Working!Q$4*ROUND(100%/$D$253,4),0)</f>
        <v>7.6899999999999996E-2</v>
      </c>
      <c r="S253" s="143">
        <f>IF(Working!R$5&lt;=$D$253,Working!R$4*ROUND(100%/$D$253,4),0)</f>
        <v>7.6899999999999996E-2</v>
      </c>
      <c r="T253" s="143">
        <f>IF(Working!S$5&lt;=$D$253,Working!S$4*ROUND(100%/$D$253,4),0)</f>
        <v>0</v>
      </c>
      <c r="U253" s="143">
        <f>IF(Working!T$5&lt;=$D$253,Working!T$4*ROUND(100%/$D$253,4),0)</f>
        <v>0</v>
      </c>
      <c r="V253" s="143">
        <f>IF(Working!U$5&lt;=$D$253,Working!U$4*ROUND(100%/$D$253,4),0)</f>
        <v>0</v>
      </c>
      <c r="W253" s="143">
        <f>IF(Working!V$5&lt;=$D$253,Working!V$4*ROUND(100%/$D$253,4),0)</f>
        <v>0</v>
      </c>
      <c r="X253" s="143">
        <f>IF(Working!W$5&lt;=$D$253,Working!W$4*ROUND(100%/$D$253,4),0)</f>
        <v>0</v>
      </c>
      <c r="Y253" s="143">
        <f>IF(Working!X$5&lt;=$D$253,Working!X$4*ROUND(100%/$D$253,4),0)</f>
        <v>0</v>
      </c>
      <c r="Z253" s="143">
        <f>IF(Working!Y$5&lt;=$D$253,Working!Y$4*ROUND(100%/$D$253,4),0)</f>
        <v>0</v>
      </c>
      <c r="AA253" s="143">
        <f>IF(Working!Z$5&lt;=$D$253,Working!Z$4*ROUND(100%/$D$253,4),0)</f>
        <v>0</v>
      </c>
      <c r="AB253" s="143">
        <f>IF(Working!AA$5&lt;=$D$253,Working!AA$4*ROUND(100%/$D$253,4),0)</f>
        <v>0</v>
      </c>
      <c r="AC253" s="143">
        <f>IF(Working!AB$5&lt;=$D$253,Working!AB$4*ROUND(100%/$D$253,4),0)</f>
        <v>0</v>
      </c>
      <c r="AD253" s="143">
        <f>IF(Working!AC$5&lt;=$D$253,Working!AC$4*ROUND(100%/$D$253,4),0)</f>
        <v>0</v>
      </c>
      <c r="AE253" s="143">
        <f>IF(Working!AD$5&lt;=$D$253,Working!AD$4*ROUND(100%/$D$253,4),0)</f>
        <v>0</v>
      </c>
      <c r="AF253" s="143">
        <f>IF(Working!AE$5&lt;=$D$253,Working!AE$4*ROUND(100%/$D$253,4),0)</f>
        <v>0</v>
      </c>
      <c r="AG253" s="143">
        <f>IF(Working!AF$5&lt;=$D$253,Working!AF$4*ROUND(100%/$D$253,4),0)</f>
        <v>0</v>
      </c>
      <c r="AH253" s="143">
        <f>IF(Working!AG$5&lt;=$D$253,Working!AG$4*ROUND(100%/$D$253,4),0)</f>
        <v>0</v>
      </c>
      <c r="AI253" s="143">
        <f>IF(Working!AH$5&lt;=$D$253,Working!AH$4*ROUND(100%/$D$253,4),0)</f>
        <v>0</v>
      </c>
      <c r="AJ253" s="143">
        <f>IF(Working!AI$5&lt;=$D$253,Working!AI$4*ROUND(100%/$D$253,4),0)</f>
        <v>0</v>
      </c>
      <c r="AK253" s="143">
        <f>IF(Working!AJ$5&lt;=$D$253,Working!AJ$4*ROUND(100%/$D$253,4),0)</f>
        <v>0</v>
      </c>
    </row>
    <row r="254" spans="1:37" x14ac:dyDescent="0.3">
      <c r="A254" s="853"/>
      <c r="B254" s="341" t="s">
        <v>19</v>
      </c>
      <c r="C254" s="99" t="s">
        <v>0</v>
      </c>
      <c r="D254" s="160">
        <v>1</v>
      </c>
    </row>
    <row r="255" spans="1:37" x14ac:dyDescent="0.3">
      <c r="A255" s="853" t="s">
        <v>21</v>
      </c>
      <c r="B255" s="350"/>
    </row>
    <row r="256" spans="1:37" x14ac:dyDescent="0.3">
      <c r="A256" s="853"/>
      <c r="B256" s="154" t="s">
        <v>20</v>
      </c>
      <c r="C256" s="99" t="s">
        <v>0</v>
      </c>
      <c r="E256" s="162">
        <v>0</v>
      </c>
      <c r="F256" s="403">
        <v>0</v>
      </c>
      <c r="G256" s="403"/>
      <c r="H256" s="162">
        <v>0.5</v>
      </c>
      <c r="I256" s="162"/>
      <c r="J256" s="162">
        <v>0.9</v>
      </c>
      <c r="K256" s="162">
        <v>0.8</v>
      </c>
      <c r="L256" s="162">
        <v>0.8</v>
      </c>
      <c r="M256" s="162">
        <v>0.8</v>
      </c>
      <c r="N256" s="162">
        <v>0.8</v>
      </c>
      <c r="O256" s="162">
        <v>0.8</v>
      </c>
      <c r="P256" s="162">
        <v>0.8</v>
      </c>
      <c r="Q256" s="162">
        <v>0.8</v>
      </c>
      <c r="R256" s="162">
        <v>0.8</v>
      </c>
      <c r="S256" s="162">
        <v>0.8</v>
      </c>
      <c r="T256" s="162">
        <v>0.8</v>
      </c>
      <c r="U256" s="162">
        <v>0.8</v>
      </c>
      <c r="V256" s="162">
        <v>0.8</v>
      </c>
      <c r="W256" s="162">
        <v>0.8</v>
      </c>
      <c r="X256" s="162">
        <v>0.8</v>
      </c>
      <c r="Y256" s="162">
        <v>0.8</v>
      </c>
      <c r="Z256" s="162">
        <v>0.8</v>
      </c>
      <c r="AA256" s="162">
        <v>0.8</v>
      </c>
      <c r="AB256" s="162">
        <v>0.8</v>
      </c>
      <c r="AC256" s="162">
        <v>0.8</v>
      </c>
      <c r="AD256" s="162">
        <v>0.8</v>
      </c>
      <c r="AE256" s="162">
        <v>0.8</v>
      </c>
      <c r="AF256" s="162">
        <v>0.8</v>
      </c>
    </row>
    <row r="257" spans="1:37" x14ac:dyDescent="0.3">
      <c r="A257" s="853"/>
      <c r="B257" s="154" t="s">
        <v>19</v>
      </c>
      <c r="C257" s="99" t="s">
        <v>0</v>
      </c>
      <c r="D257" s="160">
        <v>0.9</v>
      </c>
    </row>
    <row r="258" spans="1:37" x14ac:dyDescent="0.3">
      <c r="A258" s="853"/>
      <c r="B258" s="154" t="s">
        <v>18</v>
      </c>
      <c r="C258" s="99"/>
      <c r="D258" s="160" t="b">
        <v>0</v>
      </c>
    </row>
    <row r="259" spans="1:37" x14ac:dyDescent="0.3">
      <c r="A259" s="853" t="s">
        <v>17</v>
      </c>
      <c r="B259" s="141"/>
    </row>
    <row r="260" spans="1:37" x14ac:dyDescent="0.3">
      <c r="A260" s="853"/>
      <c r="B260" s="154"/>
      <c r="C260" s="99" t="s">
        <v>202</v>
      </c>
      <c r="D260" s="99"/>
      <c r="E260" s="163"/>
      <c r="F260" s="115"/>
      <c r="G260" s="115"/>
      <c r="H260" s="114"/>
      <c r="I260" s="114"/>
      <c r="J260" s="163"/>
      <c r="K260" s="114"/>
      <c r="L260" s="114"/>
      <c r="M260" s="114"/>
      <c r="N260" s="114"/>
      <c r="O260" s="114"/>
      <c r="P260" s="114"/>
      <c r="Q260" s="114"/>
      <c r="R260" s="114"/>
      <c r="S260" s="114"/>
      <c r="T260" s="114"/>
      <c r="U260" s="105">
        <f>9.03*E6/100*0</f>
        <v>0</v>
      </c>
      <c r="V260" s="114"/>
      <c r="W260" s="114"/>
      <c r="X260" s="114"/>
      <c r="Y260" s="114"/>
      <c r="Z260" s="114"/>
      <c r="AA260" s="114"/>
      <c r="AB260" s="114"/>
      <c r="AC260" s="114"/>
      <c r="AD260" s="114"/>
      <c r="AE260" s="114"/>
      <c r="AF260" s="114"/>
      <c r="AG260" s="114"/>
      <c r="AH260" s="114"/>
      <c r="AI260" s="114"/>
      <c r="AJ260" s="114"/>
      <c r="AK260" s="114"/>
    </row>
    <row r="261" spans="1:37" s="14" customFormat="1" x14ac:dyDescent="0.3">
      <c r="A261" s="76"/>
      <c r="B261" s="141"/>
      <c r="C261" s="76"/>
      <c r="D261" s="76"/>
      <c r="F261" s="76"/>
      <c r="G261" s="76"/>
    </row>
    <row r="262" spans="1:37" s="14" customFormat="1" x14ac:dyDescent="0.3">
      <c r="A262" s="76"/>
      <c r="B262" s="141"/>
      <c r="C262" s="76"/>
      <c r="D262" s="76"/>
      <c r="F262" s="76"/>
      <c r="G262" s="76"/>
    </row>
    <row r="263" spans="1:37" s="14" customFormat="1" x14ac:dyDescent="0.3">
      <c r="A263" s="1095" t="s">
        <v>1188</v>
      </c>
      <c r="B263" s="672"/>
      <c r="C263" s="673"/>
      <c r="D263" s="1030"/>
      <c r="E263" s="674"/>
      <c r="F263" s="675"/>
      <c r="G263" s="675"/>
      <c r="H263" s="674"/>
      <c r="I263" s="674"/>
      <c r="J263" s="674"/>
      <c r="K263" s="674"/>
      <c r="L263" s="674"/>
      <c r="M263" s="674"/>
      <c r="N263" s="674"/>
      <c r="O263" s="674"/>
      <c r="P263" s="674"/>
      <c r="Q263" s="674"/>
      <c r="R263" s="674"/>
      <c r="S263" s="674"/>
      <c r="T263" s="674"/>
      <c r="U263" s="674"/>
      <c r="V263" s="674"/>
      <c r="W263" s="674"/>
      <c r="X263" s="674"/>
      <c r="Y263" s="674"/>
      <c r="Z263" s="674"/>
      <c r="AA263" s="674"/>
      <c r="AB263" s="674"/>
      <c r="AC263" s="674"/>
      <c r="AD263" s="674"/>
      <c r="AE263" s="674"/>
      <c r="AF263" s="674"/>
      <c r="AG263" s="674"/>
      <c r="AH263" s="674"/>
      <c r="AI263" s="674"/>
      <c r="AJ263" s="674"/>
      <c r="AK263" s="674"/>
    </row>
    <row r="264" spans="1:37" s="14" customFormat="1" x14ac:dyDescent="0.3">
      <c r="A264" s="854"/>
      <c r="B264" s="354" t="s">
        <v>15</v>
      </c>
      <c r="C264" s="155" t="s">
        <v>14</v>
      </c>
      <c r="D264" s="155" t="s">
        <v>13</v>
      </c>
      <c r="E264" s="1265" t="s">
        <v>976</v>
      </c>
      <c r="F264" s="1265"/>
      <c r="G264" s="1265"/>
      <c r="H264" s="1265"/>
      <c r="I264" s="1265"/>
      <c r="J264" s="1265" t="s">
        <v>977</v>
      </c>
      <c r="K264" s="1265"/>
      <c r="L264" s="1265"/>
      <c r="M264" s="1265"/>
      <c r="N264" s="1265" t="s">
        <v>978</v>
      </c>
      <c r="O264" s="1265"/>
      <c r="P264" s="1265"/>
      <c r="Q264" s="1265"/>
      <c r="R264" s="1265"/>
      <c r="S264" s="787"/>
      <c r="T264" s="787"/>
      <c r="U264" s="787"/>
      <c r="V264" s="787"/>
      <c r="W264" s="787"/>
      <c r="X264" s="787"/>
      <c r="Y264" s="787"/>
      <c r="Z264" s="787"/>
      <c r="AA264" s="787"/>
      <c r="AB264" s="787"/>
      <c r="AC264" s="787"/>
      <c r="AD264" s="787"/>
      <c r="AE264" s="787"/>
      <c r="AF264" s="787"/>
      <c r="AG264" s="787"/>
      <c r="AH264" s="787"/>
      <c r="AI264" s="787"/>
      <c r="AJ264" s="787"/>
      <c r="AK264" s="787"/>
    </row>
    <row r="265" spans="1:37" s="14" customFormat="1" x14ac:dyDescent="0.3">
      <c r="A265" s="854"/>
      <c r="B265" s="354"/>
      <c r="C265" s="155"/>
      <c r="D265" s="1031">
        <f>E176-1</f>
        <v>45747</v>
      </c>
      <c r="E265" s="316">
        <f>EOMONTH(D265,3)</f>
        <v>45838</v>
      </c>
      <c r="F265" s="316">
        <f t="shared" ref="F265:AK265" si="18">EOMONTH(E265,3)</f>
        <v>45930</v>
      </c>
      <c r="G265" s="316"/>
      <c r="H265" s="316">
        <f>EOMONTH(F265,3)</f>
        <v>46022</v>
      </c>
      <c r="I265" s="316">
        <f t="shared" si="18"/>
        <v>46112</v>
      </c>
      <c r="J265" s="316">
        <f t="shared" si="18"/>
        <v>46203</v>
      </c>
      <c r="K265" s="316">
        <f t="shared" si="18"/>
        <v>46295</v>
      </c>
      <c r="L265" s="316">
        <f t="shared" si="18"/>
        <v>46387</v>
      </c>
      <c r="M265" s="316">
        <f t="shared" si="18"/>
        <v>46477</v>
      </c>
      <c r="N265" s="316">
        <f t="shared" si="18"/>
        <v>46568</v>
      </c>
      <c r="O265" s="316">
        <f t="shared" si="18"/>
        <v>46660</v>
      </c>
      <c r="P265" s="316">
        <f t="shared" si="18"/>
        <v>46752</v>
      </c>
      <c r="Q265" s="316">
        <f t="shared" si="18"/>
        <v>46843</v>
      </c>
      <c r="R265" s="316">
        <f t="shared" si="18"/>
        <v>46934</v>
      </c>
      <c r="S265" s="316">
        <f t="shared" si="18"/>
        <v>47026</v>
      </c>
      <c r="T265" s="316">
        <f t="shared" si="18"/>
        <v>47118</v>
      </c>
      <c r="U265" s="316">
        <f t="shared" si="18"/>
        <v>47208</v>
      </c>
      <c r="V265" s="316">
        <f t="shared" si="18"/>
        <v>47299</v>
      </c>
      <c r="W265" s="316">
        <f t="shared" si="18"/>
        <v>47391</v>
      </c>
      <c r="X265" s="316">
        <f t="shared" si="18"/>
        <v>47483</v>
      </c>
      <c r="Y265" s="316">
        <f t="shared" si="18"/>
        <v>47573</v>
      </c>
      <c r="Z265" s="316">
        <f t="shared" si="18"/>
        <v>47664</v>
      </c>
      <c r="AA265" s="316">
        <f t="shared" si="18"/>
        <v>47756</v>
      </c>
      <c r="AB265" s="316">
        <f t="shared" si="18"/>
        <v>47848</v>
      </c>
      <c r="AC265" s="316">
        <f t="shared" si="18"/>
        <v>47938</v>
      </c>
      <c r="AD265" s="316">
        <f t="shared" si="18"/>
        <v>48029</v>
      </c>
      <c r="AE265" s="316">
        <f t="shared" si="18"/>
        <v>48121</v>
      </c>
      <c r="AF265" s="316">
        <f t="shared" si="18"/>
        <v>48213</v>
      </c>
      <c r="AG265" s="316">
        <f t="shared" si="18"/>
        <v>48304</v>
      </c>
      <c r="AH265" s="316">
        <f t="shared" si="18"/>
        <v>48395</v>
      </c>
      <c r="AI265" s="316">
        <f t="shared" si="18"/>
        <v>48487</v>
      </c>
      <c r="AJ265" s="316">
        <f t="shared" si="18"/>
        <v>48579</v>
      </c>
      <c r="AK265" s="316">
        <f t="shared" si="18"/>
        <v>48669</v>
      </c>
    </row>
    <row r="266" spans="1:37" s="14" customFormat="1" x14ac:dyDescent="0.3">
      <c r="A266" s="76"/>
      <c r="B266" s="141" t="s">
        <v>1045</v>
      </c>
      <c r="C266" s="152" t="s">
        <v>0</v>
      </c>
      <c r="D266" s="76">
        <f>D282+D294</f>
        <v>90452.180311937103</v>
      </c>
      <c r="E266" s="1118">
        <f t="shared" ref="E266:K266" si="19">E323</f>
        <v>0</v>
      </c>
      <c r="F266" s="1118">
        <f t="shared" si="19"/>
        <v>3.5125079822871969E-2</v>
      </c>
      <c r="G266" s="1118"/>
      <c r="H266" s="1118">
        <f t="shared" si="19"/>
        <v>0.1047844756042447</v>
      </c>
      <c r="I266" s="1118">
        <f t="shared" si="19"/>
        <v>0.37663818328168902</v>
      </c>
      <c r="J266" s="1118">
        <f t="shared" si="19"/>
        <v>0.40257066147634329</v>
      </c>
      <c r="K266" s="1118">
        <f t="shared" si="19"/>
        <v>8.0881599814851046E-2</v>
      </c>
    </row>
    <row r="267" spans="1:37" s="14" customFormat="1" x14ac:dyDescent="0.3">
      <c r="A267" s="76"/>
      <c r="B267" s="141" t="s">
        <v>1044</v>
      </c>
      <c r="C267" s="152" t="s">
        <v>0</v>
      </c>
      <c r="D267" s="76">
        <f>BOQ_G!F14+BOQ_I!F5</f>
        <v>3238.6843200000003</v>
      </c>
      <c r="E267" s="1119"/>
      <c r="F267" s="1120"/>
      <c r="G267" s="1120"/>
      <c r="H267" s="1121">
        <v>0.15</v>
      </c>
      <c r="I267" s="1121">
        <v>0.15</v>
      </c>
      <c r="J267" s="1122">
        <v>0.35</v>
      </c>
      <c r="K267" s="1122">
        <v>0.35</v>
      </c>
      <c r="L267" s="789"/>
      <c r="M267" s="788"/>
    </row>
    <row r="268" spans="1:37" s="14" customFormat="1" x14ac:dyDescent="0.3">
      <c r="A268" s="76"/>
      <c r="B268" s="141" t="s">
        <v>201</v>
      </c>
      <c r="C268" s="152" t="s">
        <v>0</v>
      </c>
      <c r="D268" s="76">
        <f>BOQ_G!F19+BOQ_T!F40+BOQ_I!F6+BOQ_G!F21</f>
        <v>9985.1585683390458</v>
      </c>
      <c r="E268" s="1119"/>
      <c r="F268" s="1123"/>
      <c r="G268" s="1123"/>
      <c r="H268" s="1122">
        <v>0.05</v>
      </c>
      <c r="I268" s="1122">
        <v>0.05</v>
      </c>
      <c r="J268" s="1122">
        <v>0.45</v>
      </c>
      <c r="K268" s="1122">
        <v>0.45</v>
      </c>
      <c r="L268" s="788"/>
      <c r="M268" s="788"/>
    </row>
    <row r="269" spans="1:37" s="14" customFormat="1" ht="12.5" thickBot="1" x14ac:dyDescent="0.35">
      <c r="A269" s="76"/>
      <c r="B269" s="1145" t="s">
        <v>1000</v>
      </c>
      <c r="C269" s="1034"/>
      <c r="D269" s="1034">
        <f>SUM(D266:D268)</f>
        <v>103676.02320027615</v>
      </c>
      <c r="E269" s="788"/>
      <c r="F269" s="931"/>
      <c r="G269" s="931"/>
      <c r="H269" s="930"/>
      <c r="I269" s="930"/>
      <c r="J269" s="930"/>
      <c r="K269" s="930"/>
    </row>
    <row r="270" spans="1:37" s="14" customFormat="1" ht="12.5" thickTop="1" x14ac:dyDescent="0.3">
      <c r="A270" s="76"/>
      <c r="B270" s="351"/>
      <c r="C270" s="853"/>
      <c r="D270" s="853"/>
      <c r="E270" s="788"/>
      <c r="F270" s="931"/>
      <c r="G270" s="931"/>
      <c r="H270" s="930"/>
      <c r="I270" s="930"/>
      <c r="J270" s="930"/>
      <c r="K270" s="930"/>
    </row>
    <row r="271" spans="1:37" s="14" customFormat="1" x14ac:dyDescent="0.3">
      <c r="A271" s="76"/>
      <c r="B271" s="351" t="s">
        <v>1042</v>
      </c>
      <c r="C271" s="76"/>
      <c r="D271" s="76"/>
      <c r="F271" s="931"/>
      <c r="G271" s="931"/>
      <c r="H271" s="930"/>
      <c r="I271" s="930"/>
      <c r="J271" s="930"/>
      <c r="K271" s="930"/>
    </row>
    <row r="272" spans="1:37" s="14" customFormat="1" ht="12.5" thickBot="1" x14ac:dyDescent="0.35">
      <c r="A272" s="76"/>
      <c r="B272" s="1147" t="s">
        <v>853</v>
      </c>
      <c r="C272" s="950">
        <v>0.85</v>
      </c>
      <c r="D272" s="1144"/>
      <c r="F272" s="931"/>
      <c r="G272" s="931"/>
      <c r="H272" s="930"/>
      <c r="I272" s="930"/>
      <c r="J272" s="930"/>
      <c r="K272" s="930"/>
    </row>
    <row r="273" spans="1:11" s="14" customFormat="1" ht="12.5" thickBot="1" x14ac:dyDescent="0.35">
      <c r="A273" s="76"/>
      <c r="B273" s="1147" t="s">
        <v>1034</v>
      </c>
      <c r="C273" s="152" t="s">
        <v>0</v>
      </c>
      <c r="D273" s="404">
        <f>BOQ_G!U2</f>
        <v>32919.210311999996</v>
      </c>
      <c r="E273" s="1119"/>
      <c r="F273" s="1124"/>
      <c r="G273" s="1125"/>
      <c r="H273" s="1125"/>
      <c r="I273" s="1126">
        <v>0.5</v>
      </c>
      <c r="J273" s="1126">
        <v>0.5</v>
      </c>
      <c r="K273" s="1125"/>
    </row>
    <row r="274" spans="1:11" s="14" customFormat="1" ht="12.5" thickBot="1" x14ac:dyDescent="0.35">
      <c r="A274" s="76"/>
      <c r="B274" s="1147" t="s">
        <v>1035</v>
      </c>
      <c r="C274" s="152" t="s">
        <v>0</v>
      </c>
      <c r="D274" s="404">
        <f>BOQ_G!U5</f>
        <v>14000.042555000002</v>
      </c>
      <c r="E274" s="1119"/>
      <c r="F274" s="1127">
        <v>0.1</v>
      </c>
      <c r="G274" s="1128"/>
      <c r="H274" s="1128">
        <v>0.2</v>
      </c>
      <c r="I274" s="1128">
        <v>0.2</v>
      </c>
      <c r="J274" s="1128">
        <v>0.3</v>
      </c>
      <c r="K274" s="1128">
        <v>0.2</v>
      </c>
    </row>
    <row r="275" spans="1:11" s="14" customFormat="1" ht="12.5" thickBot="1" x14ac:dyDescent="0.35">
      <c r="A275" s="76"/>
      <c r="B275" s="1147" t="s">
        <v>1036</v>
      </c>
      <c r="C275" s="152" t="s">
        <v>0</v>
      </c>
      <c r="D275" s="404">
        <f>BOQ_G!U7</f>
        <v>8885.6789905479982</v>
      </c>
      <c r="E275" s="1119"/>
      <c r="F275" s="1127">
        <v>0.2</v>
      </c>
      <c r="G275" s="1128"/>
      <c r="H275" s="1128">
        <v>0.6</v>
      </c>
      <c r="I275" s="1128">
        <v>0.2</v>
      </c>
      <c r="J275" s="1129"/>
      <c r="K275" s="1129"/>
    </row>
    <row r="276" spans="1:11" s="14" customFormat="1" ht="12.5" thickBot="1" x14ac:dyDescent="0.35">
      <c r="A276" s="76"/>
      <c r="B276" s="1147" t="s">
        <v>1037</v>
      </c>
      <c r="C276" s="152" t="s">
        <v>0</v>
      </c>
      <c r="D276" s="404">
        <f>BOQ_G!U9+BOQ_G!U10</f>
        <v>3652.2620539499999</v>
      </c>
      <c r="E276" s="1119"/>
      <c r="F276" s="1130"/>
      <c r="G276" s="1129"/>
      <c r="H276" s="1128">
        <v>0.3</v>
      </c>
      <c r="I276" s="1128">
        <v>0.3</v>
      </c>
      <c r="J276" s="1128">
        <v>0.3</v>
      </c>
      <c r="K276" s="1128">
        <v>0.1</v>
      </c>
    </row>
    <row r="277" spans="1:11" s="14" customFormat="1" ht="12.5" thickBot="1" x14ac:dyDescent="0.35">
      <c r="A277" s="76"/>
      <c r="B277" s="1147" t="s">
        <v>1038</v>
      </c>
      <c r="C277" s="152" t="s">
        <v>0</v>
      </c>
      <c r="D277" s="404">
        <f>BOQ_G!U6+BOQ_G!U11+BOQ_G!U3</f>
        <v>10692.09505678081</v>
      </c>
      <c r="E277" s="1119"/>
      <c r="F277" s="1130"/>
      <c r="G277" s="1129"/>
      <c r="H277" s="1129"/>
      <c r="I277" s="1128">
        <v>0.5</v>
      </c>
      <c r="J277" s="1128">
        <v>0.5</v>
      </c>
      <c r="K277" s="1129"/>
    </row>
    <row r="278" spans="1:11" s="14" customFormat="1" ht="12.5" thickBot="1" x14ac:dyDescent="0.35">
      <c r="A278" s="76"/>
      <c r="B278" s="1147" t="s">
        <v>1039</v>
      </c>
      <c r="C278" s="152" t="s">
        <v>0</v>
      </c>
      <c r="D278" s="404">
        <f>BOQ_G!U12+BOQ_G!U13</f>
        <v>1253.2837852</v>
      </c>
      <c r="E278" s="1119"/>
      <c r="F278" s="1130"/>
      <c r="G278" s="1129"/>
      <c r="H278" s="1129"/>
      <c r="I278" s="1128">
        <v>0.5</v>
      </c>
      <c r="J278" s="1128">
        <v>0.5</v>
      </c>
      <c r="K278" s="1129"/>
    </row>
    <row r="279" spans="1:11" s="14" customFormat="1" ht="12.5" thickBot="1" x14ac:dyDescent="0.35">
      <c r="A279" s="76"/>
      <c r="B279" s="1147" t="s">
        <v>1040</v>
      </c>
      <c r="C279" s="152" t="s">
        <v>0</v>
      </c>
      <c r="D279" s="404">
        <f>BOQ_T!J13</f>
        <v>6539.6730499999994</v>
      </c>
      <c r="E279" s="1119"/>
      <c r="F279" s="1130"/>
      <c r="G279" s="1129"/>
      <c r="H279" s="1129"/>
      <c r="I279" s="1128">
        <v>0.5</v>
      </c>
      <c r="J279" s="1128">
        <v>0.5</v>
      </c>
      <c r="K279" s="1129"/>
    </row>
    <row r="280" spans="1:11" s="14" customFormat="1" ht="12.5" thickBot="1" x14ac:dyDescent="0.35">
      <c r="A280" s="76"/>
      <c r="B280" s="1147" t="s">
        <v>271</v>
      </c>
      <c r="C280" s="152" t="s">
        <v>0</v>
      </c>
      <c r="D280" s="404">
        <f>BOQ_T!J29</f>
        <v>961.2166824970227</v>
      </c>
      <c r="E280" s="1119"/>
      <c r="F280" s="1130"/>
      <c r="G280" s="1129"/>
      <c r="H280" s="1129"/>
      <c r="I280" s="1128">
        <v>0.5</v>
      </c>
      <c r="J280" s="1128">
        <v>0.5</v>
      </c>
      <c r="K280" s="1129"/>
    </row>
    <row r="281" spans="1:11" s="14" customFormat="1" ht="12.5" thickBot="1" x14ac:dyDescent="0.35">
      <c r="A281" s="76"/>
      <c r="B281" s="1147" t="s">
        <v>1041</v>
      </c>
      <c r="C281" s="152" t="s">
        <v>0</v>
      </c>
      <c r="D281" s="404">
        <f>BOQ_T!J34</f>
        <v>358.75737499999997</v>
      </c>
      <c r="E281" s="1119"/>
      <c r="F281" s="1130"/>
      <c r="G281" s="1129"/>
      <c r="H281" s="1129"/>
      <c r="I281" s="1128">
        <v>0.5</v>
      </c>
      <c r="J281" s="1128">
        <v>0.5</v>
      </c>
      <c r="K281" s="1129"/>
    </row>
    <row r="282" spans="1:11" s="14" customFormat="1" ht="12.5" thickBot="1" x14ac:dyDescent="0.35">
      <c r="A282" s="76"/>
      <c r="B282" s="1145" t="s">
        <v>1000</v>
      </c>
      <c r="C282" s="1034"/>
      <c r="D282" s="1034">
        <f>SUM(D273:D281)</f>
        <v>79262.219860975805</v>
      </c>
      <c r="F282" s="936"/>
      <c r="G282" s="935"/>
      <c r="H282" s="935"/>
      <c r="I282" s="934"/>
      <c r="J282" s="934"/>
      <c r="K282" s="935"/>
    </row>
    <row r="283" spans="1:11" s="14" customFormat="1" ht="12.5" thickTop="1" x14ac:dyDescent="0.3">
      <c r="A283" s="76"/>
      <c r="B283" s="141"/>
      <c r="C283" s="76"/>
      <c r="D283" s="76"/>
      <c r="F283" s="931"/>
      <c r="G283" s="931"/>
      <c r="H283" s="930"/>
      <c r="I283" s="930"/>
      <c r="J283" s="930"/>
      <c r="K283" s="930"/>
    </row>
    <row r="284" spans="1:11" s="14" customFormat="1" ht="12.5" thickBot="1" x14ac:dyDescent="0.35">
      <c r="A284" s="76"/>
      <c r="B284" s="1148" t="s">
        <v>1047</v>
      </c>
      <c r="C284" s="950">
        <v>0.15</v>
      </c>
      <c r="D284" s="76"/>
      <c r="F284" s="931"/>
      <c r="G284" s="931"/>
      <c r="H284" s="930"/>
      <c r="I284" s="930"/>
      <c r="J284" s="930"/>
      <c r="K284" s="930"/>
    </row>
    <row r="285" spans="1:11" s="14" customFormat="1" ht="12.5" thickBot="1" x14ac:dyDescent="0.35">
      <c r="A285" s="76"/>
      <c r="B285" s="1147" t="s">
        <v>1034</v>
      </c>
      <c r="C285" s="152" t="s">
        <v>0</v>
      </c>
      <c r="D285" s="76">
        <f>BOQ_G!V2</f>
        <v>4647.4179263999995</v>
      </c>
      <c r="E285" s="1119"/>
      <c r="F285" s="1123"/>
      <c r="G285" s="1123"/>
      <c r="H285" s="1124"/>
      <c r="I285" s="1126">
        <v>0.2</v>
      </c>
      <c r="J285" s="1126">
        <v>0.4</v>
      </c>
      <c r="K285" s="1126">
        <v>0.4</v>
      </c>
    </row>
    <row r="286" spans="1:11" s="14" customFormat="1" ht="12.5" thickBot="1" x14ac:dyDescent="0.35">
      <c r="A286" s="76"/>
      <c r="B286" s="1147" t="s">
        <v>1035</v>
      </c>
      <c r="C286" s="152" t="s">
        <v>0</v>
      </c>
      <c r="D286" s="76">
        <f>BOQ_G!V5</f>
        <v>1976.4765960000002</v>
      </c>
      <c r="E286" s="1119"/>
      <c r="F286" s="1123"/>
      <c r="G286" s="1123"/>
      <c r="H286" s="1130"/>
      <c r="I286" s="1128">
        <v>0.2</v>
      </c>
      <c r="J286" s="1128">
        <v>0.4</v>
      </c>
      <c r="K286" s="1128">
        <v>0.4</v>
      </c>
    </row>
    <row r="287" spans="1:11" s="14" customFormat="1" ht="12.5" thickBot="1" x14ac:dyDescent="0.35">
      <c r="A287" s="76"/>
      <c r="B287" s="1147" t="s">
        <v>1036</v>
      </c>
      <c r="C287" s="152" t="s">
        <v>0</v>
      </c>
      <c r="D287" s="76">
        <f>BOQ_G!V7</f>
        <v>1254.4487986656</v>
      </c>
      <c r="E287" s="1119"/>
      <c r="F287" s="1123"/>
      <c r="G287" s="1123"/>
      <c r="H287" s="1127">
        <v>0.2</v>
      </c>
      <c r="I287" s="1128">
        <v>0.4</v>
      </c>
      <c r="J287" s="1128">
        <v>0.4</v>
      </c>
      <c r="K287" s="1129"/>
    </row>
    <row r="288" spans="1:11" s="14" customFormat="1" ht="12.5" thickBot="1" x14ac:dyDescent="0.35">
      <c r="A288" s="76"/>
      <c r="B288" s="1147" t="s">
        <v>1037</v>
      </c>
      <c r="C288" s="152" t="s">
        <v>0</v>
      </c>
      <c r="D288" s="76">
        <f>BOQ_G!V9+BOQ_G!V10</f>
        <v>515.61346643999991</v>
      </c>
      <c r="E288" s="1119"/>
      <c r="F288" s="1123"/>
      <c r="G288" s="1123"/>
      <c r="H288" s="1130"/>
      <c r="I288" s="1128">
        <v>0.4</v>
      </c>
      <c r="J288" s="1128">
        <v>0.4</v>
      </c>
      <c r="K288" s="1128">
        <v>0.2</v>
      </c>
    </row>
    <row r="289" spans="1:11" s="14" customFormat="1" ht="12.5" thickBot="1" x14ac:dyDescent="0.35">
      <c r="A289" s="76"/>
      <c r="B289" s="1147" t="s">
        <v>1038</v>
      </c>
      <c r="C289" s="152" t="s">
        <v>0</v>
      </c>
      <c r="D289" s="76">
        <f>BOQ_G!V6+BOQ_G!V11+BOQ_G!V3</f>
        <v>1509.472243310232</v>
      </c>
      <c r="E289" s="1119"/>
      <c r="F289" s="1123"/>
      <c r="G289" s="1123"/>
      <c r="H289" s="1130"/>
      <c r="I289" s="1129"/>
      <c r="J289" s="1128">
        <v>0.5</v>
      </c>
      <c r="K289" s="1128">
        <v>0.5</v>
      </c>
    </row>
    <row r="290" spans="1:11" s="14" customFormat="1" ht="12.5" thickBot="1" x14ac:dyDescent="0.35">
      <c r="A290" s="76"/>
      <c r="B290" s="1147" t="s">
        <v>1039</v>
      </c>
      <c r="C290" s="152" t="s">
        <v>0</v>
      </c>
      <c r="D290" s="76">
        <f>BOQ_G!V12+BOQ_G!V13</f>
        <v>176.93418144</v>
      </c>
      <c r="E290" s="1119"/>
      <c r="F290" s="1123"/>
      <c r="G290" s="1123"/>
      <c r="H290" s="1130"/>
      <c r="I290" s="1129"/>
      <c r="J290" s="1128">
        <v>0.5</v>
      </c>
      <c r="K290" s="1128">
        <v>0.5</v>
      </c>
    </row>
    <row r="291" spans="1:11" s="14" customFormat="1" ht="12.5" thickBot="1" x14ac:dyDescent="0.35">
      <c r="A291" s="76"/>
      <c r="B291" s="1147" t="s">
        <v>1040</v>
      </c>
      <c r="C291" s="152" t="s">
        <v>0</v>
      </c>
      <c r="D291" s="76">
        <f>BOQ_T!K13</f>
        <v>923.24795999999992</v>
      </c>
      <c r="E291" s="1119"/>
      <c r="F291" s="1123"/>
      <c r="G291" s="1123"/>
      <c r="H291" s="1130"/>
      <c r="I291" s="1129"/>
      <c r="J291" s="1128">
        <v>0.5</v>
      </c>
      <c r="K291" s="1128">
        <v>0.5</v>
      </c>
    </row>
    <row r="292" spans="1:11" s="14" customFormat="1" ht="12.5" thickBot="1" x14ac:dyDescent="0.35">
      <c r="A292" s="76"/>
      <c r="B292" s="1147" t="s">
        <v>271</v>
      </c>
      <c r="C292" s="152" t="s">
        <v>0</v>
      </c>
      <c r="D292" s="76">
        <f>BOQ_T!K29</f>
        <v>135.70117870546201</v>
      </c>
      <c r="E292" s="1119"/>
      <c r="F292" s="1123"/>
      <c r="G292" s="1123"/>
      <c r="H292" s="1130"/>
      <c r="I292" s="1129"/>
      <c r="J292" s="1128">
        <v>0.5</v>
      </c>
      <c r="K292" s="1128">
        <v>0.5</v>
      </c>
    </row>
    <row r="293" spans="1:11" s="14" customFormat="1" ht="12.5" thickBot="1" x14ac:dyDescent="0.35">
      <c r="A293" s="76"/>
      <c r="B293" s="1147" t="s">
        <v>1041</v>
      </c>
      <c r="C293" s="152" t="s">
        <v>0</v>
      </c>
      <c r="D293" s="76">
        <f>BOQ_T!K34</f>
        <v>50.648099999999992</v>
      </c>
      <c r="E293" s="1119"/>
      <c r="F293" s="1123"/>
      <c r="G293" s="1123"/>
      <c r="H293" s="1130"/>
      <c r="I293" s="1129"/>
      <c r="J293" s="1128">
        <v>0.5</v>
      </c>
      <c r="K293" s="1128">
        <v>0.5</v>
      </c>
    </row>
    <row r="294" spans="1:11" s="14" customFormat="1" ht="12.5" thickBot="1" x14ac:dyDescent="0.35">
      <c r="A294" s="76"/>
      <c r="B294" s="1145" t="s">
        <v>1000</v>
      </c>
      <c r="C294" s="1146"/>
      <c r="D294" s="1034">
        <f>SUM(D285:D293)</f>
        <v>11189.960450961295</v>
      </c>
      <c r="F294" s="931"/>
      <c r="G294" s="931"/>
      <c r="H294" s="931"/>
      <c r="I294" s="931"/>
      <c r="J294" s="931"/>
      <c r="K294" s="931"/>
    </row>
    <row r="295" spans="1:11" s="14" customFormat="1" ht="13" thickTop="1" thickBot="1" x14ac:dyDescent="0.35">
      <c r="A295" s="76"/>
      <c r="C295" s="76"/>
      <c r="D295" s="76"/>
      <c r="F295" s="931"/>
      <c r="G295" s="931"/>
      <c r="H295" s="930"/>
      <c r="I295" s="930"/>
      <c r="J295" s="937"/>
      <c r="K295" s="933"/>
    </row>
    <row r="296" spans="1:11" s="14" customFormat="1" x14ac:dyDescent="0.3">
      <c r="A296" s="76"/>
      <c r="B296" s="351" t="s">
        <v>1042</v>
      </c>
      <c r="C296" s="76"/>
      <c r="D296" s="1143"/>
      <c r="F296" s="76"/>
      <c r="G296" s="76"/>
    </row>
    <row r="297" spans="1:11" s="14" customFormat="1" x14ac:dyDescent="0.3">
      <c r="A297" s="76"/>
      <c r="B297" s="1148" t="s">
        <v>853</v>
      </c>
      <c r="C297" s="76"/>
      <c r="F297" s="76"/>
      <c r="G297" s="76"/>
    </row>
    <row r="298" spans="1:11" s="14" customFormat="1" x14ac:dyDescent="0.3">
      <c r="A298" s="76"/>
      <c r="B298" s="1147" t="s">
        <v>1034</v>
      </c>
      <c r="C298" s="152" t="s">
        <v>1043</v>
      </c>
      <c r="D298" s="76">
        <f>SUM(E298:K298)</f>
        <v>32919.210311999996</v>
      </c>
      <c r="E298" s="138">
        <f t="shared" ref="E298:K298" si="20">$D273*E273</f>
        <v>0</v>
      </c>
      <c r="F298" s="138">
        <f t="shared" si="20"/>
        <v>0</v>
      </c>
      <c r="G298" s="138"/>
      <c r="H298" s="138">
        <f t="shared" si="20"/>
        <v>0</v>
      </c>
      <c r="I298" s="138">
        <f t="shared" si="20"/>
        <v>16459.605155999998</v>
      </c>
      <c r="J298" s="138">
        <f t="shared" si="20"/>
        <v>16459.605155999998</v>
      </c>
      <c r="K298" s="138">
        <f t="shared" si="20"/>
        <v>0</v>
      </c>
    </row>
    <row r="299" spans="1:11" s="14" customFormat="1" x14ac:dyDescent="0.3">
      <c r="A299" s="76"/>
      <c r="B299" s="1147" t="s">
        <v>1035</v>
      </c>
      <c r="C299" s="152" t="s">
        <v>1043</v>
      </c>
      <c r="D299" s="76">
        <f t="shared" ref="D299:D306" si="21">SUM(E299:K299)</f>
        <v>14000.042555000002</v>
      </c>
      <c r="E299" s="138">
        <f t="shared" ref="E299:K299" si="22">$D274*E274</f>
        <v>0</v>
      </c>
      <c r="F299" s="138">
        <f t="shared" si="22"/>
        <v>1400.0042555000002</v>
      </c>
      <c r="G299" s="138"/>
      <c r="H299" s="138">
        <f t="shared" si="22"/>
        <v>2800.0085110000005</v>
      </c>
      <c r="I299" s="138">
        <f t="shared" si="22"/>
        <v>2800.0085110000005</v>
      </c>
      <c r="J299" s="138">
        <f t="shared" si="22"/>
        <v>4200.0127665</v>
      </c>
      <c r="K299" s="138">
        <f t="shared" si="22"/>
        <v>2800.0085110000005</v>
      </c>
    </row>
    <row r="300" spans="1:11" s="14" customFormat="1" x14ac:dyDescent="0.3">
      <c r="A300" s="76"/>
      <c r="B300" s="1147" t="s">
        <v>1036</v>
      </c>
      <c r="C300" s="152" t="s">
        <v>1043</v>
      </c>
      <c r="D300" s="76">
        <f t="shared" si="21"/>
        <v>8885.6789905479982</v>
      </c>
      <c r="E300" s="138">
        <f t="shared" ref="E300:K300" si="23">$D275*E275</f>
        <v>0</v>
      </c>
      <c r="F300" s="138">
        <f t="shared" si="23"/>
        <v>1777.1357981095998</v>
      </c>
      <c r="G300" s="138"/>
      <c r="H300" s="138">
        <f t="shared" si="23"/>
        <v>5331.4073943287985</v>
      </c>
      <c r="I300" s="138">
        <f t="shared" si="23"/>
        <v>1777.1357981095998</v>
      </c>
      <c r="J300" s="138">
        <f t="shared" si="23"/>
        <v>0</v>
      </c>
      <c r="K300" s="138">
        <f t="shared" si="23"/>
        <v>0</v>
      </c>
    </row>
    <row r="301" spans="1:11" s="14" customFormat="1" x14ac:dyDescent="0.3">
      <c r="A301" s="76"/>
      <c r="B301" s="1147" t="s">
        <v>1037</v>
      </c>
      <c r="C301" s="152" t="s">
        <v>1043</v>
      </c>
      <c r="D301" s="76">
        <f t="shared" si="21"/>
        <v>3652.2620539499999</v>
      </c>
      <c r="E301" s="138">
        <f t="shared" ref="E301:K301" si="24">$D276*E276</f>
        <v>0</v>
      </c>
      <c r="F301" s="138">
        <f t="shared" si="24"/>
        <v>0</v>
      </c>
      <c r="G301" s="138"/>
      <c r="H301" s="138">
        <f t="shared" si="24"/>
        <v>1095.678616185</v>
      </c>
      <c r="I301" s="138">
        <f t="shared" si="24"/>
        <v>1095.678616185</v>
      </c>
      <c r="J301" s="138">
        <f t="shared" si="24"/>
        <v>1095.678616185</v>
      </c>
      <c r="K301" s="138">
        <f t="shared" si="24"/>
        <v>365.22620539500002</v>
      </c>
    </row>
    <row r="302" spans="1:11" s="14" customFormat="1" x14ac:dyDescent="0.3">
      <c r="A302" s="76"/>
      <c r="B302" s="1147" t="s">
        <v>1038</v>
      </c>
      <c r="C302" s="152" t="s">
        <v>1043</v>
      </c>
      <c r="D302" s="76">
        <f t="shared" si="21"/>
        <v>10692.09505678081</v>
      </c>
      <c r="E302" s="138">
        <f t="shared" ref="E302:K302" si="25">$D277*E277</f>
        <v>0</v>
      </c>
      <c r="F302" s="138">
        <f t="shared" si="25"/>
        <v>0</v>
      </c>
      <c r="G302" s="138"/>
      <c r="H302" s="138">
        <f t="shared" si="25"/>
        <v>0</v>
      </c>
      <c r="I302" s="138">
        <f t="shared" si="25"/>
        <v>5346.0475283904052</v>
      </c>
      <c r="J302" s="138">
        <f t="shared" si="25"/>
        <v>5346.0475283904052</v>
      </c>
      <c r="K302" s="138">
        <f t="shared" si="25"/>
        <v>0</v>
      </c>
    </row>
    <row r="303" spans="1:11" s="14" customFormat="1" x14ac:dyDescent="0.3">
      <c r="A303" s="76"/>
      <c r="B303" s="1147" t="s">
        <v>1039</v>
      </c>
      <c r="C303" s="152" t="s">
        <v>1043</v>
      </c>
      <c r="D303" s="76">
        <f t="shared" si="21"/>
        <v>1253.2837852</v>
      </c>
      <c r="E303" s="138">
        <f t="shared" ref="E303:K303" si="26">$D278*E278</f>
        <v>0</v>
      </c>
      <c r="F303" s="138">
        <f t="shared" si="26"/>
        <v>0</v>
      </c>
      <c r="G303" s="138"/>
      <c r="H303" s="138">
        <f t="shared" si="26"/>
        <v>0</v>
      </c>
      <c r="I303" s="138">
        <f t="shared" si="26"/>
        <v>626.64189260000001</v>
      </c>
      <c r="J303" s="138">
        <f t="shared" si="26"/>
        <v>626.64189260000001</v>
      </c>
      <c r="K303" s="138">
        <f t="shared" si="26"/>
        <v>0</v>
      </c>
    </row>
    <row r="304" spans="1:11" s="14" customFormat="1" x14ac:dyDescent="0.3">
      <c r="A304" s="76"/>
      <c r="B304" s="1147" t="s">
        <v>1040</v>
      </c>
      <c r="C304" s="152" t="s">
        <v>1043</v>
      </c>
      <c r="D304" s="76">
        <f t="shared" si="21"/>
        <v>6539.6730499999994</v>
      </c>
      <c r="E304" s="138">
        <f t="shared" ref="E304:K304" si="27">$D279*E279</f>
        <v>0</v>
      </c>
      <c r="F304" s="138">
        <f t="shared" si="27"/>
        <v>0</v>
      </c>
      <c r="G304" s="138"/>
      <c r="H304" s="138">
        <f t="shared" si="27"/>
        <v>0</v>
      </c>
      <c r="I304" s="138">
        <f t="shared" si="27"/>
        <v>3269.8365249999997</v>
      </c>
      <c r="J304" s="138">
        <f t="shared" si="27"/>
        <v>3269.8365249999997</v>
      </c>
      <c r="K304" s="138">
        <f t="shared" si="27"/>
        <v>0</v>
      </c>
    </row>
    <row r="305" spans="1:11" s="14" customFormat="1" x14ac:dyDescent="0.3">
      <c r="A305" s="76"/>
      <c r="B305" s="1147" t="s">
        <v>271</v>
      </c>
      <c r="C305" s="152" t="s">
        <v>1043</v>
      </c>
      <c r="D305" s="76">
        <f t="shared" si="21"/>
        <v>961.2166824970227</v>
      </c>
      <c r="E305" s="138">
        <f t="shared" ref="E305:K305" si="28">$D280*E280</f>
        <v>0</v>
      </c>
      <c r="F305" s="138">
        <f t="shared" si="28"/>
        <v>0</v>
      </c>
      <c r="G305" s="138"/>
      <c r="H305" s="138">
        <f t="shared" si="28"/>
        <v>0</v>
      </c>
      <c r="I305" s="138">
        <f t="shared" si="28"/>
        <v>480.60834124851135</v>
      </c>
      <c r="J305" s="138">
        <f t="shared" si="28"/>
        <v>480.60834124851135</v>
      </c>
      <c r="K305" s="138">
        <f t="shared" si="28"/>
        <v>0</v>
      </c>
    </row>
    <row r="306" spans="1:11" s="14" customFormat="1" x14ac:dyDescent="0.3">
      <c r="A306" s="76"/>
      <c r="B306" s="1147" t="s">
        <v>1041</v>
      </c>
      <c r="C306" s="152" t="s">
        <v>1043</v>
      </c>
      <c r="D306" s="76">
        <f t="shared" si="21"/>
        <v>358.75737499999997</v>
      </c>
      <c r="E306" s="138">
        <f t="shared" ref="E306:K306" si="29">$D281*E281</f>
        <v>0</v>
      </c>
      <c r="F306" s="138">
        <f t="shared" si="29"/>
        <v>0</v>
      </c>
      <c r="G306" s="138"/>
      <c r="H306" s="138">
        <f t="shared" si="29"/>
        <v>0</v>
      </c>
      <c r="I306" s="138">
        <f t="shared" si="29"/>
        <v>179.37868749999998</v>
      </c>
      <c r="J306" s="138">
        <f t="shared" si="29"/>
        <v>179.37868749999998</v>
      </c>
      <c r="K306" s="138">
        <f t="shared" si="29"/>
        <v>0</v>
      </c>
    </row>
    <row r="307" spans="1:11" s="14" customFormat="1" x14ac:dyDescent="0.3">
      <c r="A307" s="76"/>
      <c r="B307" s="141"/>
      <c r="C307" s="76"/>
      <c r="D307" s="853">
        <f>SUM(D298:D306)</f>
        <v>79262.219860975805</v>
      </c>
      <c r="E307" s="1131">
        <f t="shared" ref="E307:K307" si="30">SUM(E298:E306)</f>
        <v>0</v>
      </c>
      <c r="F307" s="1131">
        <f t="shared" si="30"/>
        <v>3177.1400536095998</v>
      </c>
      <c r="G307" s="1131"/>
      <c r="H307" s="1131">
        <f t="shared" si="30"/>
        <v>9227.0945215137981</v>
      </c>
      <c r="I307" s="1131">
        <f t="shared" si="30"/>
        <v>32034.941056033516</v>
      </c>
      <c r="J307" s="1131">
        <f t="shared" si="30"/>
        <v>31657.809513423912</v>
      </c>
      <c r="K307" s="1131">
        <f t="shared" si="30"/>
        <v>3165.2347163950003</v>
      </c>
    </row>
    <row r="308" spans="1:11" s="14" customFormat="1" x14ac:dyDescent="0.3">
      <c r="A308" s="76"/>
      <c r="B308" s="141"/>
      <c r="C308" s="76"/>
      <c r="D308" s="76"/>
      <c r="F308" s="76"/>
      <c r="G308" s="76"/>
    </row>
    <row r="309" spans="1:11" s="14" customFormat="1" x14ac:dyDescent="0.3">
      <c r="A309" s="76"/>
      <c r="B309" s="1148" t="s">
        <v>1086</v>
      </c>
      <c r="C309" s="76"/>
      <c r="D309" s="76"/>
      <c r="F309" s="76"/>
      <c r="G309" s="76"/>
    </row>
    <row r="310" spans="1:11" s="14" customFormat="1" x14ac:dyDescent="0.3">
      <c r="A310" s="76"/>
      <c r="B310" s="1147" t="s">
        <v>1034</v>
      </c>
      <c r="C310" s="152" t="s">
        <v>1043</v>
      </c>
      <c r="D310" s="76">
        <f>SUM(E310:K310)</f>
        <v>4647.4179263999995</v>
      </c>
      <c r="E310" s="138">
        <f t="shared" ref="E310:K310" si="31">$D285*E285</f>
        <v>0</v>
      </c>
      <c r="F310" s="138">
        <f t="shared" si="31"/>
        <v>0</v>
      </c>
      <c r="G310" s="138"/>
      <c r="H310" s="138">
        <f t="shared" si="31"/>
        <v>0</v>
      </c>
      <c r="I310" s="138">
        <f t="shared" si="31"/>
        <v>929.48358527999994</v>
      </c>
      <c r="J310" s="138">
        <f t="shared" si="31"/>
        <v>1858.9671705599999</v>
      </c>
      <c r="K310" s="138">
        <f t="shared" si="31"/>
        <v>1858.9671705599999</v>
      </c>
    </row>
    <row r="311" spans="1:11" s="14" customFormat="1" x14ac:dyDescent="0.3">
      <c r="A311" s="76"/>
      <c r="B311" s="1147" t="s">
        <v>1035</v>
      </c>
      <c r="C311" s="152" t="s">
        <v>1043</v>
      </c>
      <c r="D311" s="76">
        <f t="shared" ref="D311:D318" si="32">SUM(E311:K311)</f>
        <v>1976.4765960000004</v>
      </c>
      <c r="E311" s="138">
        <f t="shared" ref="E311:K311" si="33">$D286*E286</f>
        <v>0</v>
      </c>
      <c r="F311" s="138">
        <f t="shared" si="33"/>
        <v>0</v>
      </c>
      <c r="G311" s="138"/>
      <c r="H311" s="138">
        <f t="shared" si="33"/>
        <v>0</v>
      </c>
      <c r="I311" s="138">
        <f t="shared" si="33"/>
        <v>395.29531920000005</v>
      </c>
      <c r="J311" s="138">
        <f t="shared" si="33"/>
        <v>790.5906384000001</v>
      </c>
      <c r="K311" s="138">
        <f t="shared" si="33"/>
        <v>790.5906384000001</v>
      </c>
    </row>
    <row r="312" spans="1:11" s="14" customFormat="1" x14ac:dyDescent="0.3">
      <c r="A312" s="76"/>
      <c r="B312" s="1147" t="s">
        <v>1036</v>
      </c>
      <c r="C312" s="152" t="s">
        <v>1043</v>
      </c>
      <c r="D312" s="76">
        <f t="shared" si="32"/>
        <v>1254.4487986656</v>
      </c>
      <c r="E312" s="138">
        <f t="shared" ref="E312:K312" si="34">$D287*E287</f>
        <v>0</v>
      </c>
      <c r="F312" s="138">
        <f t="shared" si="34"/>
        <v>0</v>
      </c>
      <c r="G312" s="138"/>
      <c r="H312" s="138">
        <f t="shared" si="34"/>
        <v>250.88975973312</v>
      </c>
      <c r="I312" s="138">
        <f t="shared" si="34"/>
        <v>501.77951946624</v>
      </c>
      <c r="J312" s="138">
        <f t="shared" si="34"/>
        <v>501.77951946624</v>
      </c>
      <c r="K312" s="138">
        <f t="shared" si="34"/>
        <v>0</v>
      </c>
    </row>
    <row r="313" spans="1:11" s="14" customFormat="1" x14ac:dyDescent="0.3">
      <c r="A313" s="76"/>
      <c r="B313" s="1147" t="s">
        <v>1037</v>
      </c>
      <c r="C313" s="152" t="s">
        <v>1043</v>
      </c>
      <c r="D313" s="76">
        <f t="shared" si="32"/>
        <v>515.61346643999991</v>
      </c>
      <c r="E313" s="138">
        <f t="shared" ref="E313:K313" si="35">$D288*E288</f>
        <v>0</v>
      </c>
      <c r="F313" s="138">
        <f t="shared" si="35"/>
        <v>0</v>
      </c>
      <c r="G313" s="138"/>
      <c r="H313" s="138">
        <f t="shared" si="35"/>
        <v>0</v>
      </c>
      <c r="I313" s="138">
        <f t="shared" si="35"/>
        <v>206.24538657599999</v>
      </c>
      <c r="J313" s="138">
        <f t="shared" si="35"/>
        <v>206.24538657599999</v>
      </c>
      <c r="K313" s="138">
        <f t="shared" si="35"/>
        <v>103.12269328799999</v>
      </c>
    </row>
    <row r="314" spans="1:11" s="14" customFormat="1" x14ac:dyDescent="0.3">
      <c r="A314" s="76"/>
      <c r="B314" s="1147" t="s">
        <v>1038</v>
      </c>
      <c r="C314" s="152" t="s">
        <v>1043</v>
      </c>
      <c r="D314" s="76">
        <f t="shared" si="32"/>
        <v>1509.472243310232</v>
      </c>
      <c r="E314" s="138">
        <f t="shared" ref="E314:K314" si="36">$D289*E289</f>
        <v>0</v>
      </c>
      <c r="F314" s="138">
        <f t="shared" si="36"/>
        <v>0</v>
      </c>
      <c r="G314" s="138"/>
      <c r="H314" s="138">
        <f t="shared" si="36"/>
        <v>0</v>
      </c>
      <c r="I314" s="138">
        <f t="shared" si="36"/>
        <v>0</v>
      </c>
      <c r="J314" s="138">
        <f t="shared" si="36"/>
        <v>754.73612165511599</v>
      </c>
      <c r="K314" s="138">
        <f t="shared" si="36"/>
        <v>754.73612165511599</v>
      </c>
    </row>
    <row r="315" spans="1:11" s="14" customFormat="1" x14ac:dyDescent="0.3">
      <c r="A315" s="76"/>
      <c r="B315" s="1147" t="s">
        <v>1039</v>
      </c>
      <c r="C315" s="152" t="s">
        <v>1043</v>
      </c>
      <c r="D315" s="76">
        <f t="shared" si="32"/>
        <v>176.93418144</v>
      </c>
      <c r="E315" s="138">
        <f t="shared" ref="E315:K315" si="37">$D290*E290</f>
        <v>0</v>
      </c>
      <c r="F315" s="138">
        <f t="shared" si="37"/>
        <v>0</v>
      </c>
      <c r="G315" s="138"/>
      <c r="H315" s="138">
        <f t="shared" si="37"/>
        <v>0</v>
      </c>
      <c r="I315" s="138">
        <f t="shared" si="37"/>
        <v>0</v>
      </c>
      <c r="J315" s="138">
        <f t="shared" si="37"/>
        <v>88.467090720000002</v>
      </c>
      <c r="K315" s="138">
        <f t="shared" si="37"/>
        <v>88.467090720000002</v>
      </c>
    </row>
    <row r="316" spans="1:11" s="14" customFormat="1" x14ac:dyDescent="0.3">
      <c r="A316" s="76"/>
      <c r="B316" s="1147" t="s">
        <v>1040</v>
      </c>
      <c r="C316" s="152" t="s">
        <v>1043</v>
      </c>
      <c r="D316" s="76">
        <f t="shared" si="32"/>
        <v>923.24795999999992</v>
      </c>
      <c r="E316" s="138">
        <f t="shared" ref="E316:K316" si="38">$D291*E291</f>
        <v>0</v>
      </c>
      <c r="F316" s="138">
        <f t="shared" si="38"/>
        <v>0</v>
      </c>
      <c r="G316" s="138"/>
      <c r="H316" s="138">
        <f t="shared" si="38"/>
        <v>0</v>
      </c>
      <c r="I316" s="138">
        <f t="shared" si="38"/>
        <v>0</v>
      </c>
      <c r="J316" s="138">
        <f t="shared" si="38"/>
        <v>461.62397999999996</v>
      </c>
      <c r="K316" s="138">
        <f t="shared" si="38"/>
        <v>461.62397999999996</v>
      </c>
    </row>
    <row r="317" spans="1:11" s="14" customFormat="1" x14ac:dyDescent="0.3">
      <c r="A317" s="76"/>
      <c r="B317" s="1147" t="s">
        <v>271</v>
      </c>
      <c r="C317" s="152" t="s">
        <v>1043</v>
      </c>
      <c r="D317" s="76">
        <f t="shared" si="32"/>
        <v>135.70117870546201</v>
      </c>
      <c r="E317" s="138">
        <f t="shared" ref="E317:K317" si="39">$D292*E292</f>
        <v>0</v>
      </c>
      <c r="F317" s="138">
        <f t="shared" si="39"/>
        <v>0</v>
      </c>
      <c r="G317" s="138"/>
      <c r="H317" s="138">
        <f t="shared" si="39"/>
        <v>0</v>
      </c>
      <c r="I317" s="138">
        <f t="shared" si="39"/>
        <v>0</v>
      </c>
      <c r="J317" s="138">
        <f t="shared" si="39"/>
        <v>67.850589352731006</v>
      </c>
      <c r="K317" s="138">
        <f t="shared" si="39"/>
        <v>67.850589352731006</v>
      </c>
    </row>
    <row r="318" spans="1:11" s="14" customFormat="1" x14ac:dyDescent="0.3">
      <c r="A318" s="76"/>
      <c r="B318" s="1147" t="s">
        <v>1041</v>
      </c>
      <c r="C318" s="152" t="s">
        <v>1043</v>
      </c>
      <c r="D318" s="76">
        <f t="shared" si="32"/>
        <v>50.648099999999992</v>
      </c>
      <c r="E318" s="138">
        <f t="shared" ref="E318:K318" si="40">$D293*E293</f>
        <v>0</v>
      </c>
      <c r="F318" s="138">
        <f t="shared" si="40"/>
        <v>0</v>
      </c>
      <c r="G318" s="138"/>
      <c r="H318" s="138">
        <f t="shared" si="40"/>
        <v>0</v>
      </c>
      <c r="I318" s="138">
        <f t="shared" si="40"/>
        <v>0</v>
      </c>
      <c r="J318" s="138">
        <f t="shared" si="40"/>
        <v>25.324049999999996</v>
      </c>
      <c r="K318" s="138">
        <f t="shared" si="40"/>
        <v>25.324049999999996</v>
      </c>
    </row>
    <row r="319" spans="1:11" s="14" customFormat="1" x14ac:dyDescent="0.3">
      <c r="A319" s="76"/>
      <c r="B319" s="141"/>
      <c r="C319" s="76"/>
      <c r="D319" s="853">
        <f>SUM(D310:D318)</f>
        <v>11189.960450961295</v>
      </c>
      <c r="E319" s="1192">
        <f>SUM(E310:E318)</f>
        <v>0</v>
      </c>
      <c r="F319" s="1192">
        <f t="shared" ref="F319:K319" si="41">SUM(F310:F318)</f>
        <v>0</v>
      </c>
      <c r="G319" s="1192"/>
      <c r="H319" s="1192">
        <f t="shared" si="41"/>
        <v>250.88975973312</v>
      </c>
      <c r="I319" s="1192">
        <f t="shared" si="41"/>
        <v>2032.8038105222399</v>
      </c>
      <c r="J319" s="1192">
        <f t="shared" si="41"/>
        <v>4755.5845467300869</v>
      </c>
      <c r="K319" s="1192">
        <f t="shared" si="41"/>
        <v>4150.6823339758466</v>
      </c>
    </row>
    <row r="320" spans="1:11" s="14" customFormat="1" x14ac:dyDescent="0.3">
      <c r="A320" s="76"/>
      <c r="B320" s="141"/>
      <c r="C320" s="76"/>
      <c r="D320" s="853"/>
      <c r="F320" s="76"/>
      <c r="G320" s="76"/>
    </row>
    <row r="321" spans="1:14" s="14" customFormat="1" ht="12.5" thickBot="1" x14ac:dyDescent="0.35">
      <c r="A321" s="76"/>
      <c r="B321" s="1149" t="s">
        <v>10</v>
      </c>
      <c r="C321" s="943" t="s">
        <v>1043</v>
      </c>
      <c r="D321" s="1034">
        <f>SUM(E321:K321)</f>
        <v>90452.180311937118</v>
      </c>
      <c r="E321" s="944">
        <f>E319+E307</f>
        <v>0</v>
      </c>
      <c r="F321" s="944">
        <f t="shared" ref="F321:K321" si="42">F319+F307</f>
        <v>3177.1400536095998</v>
      </c>
      <c r="G321" s="944"/>
      <c r="H321" s="944">
        <f t="shared" si="42"/>
        <v>9477.9842812469178</v>
      </c>
      <c r="I321" s="944">
        <f t="shared" si="42"/>
        <v>34067.744866555753</v>
      </c>
      <c r="J321" s="944">
        <f t="shared" si="42"/>
        <v>36413.394060154002</v>
      </c>
      <c r="K321" s="944">
        <f t="shared" si="42"/>
        <v>7315.9170503708465</v>
      </c>
    </row>
    <row r="322" spans="1:14" s="14" customFormat="1" ht="12.5" thickTop="1" x14ac:dyDescent="0.3">
      <c r="A322" s="76"/>
      <c r="B322" s="1150"/>
      <c r="C322" s="941"/>
      <c r="D322" s="76"/>
      <c r="F322" s="76"/>
      <c r="G322" s="76"/>
    </row>
    <row r="323" spans="1:14" s="14" customFormat="1" x14ac:dyDescent="0.3">
      <c r="A323" s="76"/>
      <c r="B323" s="1151" t="s">
        <v>1115</v>
      </c>
      <c r="C323" s="941"/>
      <c r="D323" s="76"/>
      <c r="E323" s="796">
        <f t="shared" ref="E323:K323" si="43">E321/$D$321</f>
        <v>0</v>
      </c>
      <c r="F323" s="796">
        <f t="shared" si="43"/>
        <v>3.5125079822871969E-2</v>
      </c>
      <c r="G323" s="796"/>
      <c r="H323" s="796">
        <f t="shared" si="43"/>
        <v>0.1047844756042447</v>
      </c>
      <c r="I323" s="796">
        <f t="shared" si="43"/>
        <v>0.37663818328168902</v>
      </c>
      <c r="J323" s="796">
        <f t="shared" si="43"/>
        <v>0.40257066147634329</v>
      </c>
      <c r="K323" s="796">
        <f t="shared" si="43"/>
        <v>8.0881599814851046E-2</v>
      </c>
    </row>
    <row r="324" spans="1:14" s="14" customFormat="1" x14ac:dyDescent="0.3">
      <c r="A324" s="76"/>
      <c r="B324" s="940"/>
      <c r="C324" s="941"/>
      <c r="D324" s="76"/>
      <c r="F324" s="76"/>
      <c r="G324" s="76"/>
    </row>
    <row r="325" spans="1:14" s="14" customFormat="1" x14ac:dyDescent="0.3">
      <c r="A325" s="76"/>
      <c r="B325" s="141"/>
      <c r="C325" s="76"/>
      <c r="D325" s="76"/>
      <c r="F325" s="76"/>
      <c r="G325" s="76"/>
    </row>
    <row r="326" spans="1:14" s="14" customFormat="1" hidden="1" x14ac:dyDescent="0.3">
      <c r="A326" s="861" t="s">
        <v>515</v>
      </c>
      <c r="B326" s="355"/>
      <c r="C326" s="385"/>
      <c r="D326" s="385"/>
      <c r="E326" s="136"/>
      <c r="F326" s="385"/>
      <c r="G326" s="385"/>
    </row>
    <row r="327" spans="1:14" s="69" customFormat="1" hidden="1" x14ac:dyDescent="0.3">
      <c r="A327" s="13"/>
      <c r="B327" s="118" t="s">
        <v>505</v>
      </c>
      <c r="C327" s="118"/>
      <c r="D327" s="289"/>
      <c r="F327" s="13"/>
      <c r="G327" s="13"/>
      <c r="J327" s="13"/>
      <c r="M327" s="10"/>
      <c r="N327" s="10"/>
    </row>
    <row r="328" spans="1:14" s="14" customFormat="1" ht="13" hidden="1" x14ac:dyDescent="0.3">
      <c r="A328" s="859"/>
      <c r="B328" s="327" t="s">
        <v>541</v>
      </c>
      <c r="C328" s="386" t="s">
        <v>28</v>
      </c>
      <c r="D328" s="330">
        <v>0.92</v>
      </c>
      <c r="E328" s="138"/>
      <c r="F328" s="404"/>
      <c r="G328" s="404"/>
    </row>
    <row r="329" spans="1:14" s="14" customFormat="1" ht="13" hidden="1" x14ac:dyDescent="0.3">
      <c r="A329" s="859"/>
      <c r="B329" s="327" t="s">
        <v>542</v>
      </c>
      <c r="C329" s="386" t="s">
        <v>28</v>
      </c>
      <c r="D329" s="331">
        <f>D332/D333</f>
        <v>0.82887156895967473</v>
      </c>
      <c r="E329" s="138"/>
      <c r="F329" s="404"/>
      <c r="G329" s="404"/>
    </row>
    <row r="330" spans="1:14" s="14" customFormat="1" ht="13" hidden="1" x14ac:dyDescent="0.3">
      <c r="A330" s="859"/>
      <c r="B330" s="327" t="s">
        <v>543</v>
      </c>
      <c r="C330" s="329" t="s">
        <v>0</v>
      </c>
      <c r="D330" s="332">
        <v>0.3</v>
      </c>
      <c r="E330" s="138"/>
      <c r="F330" s="404"/>
      <c r="G330" s="404"/>
    </row>
    <row r="331" spans="1:14" s="14" customFormat="1" ht="13" hidden="1" x14ac:dyDescent="0.3">
      <c r="A331" s="859"/>
      <c r="B331" s="327" t="s">
        <v>544</v>
      </c>
      <c r="C331" s="386" t="s">
        <v>28</v>
      </c>
      <c r="D331" s="331">
        <f>1/D328</f>
        <v>1.0869565217391304</v>
      </c>
      <c r="E331" s="138"/>
      <c r="F331" s="404"/>
      <c r="G331" s="404"/>
    </row>
    <row r="332" spans="1:14" s="14" customFormat="1" ht="13" hidden="1" x14ac:dyDescent="0.3">
      <c r="A332" s="859"/>
      <c r="B332" s="327" t="s">
        <v>543</v>
      </c>
      <c r="C332" s="328" t="s">
        <v>545</v>
      </c>
      <c r="D332" s="330">
        <v>9784</v>
      </c>
      <c r="E332" s="138"/>
      <c r="F332" s="404"/>
      <c r="G332" s="404"/>
    </row>
    <row r="333" spans="1:14" s="14" customFormat="1" ht="13" hidden="1" x14ac:dyDescent="0.3">
      <c r="A333" s="859"/>
      <c r="B333" s="327" t="s">
        <v>546</v>
      </c>
      <c r="C333" s="328" t="s">
        <v>545</v>
      </c>
      <c r="D333" s="330">
        <v>11804</v>
      </c>
      <c r="E333" s="138"/>
      <c r="F333" s="404"/>
      <c r="G333" s="404"/>
    </row>
    <row r="334" spans="1:14" s="14" customFormat="1" ht="13" hidden="1" x14ac:dyDescent="0.3">
      <c r="A334" s="859"/>
      <c r="B334" s="327" t="s">
        <v>547</v>
      </c>
      <c r="C334" s="328" t="s">
        <v>545</v>
      </c>
      <c r="D334" s="330">
        <v>13023</v>
      </c>
      <c r="E334" s="138"/>
      <c r="F334" s="404"/>
      <c r="G334" s="404"/>
    </row>
    <row r="335" spans="1:14" hidden="1" x14ac:dyDescent="0.3">
      <c r="E335" s="324" t="s">
        <v>534</v>
      </c>
      <c r="F335" s="13">
        <v>1</v>
      </c>
      <c r="H335" s="10">
        <v>2</v>
      </c>
      <c r="J335" s="10">
        <v>3</v>
      </c>
      <c r="K335" s="10">
        <v>4</v>
      </c>
    </row>
    <row r="336" spans="1:14" s="69" customFormat="1" hidden="1" x14ac:dyDescent="0.3">
      <c r="A336" s="13"/>
      <c r="B336" s="298" t="s">
        <v>486</v>
      </c>
      <c r="C336" s="185"/>
      <c r="D336" s="299"/>
      <c r="E336" s="325">
        <v>2</v>
      </c>
      <c r="F336" s="336" t="s">
        <v>562</v>
      </c>
      <c r="G336" s="336"/>
      <c r="H336" s="322" t="s">
        <v>563</v>
      </c>
      <c r="I336" s="322"/>
      <c r="J336" s="336" t="s">
        <v>564</v>
      </c>
      <c r="K336" s="70" t="s">
        <v>565</v>
      </c>
      <c r="M336" s="10"/>
      <c r="N336" s="10"/>
    </row>
    <row r="337" spans="1:14" s="69" customFormat="1" hidden="1" x14ac:dyDescent="0.3">
      <c r="A337" s="13"/>
      <c r="B337" s="290" t="s">
        <v>506</v>
      </c>
      <c r="C337" s="41" t="s">
        <v>497</v>
      </c>
      <c r="D337" s="323">
        <f>CHOOSE($E$336,F337,H337,J337,K337)</f>
        <v>26494</v>
      </c>
      <c r="F337" s="13">
        <v>6714</v>
      </c>
      <c r="G337" s="13"/>
      <c r="H337" s="69">
        <v>26494</v>
      </c>
      <c r="J337" s="13">
        <v>306.95</v>
      </c>
      <c r="K337" s="69">
        <v>4669.1499999999996</v>
      </c>
      <c r="M337" s="10"/>
      <c r="N337" s="10"/>
    </row>
    <row r="338" spans="1:14" s="69" customFormat="1" hidden="1" x14ac:dyDescent="0.3">
      <c r="A338" s="13"/>
      <c r="B338" s="290" t="s">
        <v>555</v>
      </c>
      <c r="C338" s="41" t="s">
        <v>516</v>
      </c>
      <c r="D338" s="323">
        <f>CHOOSE($E$336,F338,H338,J338,K338)</f>
        <v>3.81</v>
      </c>
      <c r="F338" s="13">
        <f>F339+F341</f>
        <v>3.5700000000000003</v>
      </c>
      <c r="G338" s="13"/>
      <c r="H338" s="69">
        <f>H339+H341</f>
        <v>3.81</v>
      </c>
      <c r="J338" s="13">
        <v>4.6783173155237012</v>
      </c>
      <c r="K338" s="164">
        <v>4.1407433901245412</v>
      </c>
      <c r="M338" s="10"/>
      <c r="N338" s="10"/>
    </row>
    <row r="339" spans="1:14" s="69" customFormat="1" hidden="1" x14ac:dyDescent="0.3">
      <c r="A339" s="13"/>
      <c r="B339" s="290" t="s">
        <v>507</v>
      </c>
      <c r="C339" s="41" t="s">
        <v>516</v>
      </c>
      <c r="D339" s="323">
        <v>4</v>
      </c>
      <c r="E339" s="69" t="s">
        <v>1249</v>
      </c>
      <c r="F339" s="13">
        <v>2.37</v>
      </c>
      <c r="G339" s="13"/>
      <c r="H339" s="69">
        <v>2.41</v>
      </c>
      <c r="J339" s="13">
        <v>3.21</v>
      </c>
      <c r="K339" s="164">
        <v>2.88</v>
      </c>
      <c r="M339" s="10"/>
      <c r="N339" s="10"/>
    </row>
    <row r="340" spans="1:14" s="69" customFormat="1" hidden="1" x14ac:dyDescent="0.3">
      <c r="A340" s="13"/>
      <c r="B340" s="290" t="s">
        <v>493</v>
      </c>
      <c r="C340" s="41" t="s">
        <v>11</v>
      </c>
      <c r="D340" s="323">
        <f>CHOOSE($E$336,F340,H340,J340,K340)</f>
        <v>3688</v>
      </c>
      <c r="F340" s="13">
        <v>799</v>
      </c>
      <c r="G340" s="13"/>
      <c r="H340" s="69">
        <v>3688</v>
      </c>
      <c r="J340" s="13">
        <v>4507</v>
      </c>
      <c r="K340" s="164">
        <v>58866</v>
      </c>
      <c r="M340" s="10"/>
      <c r="N340" s="10"/>
    </row>
    <row r="341" spans="1:14" s="69" customFormat="1" hidden="1" x14ac:dyDescent="0.3">
      <c r="A341" s="13"/>
      <c r="B341" s="290" t="s">
        <v>493</v>
      </c>
      <c r="C341" s="41" t="s">
        <v>516</v>
      </c>
      <c r="D341" s="323">
        <f>CHOOSE($E$336,F341,H341,J341,K341)</f>
        <v>1.4</v>
      </c>
      <c r="F341" s="13">
        <v>1.2</v>
      </c>
      <c r="G341" s="13"/>
      <c r="H341" s="69">
        <v>1.4</v>
      </c>
      <c r="J341" s="13">
        <v>1.4683173155237008</v>
      </c>
      <c r="K341" s="164">
        <v>1.2607433901245408</v>
      </c>
      <c r="M341" s="10"/>
      <c r="N341" s="10"/>
    </row>
    <row r="342" spans="1:14" s="69" customFormat="1" hidden="1" x14ac:dyDescent="0.3">
      <c r="A342" s="13"/>
      <c r="B342" s="290"/>
      <c r="C342" s="41"/>
      <c r="D342" s="291"/>
      <c r="F342" s="13"/>
      <c r="G342" s="13"/>
      <c r="J342" s="13"/>
      <c r="K342" s="164"/>
      <c r="M342" s="10"/>
      <c r="N342" s="10"/>
    </row>
    <row r="343" spans="1:14" s="69" customFormat="1" hidden="1" x14ac:dyDescent="0.3">
      <c r="A343" s="13"/>
      <c r="B343" s="292" t="s">
        <v>467</v>
      </c>
      <c r="C343" s="41" t="s">
        <v>0</v>
      </c>
      <c r="D343" s="293">
        <v>0.02</v>
      </c>
      <c r="F343" s="13"/>
      <c r="G343" s="13"/>
      <c r="J343" s="13"/>
      <c r="K343" s="164"/>
      <c r="M343" s="10"/>
      <c r="N343" s="10"/>
    </row>
    <row r="344" spans="1:14" s="69" customFormat="1" hidden="1" x14ac:dyDescent="0.3">
      <c r="A344" s="13"/>
      <c r="B344" s="296" t="s">
        <v>508</v>
      </c>
      <c r="C344" s="185"/>
      <c r="D344" s="297"/>
      <c r="F344" s="336" t="s">
        <v>562</v>
      </c>
      <c r="G344" s="336"/>
      <c r="H344" s="322" t="s">
        <v>563</v>
      </c>
      <c r="I344" s="322"/>
      <c r="J344" s="336" t="s">
        <v>564</v>
      </c>
      <c r="K344" s="70" t="s">
        <v>565</v>
      </c>
      <c r="M344" s="10"/>
      <c r="N344" s="10"/>
    </row>
    <row r="345" spans="1:14" s="69" customFormat="1" hidden="1" x14ac:dyDescent="0.3">
      <c r="A345" s="13"/>
      <c r="B345" s="356" t="s">
        <v>509</v>
      </c>
      <c r="C345" s="333" t="s">
        <v>499</v>
      </c>
      <c r="D345" s="323">
        <f>CHOOSE($E$336,F345,H345,J345,K345)</f>
        <v>29868594.833153747</v>
      </c>
      <c r="E345" s="77" t="s">
        <v>537</v>
      </c>
      <c r="F345" s="74">
        <v>7948550</v>
      </c>
      <c r="G345" s="74"/>
      <c r="H345" s="326">
        <v>29868594.833153747</v>
      </c>
      <c r="I345" s="326"/>
      <c r="J345" s="13">
        <v>226844</v>
      </c>
      <c r="K345" s="69">
        <v>3069718</v>
      </c>
      <c r="M345" s="10"/>
      <c r="N345" s="10"/>
    </row>
    <row r="346" spans="1:14" s="69" customFormat="1" hidden="1" x14ac:dyDescent="0.3">
      <c r="A346" s="13"/>
      <c r="B346" s="294" t="s">
        <v>510</v>
      </c>
      <c r="C346" s="41" t="s">
        <v>511</v>
      </c>
      <c r="D346" s="444">
        <v>86</v>
      </c>
      <c r="E346" s="69" t="s">
        <v>531</v>
      </c>
      <c r="F346" s="13"/>
      <c r="G346" s="13"/>
      <c r="J346" s="13"/>
      <c r="M346" s="10"/>
      <c r="N346" s="10"/>
    </row>
    <row r="347" spans="1:14" s="69" customFormat="1" hidden="1" x14ac:dyDescent="0.3">
      <c r="A347" s="13"/>
      <c r="B347" s="294" t="s">
        <v>512</v>
      </c>
      <c r="C347" s="41" t="s">
        <v>513</v>
      </c>
      <c r="D347" s="444">
        <v>83</v>
      </c>
      <c r="F347" s="13"/>
      <c r="G347" s="13"/>
      <c r="J347" s="13"/>
      <c r="M347" s="10"/>
      <c r="N347" s="10"/>
    </row>
    <row r="348" spans="1:14" s="69" customFormat="1" hidden="1" x14ac:dyDescent="0.3">
      <c r="A348" s="13"/>
      <c r="B348" s="294" t="s">
        <v>510</v>
      </c>
      <c r="C348" s="13" t="s">
        <v>521</v>
      </c>
      <c r="D348" s="1028">
        <f>D346*D347</f>
        <v>7138</v>
      </c>
      <c r="F348" s="13"/>
      <c r="G348" s="13"/>
      <c r="J348" s="13"/>
      <c r="M348" s="10"/>
      <c r="N348" s="10"/>
    </row>
    <row r="349" spans="1:14" s="69" customFormat="1" hidden="1" x14ac:dyDescent="0.3">
      <c r="A349" s="13"/>
      <c r="B349" s="294" t="s">
        <v>467</v>
      </c>
      <c r="C349" s="41" t="s">
        <v>0</v>
      </c>
      <c r="D349" s="532">
        <v>0</v>
      </c>
      <c r="F349" s="13"/>
      <c r="G349" s="13"/>
      <c r="J349" s="13"/>
      <c r="M349" s="10"/>
      <c r="N349" s="10"/>
    </row>
    <row r="350" spans="1:14" s="69" customFormat="1" hidden="1" x14ac:dyDescent="0.3">
      <c r="A350" s="13"/>
      <c r="B350" s="294" t="s">
        <v>514</v>
      </c>
      <c r="C350" s="41" t="s">
        <v>0</v>
      </c>
      <c r="D350" s="1029">
        <f>$E$228</f>
        <v>7.4760000000000007E-2</v>
      </c>
      <c r="F350" s="13"/>
      <c r="G350" s="13"/>
      <c r="J350" s="13"/>
      <c r="M350" s="10"/>
      <c r="N350" s="10"/>
    </row>
    <row r="351" spans="1:14" s="69" customFormat="1" hidden="1" x14ac:dyDescent="0.3">
      <c r="A351" s="13"/>
      <c r="B351" s="357" t="s">
        <v>501</v>
      </c>
      <c r="C351" s="300"/>
      <c r="D351" s="185"/>
      <c r="F351" s="13"/>
      <c r="G351" s="13"/>
      <c r="J351" s="13"/>
      <c r="M351" s="10"/>
      <c r="N351" s="10"/>
    </row>
    <row r="352" spans="1:14" s="69" customFormat="1" hidden="1" x14ac:dyDescent="0.3">
      <c r="A352" s="13"/>
      <c r="B352" s="294" t="s">
        <v>502</v>
      </c>
      <c r="C352" s="295" t="s">
        <v>266</v>
      </c>
      <c r="D352" s="444">
        <f>C360</f>
        <v>60</v>
      </c>
      <c r="F352" s="13"/>
      <c r="G352" s="13"/>
      <c r="J352" s="13"/>
      <c r="M352" s="10"/>
      <c r="N352" s="10"/>
    </row>
    <row r="353" spans="1:14" s="69" customFormat="1" hidden="1" x14ac:dyDescent="0.3">
      <c r="A353" s="13"/>
      <c r="B353" s="294" t="s">
        <v>503</v>
      </c>
      <c r="C353" s="295" t="s">
        <v>0</v>
      </c>
      <c r="D353" s="532">
        <v>0.01</v>
      </c>
      <c r="F353" s="13"/>
      <c r="G353" s="13"/>
      <c r="J353" s="13"/>
      <c r="M353" s="10"/>
      <c r="N353" s="10"/>
    </row>
    <row r="354" spans="1:14" s="69" customFormat="1" hidden="1" x14ac:dyDescent="0.3">
      <c r="A354" s="13"/>
      <c r="B354" s="294" t="s">
        <v>525</v>
      </c>
      <c r="C354" s="295" t="s">
        <v>11</v>
      </c>
      <c r="D354" s="478">
        <f>D360*12/10^7</f>
        <v>2.83296E-2</v>
      </c>
      <c r="F354" s="13"/>
      <c r="G354" s="13"/>
      <c r="J354" s="13"/>
      <c r="M354" s="10"/>
      <c r="N354" s="10"/>
    </row>
    <row r="355" spans="1:14" s="69" customFormat="1" hidden="1" x14ac:dyDescent="0.3">
      <c r="A355" s="13"/>
      <c r="B355" s="294" t="s">
        <v>504</v>
      </c>
      <c r="C355" s="295" t="s">
        <v>0</v>
      </c>
      <c r="D355" s="532">
        <v>0.03</v>
      </c>
      <c r="F355" s="13"/>
      <c r="G355" s="13"/>
      <c r="J355" s="13"/>
      <c r="M355" s="10"/>
      <c r="N355" s="10"/>
    </row>
    <row r="356" spans="1:14" hidden="1" x14ac:dyDescent="0.3">
      <c r="A356" s="76"/>
      <c r="B356" s="141"/>
    </row>
    <row r="357" spans="1:14" hidden="1" x14ac:dyDescent="0.3">
      <c r="A357" s="76"/>
      <c r="B357" s="359" t="s">
        <v>487</v>
      </c>
      <c r="C357" s="220" t="s">
        <v>538</v>
      </c>
      <c r="D357" s="220" t="s">
        <v>566</v>
      </c>
    </row>
    <row r="358" spans="1:14" ht="24" hidden="1" x14ac:dyDescent="0.3">
      <c r="A358" s="76"/>
      <c r="B358" s="278" t="s">
        <v>539</v>
      </c>
      <c r="C358" s="380">
        <f>45</f>
        <v>45</v>
      </c>
      <c r="D358" s="202">
        <f>D333</f>
        <v>11804</v>
      </c>
      <c r="E358" s="10" t="s">
        <v>849</v>
      </c>
    </row>
    <row r="359" spans="1:14" ht="24" hidden="1" x14ac:dyDescent="0.3">
      <c r="A359" s="76"/>
      <c r="B359" s="278" t="s">
        <v>540</v>
      </c>
      <c r="C359" s="380">
        <v>15</v>
      </c>
      <c r="D359" s="202">
        <f>D333</f>
        <v>11804</v>
      </c>
      <c r="E359" s="10" t="s">
        <v>960</v>
      </c>
    </row>
    <row r="360" spans="1:14" hidden="1" x14ac:dyDescent="0.3">
      <c r="A360" s="76"/>
      <c r="B360" s="278"/>
      <c r="C360" s="202">
        <f>SUM(C358:C359)</f>
        <v>60</v>
      </c>
      <c r="D360" s="202">
        <f>SUM(D358:D359)</f>
        <v>23608</v>
      </c>
    </row>
    <row r="361" spans="1:14" hidden="1" x14ac:dyDescent="0.3">
      <c r="A361" s="76"/>
      <c r="B361" s="345" t="s">
        <v>961</v>
      </c>
    </row>
    <row r="362" spans="1:14" x14ac:dyDescent="0.3">
      <c r="A362" s="76"/>
    </row>
    <row r="363" spans="1:14" x14ac:dyDescent="0.3">
      <c r="A363" s="76"/>
    </row>
    <row r="364" spans="1:14" x14ac:dyDescent="0.3">
      <c r="A364" s="76"/>
    </row>
    <row r="365" spans="1:14" x14ac:dyDescent="0.3">
      <c r="A365" s="76"/>
    </row>
    <row r="366" spans="1:14" x14ac:dyDescent="0.3">
      <c r="A366" s="76"/>
    </row>
    <row r="367" spans="1:14" x14ac:dyDescent="0.3">
      <c r="A367" s="76"/>
      <c r="B367" s="76"/>
      <c r="C367" s="76"/>
      <c r="D367" s="76"/>
      <c r="E367" s="76"/>
      <c r="F367" s="76"/>
      <c r="G367" s="76"/>
    </row>
    <row r="368" spans="1:14" x14ac:dyDescent="0.3">
      <c r="A368" s="76"/>
      <c r="B368" s="76"/>
      <c r="C368" s="76"/>
      <c r="D368" s="76"/>
      <c r="E368" s="76"/>
      <c r="F368" s="76"/>
      <c r="G368" s="76"/>
    </row>
    <row r="369" spans="1:7" x14ac:dyDescent="0.3">
      <c r="A369" s="76"/>
      <c r="B369" s="76"/>
      <c r="C369" s="76"/>
      <c r="D369" s="76"/>
      <c r="E369" s="76"/>
      <c r="F369" s="76"/>
      <c r="G369" s="76"/>
    </row>
    <row r="370" spans="1:7" x14ac:dyDescent="0.3">
      <c r="A370" s="76"/>
      <c r="B370" s="76"/>
      <c r="C370" s="76"/>
      <c r="D370" s="76"/>
      <c r="E370" s="76"/>
      <c r="F370" s="76"/>
      <c r="G370" s="76"/>
    </row>
    <row r="371" spans="1:7" x14ac:dyDescent="0.3">
      <c r="A371" s="76"/>
      <c r="B371" s="76"/>
      <c r="C371" s="76"/>
      <c r="D371" s="76"/>
      <c r="E371" s="76"/>
      <c r="F371" s="76"/>
      <c r="G371" s="76"/>
    </row>
    <row r="372" spans="1:7" x14ac:dyDescent="0.3">
      <c r="A372" s="76"/>
      <c r="B372" s="76"/>
      <c r="C372" s="76"/>
      <c r="D372" s="76"/>
      <c r="E372" s="76"/>
      <c r="F372" s="76"/>
      <c r="G372" s="76"/>
    </row>
    <row r="373" spans="1:7" x14ac:dyDescent="0.3">
      <c r="A373" s="76"/>
      <c r="B373" s="76"/>
      <c r="C373" s="76"/>
      <c r="D373" s="76"/>
      <c r="E373" s="76"/>
      <c r="F373" s="76"/>
      <c r="G373" s="76"/>
    </row>
    <row r="374" spans="1:7" x14ac:dyDescent="0.3">
      <c r="A374" s="76"/>
      <c r="B374" s="76"/>
      <c r="C374" s="76"/>
      <c r="D374" s="76"/>
      <c r="E374" s="76"/>
      <c r="F374" s="76"/>
      <c r="G374" s="76"/>
    </row>
    <row r="375" spans="1:7" x14ac:dyDescent="0.3">
      <c r="A375" s="76"/>
      <c r="B375" s="76"/>
      <c r="C375" s="76"/>
      <c r="D375" s="76"/>
      <c r="E375" s="76"/>
      <c r="F375" s="76"/>
      <c r="G375" s="76"/>
    </row>
    <row r="376" spans="1:7" x14ac:dyDescent="0.3">
      <c r="A376" s="76"/>
      <c r="B376" s="76"/>
      <c r="C376" s="76"/>
      <c r="D376" s="76"/>
      <c r="E376" s="76"/>
      <c r="F376" s="76"/>
      <c r="G376" s="76"/>
    </row>
    <row r="377" spans="1:7" x14ac:dyDescent="0.3">
      <c r="A377" s="76"/>
      <c r="B377" s="76"/>
      <c r="C377" s="76"/>
      <c r="D377" s="76"/>
      <c r="E377" s="76"/>
      <c r="F377" s="76"/>
      <c r="G377" s="76"/>
    </row>
    <row r="378" spans="1:7" x14ac:dyDescent="0.3">
      <c r="A378" s="76"/>
      <c r="B378" s="76"/>
      <c r="C378" s="76"/>
      <c r="D378" s="76"/>
      <c r="E378" s="76"/>
      <c r="F378" s="76"/>
      <c r="G378" s="76"/>
    </row>
    <row r="379" spans="1:7" x14ac:dyDescent="0.3">
      <c r="A379" s="76"/>
      <c r="B379" s="76"/>
      <c r="C379" s="76"/>
      <c r="D379" s="76"/>
      <c r="E379" s="76"/>
      <c r="F379" s="76"/>
      <c r="G379" s="76"/>
    </row>
    <row r="380" spans="1:7" x14ac:dyDescent="0.3">
      <c r="A380" s="76"/>
      <c r="B380" s="76"/>
      <c r="C380" s="76"/>
      <c r="D380" s="76"/>
      <c r="E380" s="76"/>
      <c r="F380" s="76"/>
      <c r="G380" s="76"/>
    </row>
    <row r="381" spans="1:7" x14ac:dyDescent="0.3">
      <c r="A381" s="76"/>
      <c r="B381" s="76"/>
      <c r="C381" s="76"/>
      <c r="D381" s="76"/>
      <c r="E381" s="76"/>
      <c r="F381" s="76"/>
      <c r="G381" s="76"/>
    </row>
    <row r="382" spans="1:7" x14ac:dyDescent="0.3">
      <c r="A382" s="76"/>
      <c r="B382" s="76"/>
      <c r="C382" s="76"/>
      <c r="D382" s="76"/>
      <c r="E382" s="76"/>
      <c r="F382" s="76"/>
      <c r="G382" s="76"/>
    </row>
    <row r="383" spans="1:7" x14ac:dyDescent="0.3">
      <c r="A383" s="76"/>
      <c r="B383" s="76"/>
      <c r="C383" s="76"/>
      <c r="D383" s="76"/>
      <c r="E383" s="76"/>
      <c r="F383" s="76"/>
      <c r="G383" s="76"/>
    </row>
    <row r="384" spans="1:7" x14ac:dyDescent="0.3">
      <c r="A384" s="76"/>
      <c r="B384" s="76"/>
      <c r="C384" s="76"/>
      <c r="D384" s="76"/>
      <c r="E384" s="76"/>
      <c r="F384" s="76"/>
      <c r="G384" s="76"/>
    </row>
    <row r="385" spans="1:7" x14ac:dyDescent="0.3">
      <c r="A385" s="76"/>
      <c r="B385" s="76"/>
      <c r="C385" s="76"/>
      <c r="D385" s="76"/>
      <c r="E385" s="76"/>
      <c r="F385" s="76"/>
      <c r="G385" s="76"/>
    </row>
    <row r="386" spans="1:7" x14ac:dyDescent="0.3">
      <c r="A386" s="76"/>
      <c r="B386" s="76"/>
      <c r="C386" s="76"/>
      <c r="D386" s="76"/>
      <c r="E386" s="76"/>
      <c r="F386" s="76"/>
      <c r="G386" s="76"/>
    </row>
    <row r="387" spans="1:7" x14ac:dyDescent="0.3">
      <c r="A387" s="76"/>
      <c r="B387" s="76"/>
      <c r="C387" s="76"/>
      <c r="D387" s="76"/>
      <c r="E387" s="76"/>
      <c r="F387" s="76"/>
      <c r="G387" s="76"/>
    </row>
    <row r="388" spans="1:7" x14ac:dyDescent="0.3">
      <c r="A388" s="76"/>
      <c r="B388" s="76"/>
      <c r="C388" s="76"/>
      <c r="D388" s="76"/>
      <c r="E388" s="76"/>
      <c r="F388" s="76"/>
      <c r="G388" s="76"/>
    </row>
    <row r="389" spans="1:7" x14ac:dyDescent="0.3">
      <c r="A389" s="76"/>
      <c r="B389" s="76"/>
      <c r="C389" s="76"/>
      <c r="D389" s="76"/>
      <c r="E389" s="76"/>
      <c r="F389" s="76"/>
      <c r="G389" s="76"/>
    </row>
    <row r="390" spans="1:7" x14ac:dyDescent="0.3">
      <c r="A390" s="76"/>
      <c r="B390" s="76"/>
      <c r="C390" s="76"/>
      <c r="D390" s="76"/>
      <c r="E390" s="76"/>
      <c r="F390" s="76"/>
      <c r="G390" s="76"/>
    </row>
    <row r="391" spans="1:7" x14ac:dyDescent="0.3">
      <c r="A391" s="76"/>
      <c r="B391" s="76"/>
      <c r="C391" s="76"/>
      <c r="D391" s="76"/>
      <c r="E391" s="76"/>
      <c r="F391" s="76"/>
      <c r="G391" s="76"/>
    </row>
    <row r="392" spans="1:7" x14ac:dyDescent="0.3">
      <c r="A392" s="76"/>
      <c r="B392" s="76"/>
      <c r="C392" s="76"/>
      <c r="D392" s="76"/>
      <c r="E392" s="76"/>
      <c r="F392" s="76"/>
      <c r="G392" s="76"/>
    </row>
    <row r="393" spans="1:7" x14ac:dyDescent="0.3">
      <c r="A393" s="76"/>
      <c r="B393" s="76"/>
      <c r="C393" s="76"/>
      <c r="D393" s="76"/>
      <c r="E393" s="76"/>
      <c r="F393" s="76"/>
      <c r="G393" s="76"/>
    </row>
    <row r="394" spans="1:7" x14ac:dyDescent="0.3">
      <c r="A394" s="76"/>
      <c r="B394" s="76"/>
      <c r="C394" s="76"/>
      <c r="D394" s="76"/>
      <c r="E394" s="76"/>
      <c r="F394" s="76"/>
      <c r="G394" s="76"/>
    </row>
    <row r="395" spans="1:7" x14ac:dyDescent="0.3">
      <c r="A395" s="76"/>
      <c r="B395" s="76"/>
      <c r="C395" s="76"/>
      <c r="D395" s="76"/>
      <c r="E395" s="76"/>
      <c r="F395" s="76"/>
      <c r="G395" s="76"/>
    </row>
    <row r="433" spans="1:2" x14ac:dyDescent="0.3">
      <c r="A433" s="76"/>
      <c r="B433" s="141"/>
    </row>
    <row r="434" spans="1:2" x14ac:dyDescent="0.3">
      <c r="A434" s="76"/>
      <c r="B434" s="141"/>
    </row>
    <row r="435" spans="1:2" x14ac:dyDescent="0.3">
      <c r="A435" s="76"/>
      <c r="B435" s="141"/>
    </row>
    <row r="436" spans="1:2" x14ac:dyDescent="0.3">
      <c r="A436" s="76"/>
      <c r="B436" s="141"/>
    </row>
    <row r="437" spans="1:2" x14ac:dyDescent="0.3">
      <c r="A437" s="76"/>
      <c r="B437" s="141"/>
    </row>
    <row r="438" spans="1:2" x14ac:dyDescent="0.3">
      <c r="A438" s="76"/>
      <c r="B438" s="141"/>
    </row>
    <row r="439" spans="1:2" x14ac:dyDescent="0.3">
      <c r="A439" s="76"/>
      <c r="B439" s="141"/>
    </row>
    <row r="440" spans="1:2" x14ac:dyDescent="0.3">
      <c r="A440" s="76"/>
      <c r="B440" s="141"/>
    </row>
    <row r="441" spans="1:2" x14ac:dyDescent="0.3">
      <c r="A441" s="76"/>
      <c r="B441" s="141"/>
    </row>
    <row r="442" spans="1:2" x14ac:dyDescent="0.3">
      <c r="A442" s="76"/>
      <c r="B442" s="141"/>
    </row>
    <row r="443" spans="1:2" x14ac:dyDescent="0.3">
      <c r="A443" s="76"/>
      <c r="B443" s="141"/>
    </row>
    <row r="444" spans="1:2" x14ac:dyDescent="0.3">
      <c r="A444" s="76"/>
      <c r="B444" s="141"/>
    </row>
    <row r="445" spans="1:2" x14ac:dyDescent="0.3">
      <c r="A445" s="76"/>
      <c r="B445" s="141"/>
    </row>
    <row r="446" spans="1:2" x14ac:dyDescent="0.3">
      <c r="A446" s="76"/>
      <c r="B446" s="141"/>
    </row>
  </sheetData>
  <mergeCells count="3">
    <mergeCell ref="E264:I264"/>
    <mergeCell ref="J264:M264"/>
    <mergeCell ref="N264:R264"/>
  </mergeCells>
  <dataValidations count="5">
    <dataValidation type="list" allowBlank="1" showInputMessage="1" showErrorMessage="1" sqref="E195" xr:uid="{B629A50F-3684-443D-8E73-2B55DFC84CAE}">
      <formula1>"Cash,BG"</formula1>
    </dataValidation>
    <dataValidation type="list" allowBlank="1" showInputMessage="1" showErrorMessage="1" sqref="E336" xr:uid="{D0E4BB12-D4C4-4223-A532-31DCA5800EB6}">
      <formula1>"1,2,3,4"</formula1>
    </dataValidation>
    <dataValidation type="list" allowBlank="1" showInputMessage="1" showErrorMessage="1" sqref="I17:I18" xr:uid="{053CF982-AB98-4C71-82CE-0BE214BCCF26}">
      <formula1>"1.352,1.2"</formula1>
    </dataValidation>
    <dataValidation type="list" allowBlank="1" showInputMessage="1" showErrorMessage="1" sqref="E8:E9" xr:uid="{2D5E92B1-7B3A-4A8C-97B9-622107FD3B71}">
      <formula1>"Yes,No"</formula1>
    </dataValidation>
    <dataValidation type="list" allowBlank="1" showInputMessage="1" showErrorMessage="1" sqref="F5:G5" xr:uid="{738B3125-F6E2-4F08-B4A9-8CA8AC57A0A2}">
      <formula1>$H$17:$H$18</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7607B-EBFE-49A0-96AD-6ED6FB2D7687}">
  <dimension ref="A1:CK227"/>
  <sheetViews>
    <sheetView showGridLines="0" zoomScale="87" zoomScaleNormal="120" workbookViewId="0">
      <pane xSplit="1" ySplit="2" topLeftCell="B3" activePane="bottomRight" state="frozen"/>
      <selection activeCell="E44" sqref="E44"/>
      <selection pane="topRight" activeCell="E44" sqref="E44"/>
      <selection pane="bottomLeft" activeCell="E44" sqref="E44"/>
      <selection pane="bottomRight" activeCell="E27" sqref="E27"/>
    </sheetView>
  </sheetViews>
  <sheetFormatPr defaultColWidth="9.1796875" defaultRowHeight="12" outlineLevelRow="1" x14ac:dyDescent="0.35"/>
  <cols>
    <col min="1" max="1" width="6.26953125" style="415" customWidth="1"/>
    <col min="2" max="2" width="39.453125" style="414" customWidth="1"/>
    <col min="3" max="3" width="15" style="415" bestFit="1" customWidth="1"/>
    <col min="4" max="4" width="11.453125" style="414" customWidth="1"/>
    <col min="5" max="5" width="12.90625" style="574" bestFit="1" customWidth="1"/>
    <col min="6" max="6" width="13" style="414" bestFit="1" customWidth="1"/>
    <col min="7" max="8" width="12" style="414" bestFit="1" customWidth="1"/>
    <col min="9" max="9" width="10.7265625" style="414" bestFit="1" customWidth="1"/>
    <col min="10" max="10" width="17.26953125" style="414" bestFit="1" customWidth="1"/>
    <col min="11" max="11" width="17.26953125" style="414" customWidth="1"/>
    <col min="12" max="12" width="11.453125" style="414" customWidth="1"/>
    <col min="13" max="13" width="6.453125" style="414" customWidth="1"/>
    <col min="14" max="14" width="11.6328125" style="414" customWidth="1"/>
    <col min="15" max="16" width="11.54296875" style="414" customWidth="1"/>
    <col min="17" max="17" width="8.26953125" style="414" customWidth="1"/>
    <col min="18" max="18" width="11.26953125" style="414" customWidth="1"/>
    <col min="19" max="19" width="7.7265625" style="414" customWidth="1"/>
    <col min="20" max="20" width="10.6328125" style="414" customWidth="1"/>
    <col min="21" max="21" width="14.26953125" style="414" customWidth="1"/>
    <col min="22" max="22" width="9.26953125" style="414" customWidth="1"/>
    <col min="23" max="24" width="10.08984375" style="414" customWidth="1"/>
    <col min="25" max="25" width="12.6328125" style="414" customWidth="1"/>
    <col min="26" max="31" width="10.08984375" style="414" customWidth="1"/>
    <col min="32" max="32" width="9.1796875" style="414"/>
    <col min="33" max="35" width="9.1796875" style="414" customWidth="1"/>
    <col min="36" max="16384" width="9.1796875" style="414"/>
  </cols>
  <sheetData>
    <row r="1" spans="1:33" s="566" customFormat="1" ht="36" x14ac:dyDescent="0.35">
      <c r="A1" s="648"/>
      <c r="B1" s="591" t="s">
        <v>448</v>
      </c>
      <c r="C1" s="647" t="s">
        <v>72</v>
      </c>
      <c r="D1" s="592" t="s">
        <v>909</v>
      </c>
      <c r="E1" s="647" t="s">
        <v>290</v>
      </c>
      <c r="F1" s="648" t="s">
        <v>574</v>
      </c>
      <c r="G1" s="649" t="s">
        <v>899</v>
      </c>
      <c r="H1" s="648" t="s">
        <v>837</v>
      </c>
      <c r="N1" s="741" t="s">
        <v>992</v>
      </c>
      <c r="O1" s="741" t="s">
        <v>991</v>
      </c>
      <c r="P1" s="741" t="s">
        <v>900</v>
      </c>
      <c r="Q1" s="741" t="s">
        <v>901</v>
      </c>
      <c r="R1" s="741" t="s">
        <v>902</v>
      </c>
      <c r="S1" s="602" t="s">
        <v>1124</v>
      </c>
      <c r="U1" s="741" t="s">
        <v>992</v>
      </c>
      <c r="V1" s="741" t="s">
        <v>991</v>
      </c>
      <c r="W1" s="741" t="s">
        <v>988</v>
      </c>
      <c r="X1" s="741" t="s">
        <v>989</v>
      </c>
      <c r="Y1" s="741" t="s">
        <v>990</v>
      </c>
      <c r="AA1" s="1075" t="s">
        <v>923</v>
      </c>
      <c r="AB1" s="1075" t="s">
        <v>583</v>
      </c>
    </row>
    <row r="2" spans="1:33" s="566" customFormat="1" x14ac:dyDescent="0.35">
      <c r="A2" s="824" t="s">
        <v>268</v>
      </c>
      <c r="B2" s="613" t="s">
        <v>751</v>
      </c>
      <c r="C2" s="728" t="s">
        <v>802</v>
      </c>
      <c r="D2" s="614">
        <f t="shared" ref="D2:D14" si="0">ROUND(F2/E2,0)</f>
        <v>159</v>
      </c>
      <c r="E2" s="745">
        <f>Input!$E$4</f>
        <v>243.88799999999998</v>
      </c>
      <c r="F2" s="595">
        <f>SUM(F$36:F$39)</f>
        <v>38728.48272</v>
      </c>
      <c r="G2" s="595">
        <f>SUM(G$36:G$39)</f>
        <v>5344.5306153600004</v>
      </c>
      <c r="H2" s="594">
        <f t="shared" ref="H2:H9" si="1">SUM(F2:G2)</f>
        <v>44073.013335360003</v>
      </c>
      <c r="I2" s="786"/>
      <c r="J2" s="864"/>
      <c r="K2" s="786"/>
      <c r="L2" s="786"/>
      <c r="M2" s="786"/>
      <c r="N2" s="752">
        <f>ROUND($F2*$AA$2/Input!$E$4/10,2)</f>
        <v>13.5</v>
      </c>
      <c r="O2" s="752">
        <f>ROUND($F2*(100%-$AA$2)/Input!$E$4/10,2)</f>
        <v>2.38</v>
      </c>
      <c r="P2" s="753">
        <f>SUM(N2:O2)</f>
        <v>15.879999999999999</v>
      </c>
      <c r="Q2" s="752">
        <f>N2*$AA$3+$O2*$AB$3</f>
        <v>2.0484</v>
      </c>
      <c r="R2" s="753">
        <f>P2+Q2</f>
        <v>17.9284</v>
      </c>
      <c r="S2" s="755">
        <f t="shared" ref="S2:S23" si="2">H2/$E$27/100</f>
        <v>2.1685206325211577</v>
      </c>
      <c r="U2" s="752">
        <f t="shared" ref="U2:U23" si="3">F2*$AA$2</f>
        <v>32919.210311999996</v>
      </c>
      <c r="V2" s="752">
        <f t="shared" ref="V2:V23" si="4">F2*$AB$2</f>
        <v>4647.4179263999995</v>
      </c>
      <c r="W2" s="752">
        <f>U2+V2</f>
        <v>37566.628238399993</v>
      </c>
      <c r="X2" s="752">
        <f t="shared" ref="X2:X23" si="5">G2</f>
        <v>5344.5306153600004</v>
      </c>
      <c r="Y2" s="752">
        <f t="shared" ref="Y2:Y24" si="6">H2</f>
        <v>44073.013335360003</v>
      </c>
      <c r="AA2" s="1193">
        <v>0.85</v>
      </c>
      <c r="AB2" s="1193">
        <v>0.12</v>
      </c>
    </row>
    <row r="3" spans="1:33" s="566" customFormat="1" x14ac:dyDescent="0.35">
      <c r="A3" s="824" t="s">
        <v>270</v>
      </c>
      <c r="B3" s="613" t="s">
        <v>651</v>
      </c>
      <c r="C3" s="728" t="s">
        <v>802</v>
      </c>
      <c r="D3" s="614">
        <f t="shared" si="0"/>
        <v>13</v>
      </c>
      <c r="E3" s="745">
        <f>Input!$E$6</f>
        <v>203.23999999999998</v>
      </c>
      <c r="F3" s="595">
        <f>SUM(F41:F42)</f>
        <v>2650.5</v>
      </c>
      <c r="G3" s="595">
        <f>SUM(G41:G42)</f>
        <v>365.76900000000006</v>
      </c>
      <c r="H3" s="594">
        <f>SUM(F3:G3)</f>
        <v>3016.2690000000002</v>
      </c>
      <c r="I3" s="786"/>
      <c r="J3" s="864"/>
      <c r="K3" s="786"/>
      <c r="L3" s="786"/>
      <c r="M3" s="786"/>
      <c r="N3" s="752">
        <f>ROUND($F3*$AA$2/Input!$E$4/10,2)</f>
        <v>0.92</v>
      </c>
      <c r="O3" s="752">
        <f>ROUND($F3*(100%-$AA$2)/Input!$E$4/10,2)</f>
        <v>0.16</v>
      </c>
      <c r="P3" s="753">
        <f t="shared" ref="P3:P23" si="7">SUM(N3:O3)</f>
        <v>1.08</v>
      </c>
      <c r="Q3" s="752">
        <f>N3*$AA$3+$O3*$AB$3</f>
        <v>0.13919999999999999</v>
      </c>
      <c r="R3" s="753">
        <f t="shared" ref="R3:R23" si="8">P3+Q3</f>
        <v>1.2192000000000001</v>
      </c>
      <c r="S3" s="755">
        <f t="shared" si="2"/>
        <v>0.14840922062586107</v>
      </c>
      <c r="U3" s="752">
        <f t="shared" si="3"/>
        <v>2252.9249999999997</v>
      </c>
      <c r="V3" s="752">
        <f t="shared" si="4"/>
        <v>318.06</v>
      </c>
      <c r="W3" s="752">
        <f t="shared" ref="W3:W23" si="9">U3+V3</f>
        <v>2570.9849999999997</v>
      </c>
      <c r="X3" s="752">
        <f t="shared" si="5"/>
        <v>365.76900000000006</v>
      </c>
      <c r="Y3" s="752">
        <f t="shared" si="6"/>
        <v>3016.2690000000002</v>
      </c>
      <c r="AA3" s="1096">
        <f>Input!F225</f>
        <v>0.12</v>
      </c>
      <c r="AB3" s="1096">
        <f>Input!H225</f>
        <v>0.18</v>
      </c>
      <c r="AD3" s="865"/>
      <c r="AE3" s="865"/>
      <c r="AF3" s="865"/>
      <c r="AG3" s="778"/>
    </row>
    <row r="4" spans="1:33" s="566" customFormat="1" x14ac:dyDescent="0.35">
      <c r="A4" s="824" t="s">
        <v>272</v>
      </c>
      <c r="B4" s="613" t="s">
        <v>896</v>
      </c>
      <c r="C4" s="728" t="s">
        <v>802</v>
      </c>
      <c r="D4" s="614">
        <f t="shared" si="0"/>
        <v>135</v>
      </c>
      <c r="E4" s="745">
        <f>Input!$E$4</f>
        <v>243.88799999999998</v>
      </c>
      <c r="F4" s="595">
        <f>SUM(F45:F60)</f>
        <v>32929.860749798594</v>
      </c>
      <c r="G4" s="595">
        <f>SUM(G45:G60)</f>
        <v>4544.320783472207</v>
      </c>
      <c r="H4" s="594">
        <f t="shared" si="1"/>
        <v>37474.181533270799</v>
      </c>
      <c r="I4" s="786"/>
      <c r="J4" s="786"/>
      <c r="K4" s="786"/>
      <c r="N4" s="752">
        <f>ROUND($F4*$AA$2/Input!$E$4/10,2)</f>
        <v>11.48</v>
      </c>
      <c r="O4" s="752">
        <f>ROUND($F4*(100%-$AA$2)/Input!$E$4/10,2)</f>
        <v>2.0299999999999998</v>
      </c>
      <c r="P4" s="753">
        <f t="shared" si="7"/>
        <v>13.51</v>
      </c>
      <c r="Q4" s="752">
        <f>N4*$AA$3+$O4*$AB$3</f>
        <v>1.7429999999999999</v>
      </c>
      <c r="R4" s="753">
        <f t="shared" si="8"/>
        <v>15.253</v>
      </c>
      <c r="S4" s="755">
        <f t="shared" si="2"/>
        <v>1.8438388866990161</v>
      </c>
      <c r="U4" s="752">
        <f t="shared" si="3"/>
        <v>27990.381637328803</v>
      </c>
      <c r="V4" s="752">
        <f t="shared" si="4"/>
        <v>3951.5832899758311</v>
      </c>
      <c r="W4" s="752">
        <f t="shared" si="9"/>
        <v>31941.964927304634</v>
      </c>
      <c r="X4" s="752">
        <f t="shared" si="5"/>
        <v>4544.320783472207</v>
      </c>
      <c r="Y4" s="752">
        <f t="shared" si="6"/>
        <v>37474.181533270799</v>
      </c>
      <c r="AA4" s="1097">
        <f>AA2*AA3+AB2*AB3</f>
        <v>0.12359999999999999</v>
      </c>
      <c r="AB4" s="1075"/>
      <c r="AD4" s="865"/>
      <c r="AE4" s="865"/>
      <c r="AF4" s="865"/>
      <c r="AG4" s="778"/>
    </row>
    <row r="5" spans="1:33" s="566" customFormat="1" x14ac:dyDescent="0.35">
      <c r="A5" s="825">
        <v>1</v>
      </c>
      <c r="B5" s="742" t="s">
        <v>915</v>
      </c>
      <c r="C5" s="724"/>
      <c r="D5" s="596">
        <f t="shared" si="0"/>
        <v>68</v>
      </c>
      <c r="E5" s="597">
        <f>Input!$E$4</f>
        <v>243.88799999999998</v>
      </c>
      <c r="F5" s="743">
        <f>SUM(F45:F51)</f>
        <v>16470.638300000002</v>
      </c>
      <c r="G5" s="743">
        <f>SUM(G45:G51)</f>
        <v>2272.9480854000003</v>
      </c>
      <c r="H5" s="744">
        <f>SUM(F5:G5)</f>
        <v>18743.586385400002</v>
      </c>
      <c r="I5" s="786"/>
      <c r="J5" s="786"/>
      <c r="K5" s="786"/>
      <c r="L5" s="764"/>
      <c r="M5" s="764"/>
      <c r="N5" s="750">
        <f>ROUND($F5*$AA$2/Input!$E$4/10,2)</f>
        <v>5.74</v>
      </c>
      <c r="O5" s="750">
        <f>ROUND($F5*(100%-$AA$2)/Input!$E$4/10,2)</f>
        <v>1.01</v>
      </c>
      <c r="P5" s="751">
        <f t="shared" si="7"/>
        <v>6.75</v>
      </c>
      <c r="Q5" s="750">
        <f>ROUND(N5*$AA$3+$O5*$AB$3,2)</f>
        <v>0.87</v>
      </c>
      <c r="R5" s="751">
        <f t="shared" si="8"/>
        <v>7.62</v>
      </c>
      <c r="S5" s="605">
        <f t="shared" si="2"/>
        <v>0.92223904671324564</v>
      </c>
      <c r="U5" s="750">
        <f t="shared" si="3"/>
        <v>14000.042555000002</v>
      </c>
      <c r="V5" s="750">
        <f t="shared" si="4"/>
        <v>1976.4765960000002</v>
      </c>
      <c r="W5" s="750">
        <f t="shared" si="9"/>
        <v>15976.519151000002</v>
      </c>
      <c r="X5" s="750">
        <f t="shared" si="5"/>
        <v>2272.9480854000003</v>
      </c>
      <c r="Y5" s="750">
        <f t="shared" si="6"/>
        <v>18743.586385400002</v>
      </c>
      <c r="AC5" s="564"/>
      <c r="AD5" s="865"/>
      <c r="AE5" s="865"/>
      <c r="AF5" s="865"/>
      <c r="AG5" s="865"/>
    </row>
    <row r="6" spans="1:33" s="566" customFormat="1" x14ac:dyDescent="0.35">
      <c r="A6" s="825">
        <v>2</v>
      </c>
      <c r="B6" s="742" t="s">
        <v>975</v>
      </c>
      <c r="C6" s="724"/>
      <c r="D6" s="596">
        <f t="shared" si="0"/>
        <v>25</v>
      </c>
      <c r="E6" s="597">
        <f>Input!$E$4</f>
        <v>243.88799999999998</v>
      </c>
      <c r="F6" s="743">
        <f>SUM(F53:F56)</f>
        <v>6005.4824609185998</v>
      </c>
      <c r="G6" s="743">
        <f>SUM(G53:G56)</f>
        <v>828.75657960676665</v>
      </c>
      <c r="H6" s="744">
        <f>SUM(F6:G6)</f>
        <v>6834.2390405253664</v>
      </c>
      <c r="I6" s="786"/>
      <c r="J6" s="786"/>
      <c r="K6" s="786"/>
      <c r="L6" s="786"/>
      <c r="M6" s="764"/>
      <c r="N6" s="750">
        <f>ROUND($F6*$AA$2/Input!$E$4/10,2)</f>
        <v>2.09</v>
      </c>
      <c r="O6" s="750">
        <f>ROUND($F6*(100%-$AA$2)/Input!$E$4/10,2)</f>
        <v>0.37</v>
      </c>
      <c r="P6" s="751">
        <f t="shared" ref="P6" si="10">SUM(N6:O6)</f>
        <v>2.46</v>
      </c>
      <c r="Q6" s="750">
        <f>ROUND(N6*$AA$3+$O6*$AB$3,2)</f>
        <v>0.32</v>
      </c>
      <c r="R6" s="751">
        <f t="shared" ref="R6" si="11">P6+Q6</f>
        <v>2.78</v>
      </c>
      <c r="S6" s="605">
        <f t="shared" si="2"/>
        <v>0.33626446765033291</v>
      </c>
      <c r="U6" s="750">
        <f t="shared" si="3"/>
        <v>5104.66009178081</v>
      </c>
      <c r="V6" s="750">
        <f t="shared" si="4"/>
        <v>720.65789531023199</v>
      </c>
      <c r="W6" s="750">
        <f t="shared" si="9"/>
        <v>5825.3179870910417</v>
      </c>
      <c r="X6" s="750">
        <f t="shared" si="5"/>
        <v>828.75657960676665</v>
      </c>
      <c r="Y6" s="750">
        <f t="shared" si="6"/>
        <v>6834.2390405253664</v>
      </c>
      <c r="AC6" s="564"/>
      <c r="AD6" s="865"/>
      <c r="AE6" s="865"/>
      <c r="AF6" s="865"/>
      <c r="AG6" s="865"/>
    </row>
    <row r="7" spans="1:33" s="566" customFormat="1" x14ac:dyDescent="0.35">
      <c r="A7" s="825">
        <v>3</v>
      </c>
      <c r="B7" s="742" t="s">
        <v>916</v>
      </c>
      <c r="C7" s="724"/>
      <c r="D7" s="596">
        <f t="shared" si="0"/>
        <v>43</v>
      </c>
      <c r="E7" s="597">
        <f>Input!$E$4</f>
        <v>243.88799999999998</v>
      </c>
      <c r="F7" s="743">
        <f>SUM(F57:F60)</f>
        <v>10453.739988879999</v>
      </c>
      <c r="G7" s="743">
        <f>SUM(G57:G60)</f>
        <v>1442.6161184654397</v>
      </c>
      <c r="H7" s="744">
        <f>SUM(F7:G7)</f>
        <v>11896.356107345438</v>
      </c>
      <c r="I7" s="786"/>
      <c r="J7" s="786"/>
      <c r="K7" s="786"/>
      <c r="L7" s="764"/>
      <c r="M7" s="764"/>
      <c r="N7" s="750">
        <f>ROUND($F7*$AA$2/Input!$E$4/10,2)</f>
        <v>3.64</v>
      </c>
      <c r="O7" s="750">
        <f>ROUND($F7*(100%-$AA$2)/Input!$E$4/10,2)</f>
        <v>0.64</v>
      </c>
      <c r="P7" s="751">
        <f>SUM(N7:O7)</f>
        <v>4.28</v>
      </c>
      <c r="Q7" s="750">
        <f>ROUND(N7*$AA$3+$O7*$AB$3,2)</f>
        <v>0.55000000000000004</v>
      </c>
      <c r="R7" s="751">
        <f t="shared" si="8"/>
        <v>4.83</v>
      </c>
      <c r="S7" s="605">
        <f t="shared" si="2"/>
        <v>0.58533537233543786</v>
      </c>
      <c r="U7" s="750">
        <f t="shared" si="3"/>
        <v>8885.6789905479982</v>
      </c>
      <c r="V7" s="750">
        <f t="shared" si="4"/>
        <v>1254.4487986656</v>
      </c>
      <c r="W7" s="750">
        <f t="shared" si="9"/>
        <v>10140.127789213599</v>
      </c>
      <c r="X7" s="750">
        <f t="shared" si="5"/>
        <v>1442.6161184654397</v>
      </c>
      <c r="Y7" s="750">
        <f t="shared" si="6"/>
        <v>11896.356107345438</v>
      </c>
      <c r="AC7" s="564"/>
      <c r="AD7" s="865"/>
      <c r="AE7" s="865"/>
      <c r="AF7" s="865"/>
      <c r="AG7" s="865"/>
    </row>
    <row r="8" spans="1:33" s="566" customFormat="1" x14ac:dyDescent="0.35">
      <c r="A8" s="824" t="s">
        <v>556</v>
      </c>
      <c r="B8" s="613" t="s">
        <v>879</v>
      </c>
      <c r="C8" s="728" t="s">
        <v>802</v>
      </c>
      <c r="D8" s="614">
        <f t="shared" si="0"/>
        <v>40</v>
      </c>
      <c r="E8" s="745">
        <f>Input!$E$4</f>
        <v>243.88799999999998</v>
      </c>
      <c r="F8" s="595">
        <f>SUM(F62:F193)</f>
        <v>9694.1832989999984</v>
      </c>
      <c r="G8" s="595">
        <f>SUM(G62:G193)</f>
        <v>1337.7972952620003</v>
      </c>
      <c r="H8" s="594">
        <f t="shared" si="1"/>
        <v>11031.980594261999</v>
      </c>
      <c r="I8" s="786"/>
      <c r="J8" s="864"/>
      <c r="K8" s="786"/>
      <c r="L8" s="865"/>
      <c r="N8" s="752">
        <f>ROUND($F8*$AA$2/Input!$E$4/10,2)</f>
        <v>3.38</v>
      </c>
      <c r="O8" s="752">
        <f>ROUND($F8*(100%-$AA$2)/Input!$E$4/10,2)</f>
        <v>0.6</v>
      </c>
      <c r="P8" s="753">
        <f t="shared" si="7"/>
        <v>3.98</v>
      </c>
      <c r="Q8" s="752">
        <f t="shared" ref="Q8:Q17" si="12">N8*$AA$3+$O8*$AB$3</f>
        <v>0.51359999999999995</v>
      </c>
      <c r="R8" s="753">
        <f t="shared" si="8"/>
        <v>4.4935999999999998</v>
      </c>
      <c r="S8" s="755">
        <f t="shared" si="2"/>
        <v>0.54280557932798656</v>
      </c>
      <c r="U8" s="752">
        <f t="shared" si="3"/>
        <v>8240.0558041499989</v>
      </c>
      <c r="V8" s="752">
        <f t="shared" si="4"/>
        <v>1163.3019958799998</v>
      </c>
      <c r="W8" s="752">
        <f t="shared" si="9"/>
        <v>9403.3578000299985</v>
      </c>
      <c r="X8" s="752">
        <f t="shared" si="5"/>
        <v>1337.7972952620003</v>
      </c>
      <c r="Y8" s="752">
        <f t="shared" si="6"/>
        <v>11031.980594261999</v>
      </c>
      <c r="AC8" s="564"/>
      <c r="AD8" s="865"/>
      <c r="AE8" s="865"/>
      <c r="AF8" s="865"/>
      <c r="AG8" s="865"/>
    </row>
    <row r="9" spans="1:33" s="566" customFormat="1" x14ac:dyDescent="0.35">
      <c r="A9" s="825">
        <v>1</v>
      </c>
      <c r="B9" s="742" t="s">
        <v>1137</v>
      </c>
      <c r="C9" s="724"/>
      <c r="D9" s="596">
        <f t="shared" si="0"/>
        <v>17</v>
      </c>
      <c r="E9" s="597">
        <f>Input!$E$4</f>
        <v>243.88799999999998</v>
      </c>
      <c r="F9" s="743">
        <f>SUM(F62:F80)</f>
        <v>4077.4600369999998</v>
      </c>
      <c r="G9" s="743">
        <f>SUM(G62:G80)</f>
        <v>562.68948510600001</v>
      </c>
      <c r="H9" s="744">
        <f t="shared" si="1"/>
        <v>4640.1495221059995</v>
      </c>
      <c r="I9" s="786"/>
      <c r="J9" s="786"/>
      <c r="K9" s="786"/>
      <c r="L9" s="604"/>
      <c r="M9" s="604"/>
      <c r="N9" s="750">
        <f>ROUND($F9*$AA$2/Input!$E$4/10,2)</f>
        <v>1.42</v>
      </c>
      <c r="O9" s="750">
        <f>ROUND($F9*(100%-$AA$2)/Input!$E$4/10,2)</f>
        <v>0.25</v>
      </c>
      <c r="P9" s="751">
        <f t="shared" si="7"/>
        <v>1.67</v>
      </c>
      <c r="Q9" s="750">
        <f t="shared" si="12"/>
        <v>0.21539999999999998</v>
      </c>
      <c r="R9" s="751">
        <f t="shared" si="8"/>
        <v>1.8854</v>
      </c>
      <c r="S9" s="605">
        <f t="shared" si="2"/>
        <v>0.22830887237285968</v>
      </c>
      <c r="U9" s="750">
        <f t="shared" si="3"/>
        <v>3465.8410314499997</v>
      </c>
      <c r="V9" s="750">
        <f t="shared" si="4"/>
        <v>489.29520443999996</v>
      </c>
      <c r="W9" s="750">
        <f t="shared" si="9"/>
        <v>3955.1362358899996</v>
      </c>
      <c r="X9" s="750">
        <f t="shared" si="5"/>
        <v>562.68948510600001</v>
      </c>
      <c r="Y9" s="750">
        <f t="shared" si="6"/>
        <v>4640.1495221059995</v>
      </c>
      <c r="AC9" s="564"/>
      <c r="AD9" s="865"/>
      <c r="AE9" s="865"/>
      <c r="AF9" s="865"/>
      <c r="AG9" s="865"/>
    </row>
    <row r="10" spans="1:33" s="566" customFormat="1" x14ac:dyDescent="0.35">
      <c r="A10" s="825">
        <v>2</v>
      </c>
      <c r="B10" s="742" t="s">
        <v>828</v>
      </c>
      <c r="C10" s="724"/>
      <c r="D10" s="596">
        <f t="shared" si="0"/>
        <v>1</v>
      </c>
      <c r="E10" s="597">
        <f>Input!$E$4</f>
        <v>243.88799999999998</v>
      </c>
      <c r="F10" s="743">
        <f>SUM(F82:F112)</f>
        <v>219.31885</v>
      </c>
      <c r="G10" s="743">
        <f>SUM(G82:G112)</f>
        <v>30.266001299999999</v>
      </c>
      <c r="H10" s="744">
        <f t="shared" ref="H10:H23" si="13">SUM(F10:G10)</f>
        <v>249.5848513</v>
      </c>
      <c r="I10" s="786"/>
      <c r="J10" s="786"/>
      <c r="K10" s="786"/>
      <c r="L10" s="604"/>
      <c r="M10" s="604"/>
      <c r="N10" s="750">
        <f>ROUND($F10*$AA$2/Input!$E$4/10,2)</f>
        <v>0.08</v>
      </c>
      <c r="O10" s="750">
        <f>ROUND($F10*(100%-$AA$2)/Input!$E$4/10,2)</f>
        <v>0.01</v>
      </c>
      <c r="P10" s="751">
        <f t="shared" si="7"/>
        <v>0.09</v>
      </c>
      <c r="Q10" s="750">
        <f t="shared" si="12"/>
        <v>1.1399999999999999E-2</v>
      </c>
      <c r="R10" s="751">
        <f t="shared" si="8"/>
        <v>0.10139999999999999</v>
      </c>
      <c r="S10" s="605">
        <f t="shared" si="2"/>
        <v>1.2280301677819327E-2</v>
      </c>
      <c r="U10" s="750">
        <f t="shared" si="3"/>
        <v>186.42102249999999</v>
      </c>
      <c r="V10" s="750">
        <f t="shared" si="4"/>
        <v>26.318261999999997</v>
      </c>
      <c r="W10" s="750">
        <f t="shared" si="9"/>
        <v>212.7392845</v>
      </c>
      <c r="X10" s="750">
        <f t="shared" si="5"/>
        <v>30.266001299999999</v>
      </c>
      <c r="Y10" s="750">
        <f t="shared" si="6"/>
        <v>249.5848513</v>
      </c>
      <c r="AC10" s="564"/>
      <c r="AD10" s="865"/>
      <c r="AE10" s="865"/>
      <c r="AF10" s="865"/>
      <c r="AG10" s="865"/>
    </row>
    <row r="11" spans="1:33" s="566" customFormat="1" x14ac:dyDescent="0.35">
      <c r="A11" s="825">
        <v>3</v>
      </c>
      <c r="B11" s="742" t="s">
        <v>926</v>
      </c>
      <c r="C11" s="724"/>
      <c r="D11" s="596">
        <f t="shared" si="0"/>
        <v>16</v>
      </c>
      <c r="E11" s="597">
        <f>Input!$E$4</f>
        <v>243.88799999999998</v>
      </c>
      <c r="F11" s="743">
        <f>SUM(F114:F154)</f>
        <v>3922.9529000000007</v>
      </c>
      <c r="G11" s="743">
        <f>SUM(G114:G154)</f>
        <v>541.36750019999988</v>
      </c>
      <c r="H11" s="744">
        <f t="shared" si="13"/>
        <v>4464.3204002000002</v>
      </c>
      <c r="I11" s="786"/>
      <c r="J11" s="786"/>
      <c r="K11" s="786"/>
      <c r="L11" s="604"/>
      <c r="M11" s="604"/>
      <c r="N11" s="750">
        <f>ROUND($F11*$AA$2/Input!$E$4/10,2)</f>
        <v>1.37</v>
      </c>
      <c r="O11" s="750">
        <f>ROUND($F11*(100%-$AA$2)/Input!$E$4/10,2)</f>
        <v>0.24</v>
      </c>
      <c r="P11" s="751">
        <f t="shared" si="7"/>
        <v>1.61</v>
      </c>
      <c r="Q11" s="750">
        <f t="shared" si="12"/>
        <v>0.20760000000000001</v>
      </c>
      <c r="R11" s="751">
        <f t="shared" si="8"/>
        <v>1.8176000000000001</v>
      </c>
      <c r="S11" s="605">
        <f t="shared" si="2"/>
        <v>0.21965756741783118</v>
      </c>
      <c r="U11" s="750">
        <f t="shared" si="3"/>
        <v>3334.5099650000006</v>
      </c>
      <c r="V11" s="750">
        <f t="shared" si="4"/>
        <v>470.75434800000005</v>
      </c>
      <c r="W11" s="750">
        <f t="shared" si="9"/>
        <v>3805.2643130000006</v>
      </c>
      <c r="X11" s="750">
        <f t="shared" si="5"/>
        <v>541.36750019999988</v>
      </c>
      <c r="Y11" s="750">
        <f t="shared" si="6"/>
        <v>4464.3204002000002</v>
      </c>
      <c r="AC11" s="564"/>
      <c r="AD11" s="865"/>
      <c r="AE11" s="865"/>
      <c r="AF11" s="865"/>
      <c r="AG11" s="865"/>
    </row>
    <row r="12" spans="1:33" s="566" customFormat="1" x14ac:dyDescent="0.35">
      <c r="A12" s="825">
        <v>4</v>
      </c>
      <c r="B12" s="742" t="s">
        <v>924</v>
      </c>
      <c r="C12" s="724"/>
      <c r="D12" s="596">
        <f t="shared" si="0"/>
        <v>4</v>
      </c>
      <c r="E12" s="597">
        <f>Input!$E$4</f>
        <v>243.88799999999998</v>
      </c>
      <c r="F12" s="743">
        <f>SUM(F155:F177)</f>
        <v>1034.4515120000001</v>
      </c>
      <c r="G12" s="743">
        <f>SUM(G155:G177)</f>
        <v>142.75430865600001</v>
      </c>
      <c r="H12" s="744">
        <f t="shared" si="13"/>
        <v>1177.205820656</v>
      </c>
      <c r="I12" s="786"/>
      <c r="J12" s="786"/>
      <c r="K12" s="786"/>
      <c r="L12" s="604"/>
      <c r="M12" s="604"/>
      <c r="N12" s="750">
        <f>ROUND($F12*$AA$2/Input!$E$4/10,2)</f>
        <v>0.36</v>
      </c>
      <c r="O12" s="750">
        <f>ROUND($F12*(100%-$AA$2)/Input!$E$4/10,2)</f>
        <v>0.06</v>
      </c>
      <c r="P12" s="751">
        <f t="shared" si="7"/>
        <v>0.42</v>
      </c>
      <c r="Q12" s="750">
        <f t="shared" si="12"/>
        <v>5.3999999999999992E-2</v>
      </c>
      <c r="R12" s="751">
        <f t="shared" si="8"/>
        <v>0.47399999999999998</v>
      </c>
      <c r="S12" s="605">
        <f t="shared" si="2"/>
        <v>5.7921955356032277E-2</v>
      </c>
      <c r="U12" s="750">
        <f t="shared" si="3"/>
        <v>879.28378520000001</v>
      </c>
      <c r="V12" s="750">
        <f t="shared" si="4"/>
        <v>124.13418144000001</v>
      </c>
      <c r="W12" s="750">
        <f t="shared" si="9"/>
        <v>1003.41796664</v>
      </c>
      <c r="X12" s="750">
        <f t="shared" si="5"/>
        <v>142.75430865600001</v>
      </c>
      <c r="Y12" s="750">
        <f t="shared" si="6"/>
        <v>1177.205820656</v>
      </c>
      <c r="AC12" s="564"/>
      <c r="AD12" s="865"/>
      <c r="AE12" s="865"/>
      <c r="AF12" s="865"/>
      <c r="AG12" s="865"/>
    </row>
    <row r="13" spans="1:33" s="566" customFormat="1" ht="13" x14ac:dyDescent="0.35">
      <c r="A13" s="825">
        <v>5</v>
      </c>
      <c r="B13" s="742" t="s">
        <v>927</v>
      </c>
      <c r="C13" s="724"/>
      <c r="D13" s="596">
        <f t="shared" si="0"/>
        <v>2</v>
      </c>
      <c r="E13" s="597">
        <f>Input!$E$4</f>
        <v>243.88799999999998</v>
      </c>
      <c r="F13" s="743">
        <f>SUM(F179:F193)</f>
        <v>440</v>
      </c>
      <c r="G13" s="743">
        <f>SUM(G155:G164)</f>
        <v>60.50410065600002</v>
      </c>
      <c r="H13" s="744">
        <f t="shared" si="13"/>
        <v>500.50410065599999</v>
      </c>
      <c r="I13" s="786"/>
      <c r="J13" s="1249"/>
      <c r="K13" s="786"/>
      <c r="L13" s="1210"/>
      <c r="M13" s="604"/>
      <c r="N13" s="750">
        <f>ROUND($F13*$AA$2/Input!$E$4/10,2)</f>
        <v>0.15</v>
      </c>
      <c r="O13" s="750">
        <f>ROUND($F13*(100%-$AA$2)/Input!$E$4/10,2)</f>
        <v>0.03</v>
      </c>
      <c r="P13" s="751">
        <f t="shared" si="7"/>
        <v>0.18</v>
      </c>
      <c r="Q13" s="750">
        <f t="shared" si="12"/>
        <v>2.3399999999999997E-2</v>
      </c>
      <c r="R13" s="751">
        <f t="shared" si="8"/>
        <v>0.2034</v>
      </c>
      <c r="S13" s="605">
        <f t="shared" si="2"/>
        <v>2.4626259626845112E-2</v>
      </c>
      <c r="U13" s="750">
        <f t="shared" si="3"/>
        <v>374</v>
      </c>
      <c r="V13" s="750">
        <f t="shared" si="4"/>
        <v>52.8</v>
      </c>
      <c r="W13" s="750">
        <f t="shared" si="9"/>
        <v>426.8</v>
      </c>
      <c r="X13" s="750">
        <f t="shared" si="5"/>
        <v>60.50410065600002</v>
      </c>
      <c r="Y13" s="750">
        <f t="shared" si="6"/>
        <v>500.50410065599999</v>
      </c>
      <c r="AC13" s="564"/>
      <c r="AD13" s="865"/>
      <c r="AE13" s="865"/>
      <c r="AF13" s="865"/>
      <c r="AG13" s="865"/>
    </row>
    <row r="14" spans="1:33" s="566" customFormat="1" ht="12.5" x14ac:dyDescent="0.35">
      <c r="A14" s="824" t="s">
        <v>595</v>
      </c>
      <c r="B14" s="613" t="s">
        <v>929</v>
      </c>
      <c r="C14" s="728" t="s">
        <v>802</v>
      </c>
      <c r="D14" s="614">
        <f t="shared" si="0"/>
        <v>7</v>
      </c>
      <c r="E14" s="745">
        <f>Input!$E$4</f>
        <v>243.88799999999998</v>
      </c>
      <c r="F14" s="594">
        <f>SUM(F15:F17)</f>
        <v>1663.1343200000001</v>
      </c>
      <c r="G14" s="594">
        <f>SUM(G15:G17)</f>
        <v>229.51253616</v>
      </c>
      <c r="H14" s="594">
        <f t="shared" si="13"/>
        <v>1892.6468561600002</v>
      </c>
      <c r="I14" s="786"/>
      <c r="J14" s="1250"/>
      <c r="K14" s="786"/>
      <c r="N14" s="752">
        <f>ROUND($F14*$AA$2/Input!$E$4/10,2)</f>
        <v>0.57999999999999996</v>
      </c>
      <c r="O14" s="752">
        <f>ROUND($F14*(100%-$AA$2)/Input!$E$4/10,2)</f>
        <v>0.1</v>
      </c>
      <c r="P14" s="753">
        <f>SUM(N14:O14)</f>
        <v>0.67999999999999994</v>
      </c>
      <c r="Q14" s="752">
        <f t="shared" si="12"/>
        <v>8.7599999999999997E-2</v>
      </c>
      <c r="R14" s="753">
        <f>P14+Q14</f>
        <v>0.76759999999999995</v>
      </c>
      <c r="S14" s="754">
        <f t="shared" si="2"/>
        <v>9.3123738248376317E-2</v>
      </c>
      <c r="U14" s="752">
        <f t="shared" si="3"/>
        <v>1413.664172</v>
      </c>
      <c r="V14" s="752">
        <f t="shared" si="4"/>
        <v>199.57611840000001</v>
      </c>
      <c r="W14" s="752">
        <f t="shared" si="9"/>
        <v>1613.2402904</v>
      </c>
      <c r="X14" s="752">
        <f t="shared" si="5"/>
        <v>229.51253616</v>
      </c>
      <c r="Y14" s="752">
        <f t="shared" si="6"/>
        <v>1892.6468561600002</v>
      </c>
      <c r="AC14" s="564"/>
      <c r="AD14" s="865"/>
      <c r="AE14" s="865"/>
      <c r="AF14" s="865"/>
      <c r="AG14" s="865"/>
    </row>
    <row r="15" spans="1:33" s="566" customFormat="1" ht="12.5" x14ac:dyDescent="0.35">
      <c r="A15" s="825"/>
      <c r="B15" s="742" t="s">
        <v>433</v>
      </c>
      <c r="C15" s="724"/>
      <c r="D15" s="596"/>
      <c r="E15" s="597"/>
      <c r="F15" s="743">
        <f>SUM(F196:F200)</f>
        <v>308.13432</v>
      </c>
      <c r="G15" s="743">
        <f>SUM(G196:G200)</f>
        <v>42.522536160000001</v>
      </c>
      <c r="H15" s="744">
        <f>SUM(H196:H200)</f>
        <v>350.65685615999996</v>
      </c>
      <c r="I15" s="786"/>
      <c r="J15" s="1250"/>
      <c r="K15" s="786"/>
      <c r="L15" s="604"/>
      <c r="M15" s="604"/>
      <c r="N15" s="750">
        <f>ROUND($F15*$AA$2/Input!$E$4/10,2)</f>
        <v>0.11</v>
      </c>
      <c r="O15" s="750">
        <f>ROUND($F15*(100%-$AA$2)/Input!$E$4/10,2)</f>
        <v>0.02</v>
      </c>
      <c r="P15" s="751">
        <f>SUM(N15:O15)</f>
        <v>0.13</v>
      </c>
      <c r="Q15" s="750">
        <f t="shared" si="12"/>
        <v>1.6799999999999999E-2</v>
      </c>
      <c r="R15" s="751">
        <f>P15+Q15</f>
        <v>0.14680000000000001</v>
      </c>
      <c r="S15" s="605">
        <f t="shared" si="2"/>
        <v>1.7253338720724268E-2</v>
      </c>
      <c r="U15" s="750">
        <f t="shared" si="3"/>
        <v>261.91417200000001</v>
      </c>
      <c r="V15" s="750">
        <f t="shared" si="4"/>
        <v>36.976118399999997</v>
      </c>
      <c r="W15" s="750">
        <f t="shared" si="9"/>
        <v>298.89029040000003</v>
      </c>
      <c r="X15" s="750">
        <f t="shared" si="5"/>
        <v>42.522536160000001</v>
      </c>
      <c r="Y15" s="750">
        <f t="shared" si="6"/>
        <v>350.65685615999996</v>
      </c>
      <c r="AC15" s="564"/>
      <c r="AD15" s="865"/>
      <c r="AE15" s="865"/>
      <c r="AF15" s="865"/>
      <c r="AG15" s="865"/>
    </row>
    <row r="16" spans="1:33" s="566" customFormat="1" ht="12.5" x14ac:dyDescent="0.35">
      <c r="A16" s="825"/>
      <c r="B16" s="742" t="s">
        <v>933</v>
      </c>
      <c r="C16" s="724"/>
      <c r="D16" s="596"/>
      <c r="E16" s="597"/>
      <c r="F16" s="743">
        <f>SUM(F202:F204)</f>
        <v>280</v>
      </c>
      <c r="G16" s="743">
        <f t="shared" ref="G16:H16" si="14">SUM(G202:G204)</f>
        <v>38.64</v>
      </c>
      <c r="H16" s="743">
        <f t="shared" si="14"/>
        <v>318.64</v>
      </c>
      <c r="I16" s="786"/>
      <c r="J16" s="1250"/>
      <c r="K16" s="786"/>
      <c r="L16" s="604"/>
      <c r="M16" s="604"/>
      <c r="N16" s="750">
        <f>ROUND($F16*$AA$2/Input!$E$4/10,2)</f>
        <v>0.1</v>
      </c>
      <c r="O16" s="750">
        <f>ROUND($F16*(100%-$AA$2)/Input!$E$4/10,2)</f>
        <v>0.02</v>
      </c>
      <c r="P16" s="751">
        <f>SUM(N16:O16)</f>
        <v>0.12000000000000001</v>
      </c>
      <c r="Q16" s="750">
        <f t="shared" si="12"/>
        <v>1.5599999999999999E-2</v>
      </c>
      <c r="R16" s="751">
        <f>P16+Q16</f>
        <v>0.1356</v>
      </c>
      <c r="S16" s="605">
        <f t="shared" si="2"/>
        <v>1.5678016138555403E-2</v>
      </c>
      <c r="U16" s="750">
        <f t="shared" si="3"/>
        <v>238</v>
      </c>
      <c r="V16" s="750">
        <f t="shared" si="4"/>
        <v>33.6</v>
      </c>
      <c r="W16" s="750">
        <f t="shared" si="9"/>
        <v>271.60000000000002</v>
      </c>
      <c r="X16" s="750">
        <f t="shared" si="5"/>
        <v>38.64</v>
      </c>
      <c r="Y16" s="750">
        <f t="shared" si="6"/>
        <v>318.64</v>
      </c>
      <c r="AC16" s="564"/>
      <c r="AD16" s="865"/>
      <c r="AE16" s="865"/>
      <c r="AF16" s="865"/>
      <c r="AG16" s="865"/>
    </row>
    <row r="17" spans="1:33" s="566" customFormat="1" ht="12.5" x14ac:dyDescent="0.35">
      <c r="A17" s="825"/>
      <c r="B17" s="742" t="s">
        <v>596</v>
      </c>
      <c r="C17" s="724"/>
      <c r="D17" s="596"/>
      <c r="E17" s="597"/>
      <c r="F17" s="743">
        <f>SUM(F206:F214)</f>
        <v>1075</v>
      </c>
      <c r="G17" s="743">
        <f>SUM(G206:G214)</f>
        <v>148.35</v>
      </c>
      <c r="H17" s="743">
        <f>SUM(H206:H214)</f>
        <v>1223.3499999999999</v>
      </c>
      <c r="I17" s="786"/>
      <c r="J17" s="1251"/>
      <c r="K17" s="786"/>
      <c r="L17" s="604"/>
      <c r="M17" s="604"/>
      <c r="N17" s="750">
        <f>ROUND($F17*$AA$2/Input!$E$4/10,2)</f>
        <v>0.37</v>
      </c>
      <c r="O17" s="750">
        <f>ROUND($F17*(100%-$AA$2)/Input!$E$4/10,2)</f>
        <v>7.0000000000000007E-2</v>
      </c>
      <c r="P17" s="751">
        <f>SUM(N17:O17)</f>
        <v>0.44</v>
      </c>
      <c r="Q17" s="750">
        <f t="shared" si="12"/>
        <v>5.6999999999999995E-2</v>
      </c>
      <c r="R17" s="751">
        <f>P17+Q17</f>
        <v>0.497</v>
      </c>
      <c r="S17" s="605">
        <f t="shared" si="2"/>
        <v>6.0192383389096632E-2</v>
      </c>
      <c r="U17" s="750">
        <f t="shared" si="3"/>
        <v>913.75</v>
      </c>
      <c r="V17" s="750">
        <f t="shared" si="4"/>
        <v>129</v>
      </c>
      <c r="W17" s="750">
        <f t="shared" si="9"/>
        <v>1042.75</v>
      </c>
      <c r="X17" s="750">
        <f t="shared" si="5"/>
        <v>148.35</v>
      </c>
      <c r="Y17" s="750">
        <f t="shared" si="6"/>
        <v>1223.3499999999999</v>
      </c>
      <c r="AC17" s="564"/>
      <c r="AD17" s="865"/>
      <c r="AE17" s="865"/>
      <c r="AF17" s="865"/>
      <c r="AG17" s="865"/>
    </row>
    <row r="18" spans="1:33" s="566" customFormat="1" ht="12.5" x14ac:dyDescent="0.35">
      <c r="A18" s="826"/>
      <c r="B18" s="746" t="s">
        <v>830</v>
      </c>
      <c r="C18" s="747"/>
      <c r="D18" s="748"/>
      <c r="E18" s="749"/>
      <c r="F18" s="646">
        <f>SUM(F2,F3,F4,F8,F14)</f>
        <v>85666.161088798588</v>
      </c>
      <c r="G18" s="646">
        <f>SUM(G2,G3,G4,G8,G14)</f>
        <v>11821.930230254209</v>
      </c>
      <c r="H18" s="646">
        <f>SUM(H2,H3,H4,H8,H14)</f>
        <v>97488.091319052808</v>
      </c>
      <c r="I18" s="786"/>
      <c r="J18" s="1251"/>
      <c r="K18" s="786"/>
      <c r="N18" s="752">
        <f>SUM(N2,N3,N4,N8,N14)</f>
        <v>29.859999999999996</v>
      </c>
      <c r="O18" s="752">
        <f>SUM(O2,O3,O4,O8,O14)</f>
        <v>5.27</v>
      </c>
      <c r="P18" s="753">
        <f>SUM(P2,P3,P4,P8,P14)</f>
        <v>35.129999999999995</v>
      </c>
      <c r="Q18" s="752">
        <f>SUM(Q2,Q3,Q4,Q8,Q14)</f>
        <v>4.5317999999999996</v>
      </c>
      <c r="R18" s="753">
        <f>SUM(R2,R3,R4,R8,R14)</f>
        <v>39.661799999999999</v>
      </c>
      <c r="S18" s="754">
        <f t="shared" si="2"/>
        <v>4.7966980574223985</v>
      </c>
      <c r="U18" s="752">
        <f t="shared" si="3"/>
        <v>72816.236925478792</v>
      </c>
      <c r="V18" s="752">
        <f t="shared" si="4"/>
        <v>10279.93933065583</v>
      </c>
      <c r="W18" s="752">
        <f t="shared" si="9"/>
        <v>83096.176256134626</v>
      </c>
      <c r="X18" s="752">
        <f t="shared" si="5"/>
        <v>11821.930230254209</v>
      </c>
      <c r="Y18" s="752">
        <f t="shared" si="6"/>
        <v>97488.091319052808</v>
      </c>
      <c r="AC18" s="564"/>
      <c r="AD18" s="865"/>
      <c r="AE18" s="865"/>
      <c r="AF18" s="865"/>
      <c r="AG18" s="865"/>
    </row>
    <row r="19" spans="1:33" s="566" customFormat="1" ht="24" customHeight="1" x14ac:dyDescent="0.35">
      <c r="A19" s="827"/>
      <c r="B19" s="593" t="s">
        <v>930</v>
      </c>
      <c r="C19" s="724"/>
      <c r="D19" s="596"/>
      <c r="E19" s="598"/>
      <c r="F19" s="595">
        <f>SUM(F216:F220)</f>
        <v>2941.3852414170478</v>
      </c>
      <c r="G19" s="595">
        <f>SUM(G216:G220)</f>
        <v>405.91116331555259</v>
      </c>
      <c r="H19" s="603">
        <f t="shared" si="13"/>
        <v>3347.2964047326004</v>
      </c>
      <c r="I19" s="786"/>
      <c r="J19" s="1251"/>
      <c r="K19" s="786"/>
      <c r="N19" s="750">
        <f>ROUND($F19*$AA$2/Input!$E$4/10,2)</f>
        <v>1.03</v>
      </c>
      <c r="O19" s="750">
        <f>ROUND($F19*(100%-$AA$2)/Input!$E$4/10,2)</f>
        <v>0.18</v>
      </c>
      <c r="P19" s="751">
        <f t="shared" si="7"/>
        <v>1.21</v>
      </c>
      <c r="Q19" s="750">
        <f>N19*$AA$3+$O19*$AB$3</f>
        <v>0.156</v>
      </c>
      <c r="R19" s="751">
        <f t="shared" si="8"/>
        <v>1.3659999999999999</v>
      </c>
      <c r="S19" s="605">
        <f t="shared" si="2"/>
        <v>0.164696733159447</v>
      </c>
      <c r="U19" s="750">
        <f t="shared" si="3"/>
        <v>2500.1774552044908</v>
      </c>
      <c r="V19" s="750">
        <f t="shared" si="4"/>
        <v>352.96622897004573</v>
      </c>
      <c r="W19" s="750">
        <f t="shared" si="9"/>
        <v>2853.1436841745367</v>
      </c>
      <c r="X19" s="750">
        <f t="shared" si="5"/>
        <v>405.91116331555259</v>
      </c>
      <c r="Y19" s="750">
        <f t="shared" si="6"/>
        <v>3347.2964047326004</v>
      </c>
      <c r="AC19" s="564"/>
      <c r="AD19" s="865"/>
      <c r="AE19" s="865"/>
      <c r="AF19" s="865"/>
      <c r="AG19" s="865"/>
    </row>
    <row r="20" spans="1:33" s="566" customFormat="1" ht="12.5" x14ac:dyDescent="0.35">
      <c r="A20" s="824"/>
      <c r="B20" s="613" t="s">
        <v>811</v>
      </c>
      <c r="C20" s="728"/>
      <c r="D20" s="614"/>
      <c r="E20" s="615"/>
      <c r="F20" s="646">
        <f>F18+F19</f>
        <v>88607.546330215642</v>
      </c>
      <c r="G20" s="646">
        <f>G18+G19</f>
        <v>12227.841393569761</v>
      </c>
      <c r="H20" s="646">
        <f t="shared" si="13"/>
        <v>100835.3877237854</v>
      </c>
      <c r="I20" s="786"/>
      <c r="J20" s="1251"/>
      <c r="K20" s="786"/>
      <c r="N20" s="756">
        <f>ROUND($F20*$AA$2/Input!$E$4/10,2)</f>
        <v>30.88</v>
      </c>
      <c r="O20" s="756">
        <f>ROUND($F20*(100%-$AA$2)/Input!$E$4/10,2)</f>
        <v>5.45</v>
      </c>
      <c r="P20" s="757">
        <f t="shared" si="7"/>
        <v>36.33</v>
      </c>
      <c r="Q20" s="756">
        <f>N20*$AA$3+$O20*$AB$3</f>
        <v>4.6865999999999994</v>
      </c>
      <c r="R20" s="757">
        <f t="shared" si="8"/>
        <v>41.016599999999997</v>
      </c>
      <c r="S20" s="607">
        <f t="shared" si="2"/>
        <v>4.9613947905818447</v>
      </c>
      <c r="U20" s="756">
        <f t="shared" si="3"/>
        <v>75316.414380683287</v>
      </c>
      <c r="V20" s="756">
        <f t="shared" si="4"/>
        <v>10632.905559625877</v>
      </c>
      <c r="W20" s="756">
        <f t="shared" si="9"/>
        <v>85949.319940309157</v>
      </c>
      <c r="X20" s="756">
        <f t="shared" si="5"/>
        <v>12227.841393569761</v>
      </c>
      <c r="Y20" s="756">
        <f t="shared" si="6"/>
        <v>100835.3877237854</v>
      </c>
      <c r="AC20" s="564"/>
      <c r="AD20" s="865"/>
      <c r="AE20" s="865"/>
      <c r="AF20" s="865"/>
      <c r="AG20" s="865"/>
    </row>
    <row r="21" spans="1:33" s="566" customFormat="1" ht="12.5" x14ac:dyDescent="0.35">
      <c r="A21" s="827"/>
      <c r="B21" s="593" t="s">
        <v>917</v>
      </c>
      <c r="C21" s="724"/>
      <c r="D21" s="596"/>
      <c r="E21" s="598"/>
      <c r="F21" s="595">
        <f>F221</f>
        <v>6508.2021415038871</v>
      </c>
      <c r="G21" s="595">
        <f>G221</f>
        <v>898.13189552753647</v>
      </c>
      <c r="H21" s="603">
        <f>SUM(F21:G21)</f>
        <v>7406.3340370314236</v>
      </c>
      <c r="I21" s="786"/>
      <c r="J21" s="1250"/>
      <c r="K21" s="786"/>
      <c r="N21" s="750">
        <f>ROUND($F21*$AA$2/Input!$E$4/10,2)</f>
        <v>2.27</v>
      </c>
      <c r="O21" s="750">
        <f>ROUND($F21*(100%-$AA$2)/Input!$E$4/10,2)</f>
        <v>0.4</v>
      </c>
      <c r="P21" s="751">
        <f>SUM(N21:O21)</f>
        <v>2.67</v>
      </c>
      <c r="Q21" s="750">
        <f>N21*$AA$3+$O21*$AB$3</f>
        <v>0.34439999999999998</v>
      </c>
      <c r="R21" s="751">
        <f>P21+Q21</f>
        <v>3.0143999999999997</v>
      </c>
      <c r="S21" s="605">
        <f t="shared" si="2"/>
        <v>0.36441320788385279</v>
      </c>
      <c r="U21" s="750">
        <f t="shared" si="3"/>
        <v>5531.9718202783042</v>
      </c>
      <c r="V21" s="750">
        <f t="shared" si="4"/>
        <v>780.9842569804664</v>
      </c>
      <c r="W21" s="750">
        <f t="shared" si="9"/>
        <v>6312.9560772587702</v>
      </c>
      <c r="X21" s="750">
        <f t="shared" si="5"/>
        <v>898.13189552753647</v>
      </c>
      <c r="Y21" s="750">
        <f t="shared" si="6"/>
        <v>7406.3340370314236</v>
      </c>
      <c r="AC21" s="564"/>
      <c r="AD21" s="865"/>
      <c r="AE21" s="865"/>
      <c r="AF21" s="865"/>
      <c r="AG21" s="865"/>
    </row>
    <row r="22" spans="1:33" s="566" customFormat="1" ht="12.5" x14ac:dyDescent="0.35">
      <c r="A22" s="824"/>
      <c r="B22" s="613" t="s">
        <v>954</v>
      </c>
      <c r="C22" s="728"/>
      <c r="D22" s="614"/>
      <c r="E22" s="615"/>
      <c r="F22" s="646">
        <f>F20+F21</f>
        <v>95115.748471719533</v>
      </c>
      <c r="G22" s="646">
        <f>G20+G21</f>
        <v>13125.973289097297</v>
      </c>
      <c r="H22" s="646">
        <f>H20+H21</f>
        <v>108241.72176081683</v>
      </c>
      <c r="I22" s="786"/>
      <c r="J22" s="1250"/>
      <c r="K22" s="786"/>
      <c r="M22" s="865"/>
      <c r="N22" s="756">
        <f>N20+N21</f>
        <v>33.15</v>
      </c>
      <c r="O22" s="756">
        <f>O20+O21</f>
        <v>5.8500000000000005</v>
      </c>
      <c r="P22" s="757">
        <f>P20+P21</f>
        <v>39</v>
      </c>
      <c r="Q22" s="756">
        <f>Q20+Q21</f>
        <v>5.0309999999999997</v>
      </c>
      <c r="R22" s="757">
        <f>R20+R21</f>
        <v>44.030999999999999</v>
      </c>
      <c r="S22" s="761">
        <f t="shared" si="2"/>
        <v>5.3258079984656979</v>
      </c>
      <c r="U22" s="756">
        <f t="shared" si="3"/>
        <v>80848.386200961599</v>
      </c>
      <c r="V22" s="756">
        <f t="shared" si="4"/>
        <v>11413.889816606343</v>
      </c>
      <c r="W22" s="756">
        <f t="shared" si="9"/>
        <v>92262.276017567943</v>
      </c>
      <c r="X22" s="756">
        <f t="shared" si="5"/>
        <v>13125.973289097297</v>
      </c>
      <c r="Y22" s="756">
        <f t="shared" si="6"/>
        <v>108241.72176081683</v>
      </c>
      <c r="AC22" s="564"/>
      <c r="AD22" s="865"/>
      <c r="AE22" s="865"/>
      <c r="AF22" s="865"/>
      <c r="AG22" s="865"/>
    </row>
    <row r="23" spans="1:33" s="566" customFormat="1" hidden="1" x14ac:dyDescent="0.35">
      <c r="A23" s="827"/>
      <c r="B23" s="616" t="s">
        <v>561</v>
      </c>
      <c r="C23" s="724"/>
      <c r="D23" s="596"/>
      <c r="E23" s="598"/>
      <c r="F23" s="595">
        <f>SUM(F222:F227)</f>
        <v>638.79999999999995</v>
      </c>
      <c r="G23" s="595">
        <f>SUM(G222:G227)</f>
        <v>88.154399999999995</v>
      </c>
      <c r="H23" s="603">
        <f t="shared" si="13"/>
        <v>726.95439999999996</v>
      </c>
      <c r="N23" s="750">
        <f>ROUND($F23*$AA$2/Input!$E$4/10,2)</f>
        <v>0.22</v>
      </c>
      <c r="O23" s="750">
        <f>ROUND($F23*(100%-$AA$2)/Input!$E$4/10,2)</f>
        <v>0.04</v>
      </c>
      <c r="P23" s="751">
        <f t="shared" si="7"/>
        <v>0.26</v>
      </c>
      <c r="Q23" s="750">
        <f>N23*$AA$3+$O23*$AB$3</f>
        <v>3.3599999999999998E-2</v>
      </c>
      <c r="R23" s="751">
        <f t="shared" si="8"/>
        <v>0.29360000000000003</v>
      </c>
      <c r="S23" s="617">
        <f t="shared" si="2"/>
        <v>3.5768273961818545E-2</v>
      </c>
      <c r="U23" s="750">
        <f t="shared" si="3"/>
        <v>542.9799999999999</v>
      </c>
      <c r="V23" s="750">
        <f t="shared" si="4"/>
        <v>76.655999999999992</v>
      </c>
      <c r="W23" s="750">
        <f t="shared" si="9"/>
        <v>619.63599999999985</v>
      </c>
      <c r="X23" s="750">
        <f t="shared" si="5"/>
        <v>88.154399999999995</v>
      </c>
      <c r="Y23" s="750">
        <f t="shared" si="6"/>
        <v>726.95439999999996</v>
      </c>
      <c r="AC23" s="564"/>
      <c r="AD23" s="865"/>
      <c r="AE23" s="865"/>
      <c r="AF23" s="865"/>
      <c r="AG23" s="865"/>
    </row>
    <row r="24" spans="1:33" s="566" customFormat="1" x14ac:dyDescent="0.35">
      <c r="A24" s="417"/>
      <c r="C24" s="417"/>
      <c r="H24" s="786"/>
      <c r="S24" s="839"/>
      <c r="Y24" s="566">
        <f t="shared" si="6"/>
        <v>0</v>
      </c>
      <c r="Z24" s="864"/>
    </row>
    <row r="25" spans="1:33" x14ac:dyDescent="0.35">
      <c r="A25" s="729"/>
      <c r="B25" s="618" t="s">
        <v>421</v>
      </c>
      <c r="C25" s="729"/>
      <c r="D25" s="618"/>
      <c r="E25" s="1079" t="s">
        <v>28</v>
      </c>
      <c r="F25" s="620"/>
      <c r="G25" s="620"/>
      <c r="H25" s="620"/>
      <c r="I25" s="566"/>
      <c r="J25" s="566"/>
      <c r="K25" s="566"/>
      <c r="L25" s="566"/>
      <c r="M25" s="566"/>
      <c r="N25" s="620"/>
      <c r="O25" s="620"/>
      <c r="P25" s="620"/>
      <c r="Q25" s="620"/>
      <c r="R25" s="620"/>
      <c r="S25" s="620"/>
      <c r="U25" s="620"/>
      <c r="V25" s="620"/>
      <c r="W25" s="620"/>
      <c r="X25" s="620"/>
      <c r="Y25" s="620"/>
    </row>
    <row r="26" spans="1:33" x14ac:dyDescent="0.35">
      <c r="B26" s="416" t="s">
        <v>618</v>
      </c>
      <c r="C26" s="726" t="s">
        <v>619</v>
      </c>
      <c r="D26" s="569"/>
      <c r="E26" s="570">
        <f>Input!E4</f>
        <v>243.88799999999998</v>
      </c>
      <c r="H26" s="717"/>
    </row>
    <row r="27" spans="1:33" x14ac:dyDescent="0.35">
      <c r="B27" s="416" t="s">
        <v>618</v>
      </c>
      <c r="C27" s="726" t="s">
        <v>652</v>
      </c>
      <c r="D27" s="569"/>
      <c r="E27" s="570">
        <f>Input!E6</f>
        <v>203.23999999999998</v>
      </c>
      <c r="F27" s="564"/>
    </row>
    <row r="28" spans="1:33" x14ac:dyDescent="0.35">
      <c r="B28" s="416" t="s">
        <v>620</v>
      </c>
      <c r="C28" s="725">
        <v>4400</v>
      </c>
      <c r="D28" s="571"/>
      <c r="E28" s="570">
        <f>Input!D16</f>
        <v>44</v>
      </c>
      <c r="F28" s="571"/>
      <c r="H28" s="713"/>
      <c r="I28" s="418"/>
      <c r="J28" s="418"/>
      <c r="K28" s="418"/>
      <c r="L28" s="418"/>
      <c r="M28" s="418"/>
      <c r="N28" s="418"/>
      <c r="O28" s="418"/>
      <c r="P28" s="418"/>
      <c r="Q28" s="418"/>
      <c r="R28" s="418"/>
      <c r="S28" s="418"/>
      <c r="T28" s="418"/>
      <c r="U28" s="418"/>
    </row>
    <row r="29" spans="1:33" x14ac:dyDescent="0.35">
      <c r="B29" s="416" t="s">
        <v>620</v>
      </c>
      <c r="C29" s="725">
        <v>1100</v>
      </c>
      <c r="D29" s="571"/>
      <c r="E29" s="570">
        <f>Input!E16</f>
        <v>12</v>
      </c>
      <c r="F29" s="571"/>
      <c r="G29" s="418"/>
      <c r="H29" s="713"/>
      <c r="I29" s="418"/>
      <c r="J29" s="418"/>
      <c r="K29" s="418"/>
      <c r="L29" s="418"/>
      <c r="M29" s="418"/>
      <c r="N29" s="418"/>
      <c r="O29" s="418"/>
      <c r="P29" s="418"/>
      <c r="Q29" s="418"/>
      <c r="R29" s="418"/>
      <c r="S29" s="418"/>
      <c r="T29" s="420"/>
      <c r="U29" s="420"/>
    </row>
    <row r="30" spans="1:33" x14ac:dyDescent="0.35">
      <c r="B30" s="1076" t="s">
        <v>621</v>
      </c>
      <c r="C30" s="1077" t="s">
        <v>28</v>
      </c>
      <c r="D30" s="569"/>
      <c r="E30" s="1078">
        <f>Input!E22+Input!D22</f>
        <v>420544</v>
      </c>
      <c r="F30" s="418"/>
      <c r="G30" s="418"/>
      <c r="H30" s="418"/>
      <c r="I30" s="418"/>
      <c r="J30" s="418"/>
      <c r="K30" s="418"/>
      <c r="L30" s="418"/>
      <c r="M30" s="418"/>
      <c r="N30" s="418"/>
      <c r="O30" s="418"/>
      <c r="P30" s="418"/>
      <c r="Q30" s="418"/>
      <c r="R30" s="418"/>
      <c r="S30" s="418"/>
      <c r="T30" s="418"/>
      <c r="U30" s="420"/>
    </row>
    <row r="31" spans="1:33" x14ac:dyDescent="0.35">
      <c r="B31" s="416" t="s">
        <v>622</v>
      </c>
      <c r="C31" s="726" t="s">
        <v>69</v>
      </c>
      <c r="D31" s="569"/>
      <c r="E31" s="840">
        <f>Input!D13</f>
        <v>580</v>
      </c>
      <c r="F31" s="418"/>
      <c r="G31" s="418"/>
      <c r="H31" s="418"/>
      <c r="I31" s="418"/>
      <c r="J31" s="418"/>
      <c r="K31" s="418"/>
      <c r="L31" s="418"/>
      <c r="M31" s="418"/>
      <c r="N31" s="418"/>
      <c r="O31" s="418"/>
      <c r="P31" s="418"/>
      <c r="Q31" s="418"/>
      <c r="R31" s="418"/>
      <c r="S31" s="418"/>
      <c r="T31" s="420"/>
      <c r="U31" s="565"/>
    </row>
    <row r="32" spans="1:33" x14ac:dyDescent="0.35">
      <c r="B32" s="416" t="s">
        <v>623</v>
      </c>
      <c r="C32" s="726" t="s">
        <v>28</v>
      </c>
      <c r="D32" s="569"/>
      <c r="E32" s="840">
        <f>Input!D18</f>
        <v>28</v>
      </c>
      <c r="O32" s="564">
        <f>SUM(O36:O39)+(O41+O42)+SUM(O53:O56)</f>
        <v>2.91</v>
      </c>
      <c r="T32" s="565"/>
    </row>
    <row r="33" spans="1:32" x14ac:dyDescent="0.35">
      <c r="B33" s="416"/>
      <c r="C33" s="726"/>
      <c r="D33" s="569"/>
      <c r="E33" s="568"/>
    </row>
    <row r="34" spans="1:32" x14ac:dyDescent="0.35">
      <c r="A34" s="729"/>
      <c r="B34" s="618" t="s">
        <v>898</v>
      </c>
      <c r="C34" s="729"/>
      <c r="D34" s="727"/>
      <c r="E34" s="619"/>
      <c r="F34" s="619"/>
      <c r="G34" s="619"/>
      <c r="H34" s="619"/>
      <c r="I34" s="620"/>
      <c r="J34" s="620"/>
      <c r="K34" s="620"/>
      <c r="L34" s="620"/>
      <c r="M34" s="620"/>
      <c r="N34" s="620"/>
      <c r="O34" s="620"/>
      <c r="P34" s="620"/>
      <c r="Q34" s="620"/>
      <c r="R34" s="620"/>
      <c r="S34" s="619" t="s">
        <v>30</v>
      </c>
      <c r="T34" s="1137"/>
      <c r="U34" s="620"/>
      <c r="V34" s="620"/>
      <c r="W34" s="620"/>
      <c r="X34" s="620"/>
      <c r="Y34" s="620"/>
    </row>
    <row r="35" spans="1:32" x14ac:dyDescent="0.35">
      <c r="A35" s="828" t="s">
        <v>268</v>
      </c>
      <c r="B35" s="483" t="s">
        <v>624</v>
      </c>
      <c r="C35" s="730"/>
      <c r="D35" s="485"/>
      <c r="E35" s="484"/>
      <c r="F35" s="484"/>
      <c r="G35" s="484"/>
      <c r="H35" s="723"/>
      <c r="N35" s="484"/>
      <c r="O35" s="484"/>
      <c r="P35" s="484"/>
      <c r="Q35" s="484"/>
      <c r="R35" s="484"/>
      <c r="S35" s="590"/>
      <c r="T35" s="486"/>
      <c r="U35" s="484"/>
      <c r="V35" s="484"/>
      <c r="W35" s="484"/>
      <c r="X35" s="484"/>
      <c r="Y35" s="484"/>
      <c r="Z35" s="574"/>
    </row>
    <row r="36" spans="1:32" outlineLevel="1" x14ac:dyDescent="0.35">
      <c r="A36" s="417">
        <v>1</v>
      </c>
      <c r="B36" s="566" t="s">
        <v>751</v>
      </c>
      <c r="C36" s="415" t="s">
        <v>28</v>
      </c>
      <c r="D36" s="572">
        <f>Input!$D$36*$E$31</f>
        <v>9187.2000000000007</v>
      </c>
      <c r="E36" s="820">
        <f>Input!D22+Input!E22</f>
        <v>420544</v>
      </c>
      <c r="F36" s="821">
        <f>D36*E36/10^5</f>
        <v>38636.218368000002</v>
      </c>
      <c r="G36" s="821">
        <f>$F36*$S36</f>
        <v>5331.7981347840005</v>
      </c>
      <c r="H36" s="821">
        <f>F36+G36</f>
        <v>43968.016502784005</v>
      </c>
      <c r="I36" s="1035"/>
      <c r="J36" s="564"/>
      <c r="K36" s="564"/>
      <c r="L36" s="564"/>
      <c r="N36" s="750">
        <f>ROUND($F36*$AA$2/Input!$E$4/10,2)</f>
        <v>13.47</v>
      </c>
      <c r="O36" s="750">
        <f>ROUND($F36*(100%-$AA$2)/Input!$E$4/10,2)</f>
        <v>2.38</v>
      </c>
      <c r="P36" s="751">
        <f t="shared" ref="P36:P105" si="15">SUM(N36:O36)</f>
        <v>15.850000000000001</v>
      </c>
      <c r="Q36" s="750">
        <f>N36*$AA$3+$O36*$AB$3</f>
        <v>2.0448</v>
      </c>
      <c r="R36" s="751">
        <f t="shared" ref="R36:R105" si="16">P36+Q36</f>
        <v>17.8948</v>
      </c>
      <c r="S36" s="1139">
        <v>0.13800000000000001</v>
      </c>
      <c r="T36" s="779"/>
      <c r="U36" s="1140">
        <f>F36*$AA$2</f>
        <v>32840.785612799998</v>
      </c>
      <c r="V36" s="1140">
        <f>F36*$AB$2</f>
        <v>4636.3462041599996</v>
      </c>
      <c r="W36" s="1140">
        <f t="shared" ref="W36:W42" si="17">U36+V36</f>
        <v>37477.131816959998</v>
      </c>
      <c r="X36" s="1140">
        <f t="shared" ref="X36:Y39" si="18">G36</f>
        <v>5331.7981347840005</v>
      </c>
      <c r="Y36" s="1140">
        <f t="shared" si="18"/>
        <v>43968.016502784005</v>
      </c>
      <c r="AC36" s="564"/>
    </row>
    <row r="37" spans="1:32" outlineLevel="1" x14ac:dyDescent="0.35">
      <c r="A37" s="417">
        <v>2</v>
      </c>
      <c r="B37" s="566" t="s">
        <v>625</v>
      </c>
      <c r="C37" s="415" t="s">
        <v>28</v>
      </c>
      <c r="D37" s="572">
        <f>Input!$D$36*$E$31</f>
        <v>9187.2000000000007</v>
      </c>
      <c r="E37" s="820">
        <f>Input!D24+Input!E24</f>
        <v>841</v>
      </c>
      <c r="F37" s="821">
        <f>D37*E37/10^5</f>
        <v>77.264352000000002</v>
      </c>
      <c r="G37" s="821">
        <f>$F37*$S37</f>
        <v>10.662480576000002</v>
      </c>
      <c r="H37" s="821">
        <f>F37+G37</f>
        <v>87.92683257600001</v>
      </c>
      <c r="I37" s="1035"/>
      <c r="J37" s="564"/>
      <c r="L37" s="564"/>
      <c r="M37" s="564"/>
      <c r="N37" s="750">
        <f>ROUND($F37*$AA$2/Input!$E$4/10,2)</f>
        <v>0.03</v>
      </c>
      <c r="O37" s="750">
        <f>ROUND($F37*(100%-$AA$2)/Input!$E$4/10,2)</f>
        <v>0</v>
      </c>
      <c r="P37" s="751">
        <f t="shared" si="15"/>
        <v>0.03</v>
      </c>
      <c r="Q37" s="750">
        <f>N37*$AA$3+$O37*$AB$3</f>
        <v>3.5999999999999999E-3</v>
      </c>
      <c r="R37" s="751">
        <f t="shared" si="16"/>
        <v>3.3599999999999998E-2</v>
      </c>
      <c r="S37" s="1139">
        <v>0.13800000000000001</v>
      </c>
      <c r="T37" s="779"/>
      <c r="U37" s="1140">
        <f>F37*$AA$2</f>
        <v>65.674699200000006</v>
      </c>
      <c r="V37" s="1140">
        <f>F37*$AB$2</f>
        <v>9.2717222400000008</v>
      </c>
      <c r="W37" s="1140">
        <f t="shared" si="17"/>
        <v>74.946421440000009</v>
      </c>
      <c r="X37" s="1140">
        <f t="shared" si="18"/>
        <v>10.662480576000002</v>
      </c>
      <c r="Y37" s="1140">
        <f t="shared" si="18"/>
        <v>87.92683257600001</v>
      </c>
      <c r="AC37" s="564"/>
    </row>
    <row r="38" spans="1:32" outlineLevel="1" x14ac:dyDescent="0.35">
      <c r="A38" s="417">
        <v>3</v>
      </c>
      <c r="B38" s="566" t="s">
        <v>627</v>
      </c>
      <c r="C38" s="415" t="s">
        <v>28</v>
      </c>
      <c r="D38" s="572">
        <f>Input!D37</f>
        <v>1000000</v>
      </c>
      <c r="E38" s="820">
        <f>Input!E37</f>
        <v>1</v>
      </c>
      <c r="F38" s="821">
        <f>D38*E38/10^5</f>
        <v>10</v>
      </c>
      <c r="G38" s="821">
        <f>$F38*$S38</f>
        <v>1.3800000000000001</v>
      </c>
      <c r="H38" s="821">
        <f>F38+G38</f>
        <v>11.38</v>
      </c>
      <c r="I38" s="1035"/>
      <c r="J38" s="564"/>
      <c r="N38" s="867">
        <f>ROUND($F38*$AA$2/Input!$E$4/10,2)</f>
        <v>0</v>
      </c>
      <c r="O38" s="867">
        <f>ROUND($F38*(100%-$AA$2)/Input!$E$4/10,2)</f>
        <v>0</v>
      </c>
      <c r="P38" s="751">
        <f t="shared" si="15"/>
        <v>0</v>
      </c>
      <c r="Q38" s="750">
        <f>N38*$AA$3+$O38*$AB$3</f>
        <v>0</v>
      </c>
      <c r="R38" s="751">
        <f t="shared" si="16"/>
        <v>0</v>
      </c>
      <c r="S38" s="1139">
        <v>0.13800000000000001</v>
      </c>
      <c r="T38" s="779"/>
      <c r="U38" s="1140">
        <f>F38*$AA$2</f>
        <v>8.5</v>
      </c>
      <c r="V38" s="1140">
        <f>F38*$AB$2</f>
        <v>1.2</v>
      </c>
      <c r="W38" s="1140">
        <f t="shared" si="17"/>
        <v>9.6999999999999993</v>
      </c>
      <c r="X38" s="1140">
        <f t="shared" si="18"/>
        <v>1.3800000000000001</v>
      </c>
      <c r="Y38" s="1140">
        <f t="shared" si="18"/>
        <v>11.38</v>
      </c>
      <c r="AC38" s="564"/>
    </row>
    <row r="39" spans="1:32" outlineLevel="1" x14ac:dyDescent="0.35">
      <c r="A39" s="417">
        <v>4</v>
      </c>
      <c r="B39" s="573" t="s">
        <v>628</v>
      </c>
      <c r="C39" s="415" t="s">
        <v>28</v>
      </c>
      <c r="D39" s="572">
        <f>Input!D38</f>
        <v>500000</v>
      </c>
      <c r="E39" s="820">
        <f>Input!E38</f>
        <v>1</v>
      </c>
      <c r="F39" s="821">
        <f>D39*E39/10^5</f>
        <v>5</v>
      </c>
      <c r="G39" s="821">
        <f>$F39*$S39</f>
        <v>0.69000000000000006</v>
      </c>
      <c r="H39" s="821">
        <f>F39+G39</f>
        <v>5.69</v>
      </c>
      <c r="I39" s="1035"/>
      <c r="J39" s="564"/>
      <c r="N39" s="867">
        <f>ROUND($F39*$AA$2/Input!$E$4/10,2)</f>
        <v>0</v>
      </c>
      <c r="O39" s="867">
        <f>ROUND($F39*(100%-$AA$2)/Input!$E$4/10,2)</f>
        <v>0</v>
      </c>
      <c r="P39" s="751">
        <f t="shared" si="15"/>
        <v>0</v>
      </c>
      <c r="Q39" s="750">
        <f>N39*$AA$3+$O39*$AB$3</f>
        <v>0</v>
      </c>
      <c r="R39" s="751">
        <f t="shared" si="16"/>
        <v>0</v>
      </c>
      <c r="S39" s="1139">
        <v>0.13800000000000001</v>
      </c>
      <c r="T39" s="779"/>
      <c r="U39" s="1140">
        <f>F39*$AA$2</f>
        <v>4.25</v>
      </c>
      <c r="V39" s="1140">
        <f>F39*$AB$2</f>
        <v>0.6</v>
      </c>
      <c r="W39" s="1140">
        <f t="shared" si="17"/>
        <v>4.8499999999999996</v>
      </c>
      <c r="X39" s="1140">
        <f t="shared" si="18"/>
        <v>0.69000000000000006</v>
      </c>
      <c r="Y39" s="1140">
        <f t="shared" si="18"/>
        <v>5.69</v>
      </c>
      <c r="AC39" s="564"/>
    </row>
    <row r="40" spans="1:32" x14ac:dyDescent="0.35">
      <c r="A40" s="828" t="s">
        <v>270</v>
      </c>
      <c r="B40" s="483" t="s">
        <v>651</v>
      </c>
      <c r="C40" s="731"/>
      <c r="D40" s="579"/>
      <c r="E40" s="822"/>
      <c r="F40" s="822"/>
      <c r="G40" s="822"/>
      <c r="H40" s="822"/>
      <c r="N40" s="484"/>
      <c r="O40" s="484"/>
      <c r="P40" s="484"/>
      <c r="Q40" s="484"/>
      <c r="R40" s="484"/>
      <c r="S40" s="580"/>
      <c r="T40" s="482"/>
      <c r="U40" s="484"/>
      <c r="V40" s="484"/>
      <c r="W40" s="484"/>
      <c r="X40" s="484"/>
      <c r="Y40" s="484"/>
      <c r="AC40" s="564"/>
    </row>
    <row r="41" spans="1:32" x14ac:dyDescent="0.35">
      <c r="A41" s="829">
        <v>1</v>
      </c>
      <c r="B41" s="577" t="s">
        <v>609</v>
      </c>
      <c r="C41" s="732" t="s">
        <v>28</v>
      </c>
      <c r="D41" s="572">
        <f>Input!D39</f>
        <v>5700000</v>
      </c>
      <c r="E41" s="820">
        <f>E28</f>
        <v>44</v>
      </c>
      <c r="F41" s="821">
        <f>D41*E41/10^5</f>
        <v>2508</v>
      </c>
      <c r="G41" s="821">
        <f>$F41*$S41</f>
        <v>346.10400000000004</v>
      </c>
      <c r="H41" s="821">
        <f>F41+G41</f>
        <v>2854.1040000000003</v>
      </c>
      <c r="N41" s="750">
        <f>ROUND($F41*$AA$2/Input!$E$4/10,2)</f>
        <v>0.87</v>
      </c>
      <c r="O41" s="750">
        <f>ROUND($F41*(100%-$AA$2)/Input!$E$4/10,2)</f>
        <v>0.15</v>
      </c>
      <c r="P41" s="751">
        <f t="shared" si="15"/>
        <v>1.02</v>
      </c>
      <c r="Q41" s="750">
        <f>N41*$AA$3+$O41*$AB$3</f>
        <v>0.13139999999999999</v>
      </c>
      <c r="R41" s="751">
        <f t="shared" si="16"/>
        <v>1.1514</v>
      </c>
      <c r="S41" s="1139">
        <v>0.13800000000000001</v>
      </c>
      <c r="T41" s="779"/>
      <c r="U41" s="1140">
        <f>F41*$AA$2</f>
        <v>2131.7999999999997</v>
      </c>
      <c r="V41" s="1140">
        <f>F41*$AB$2</f>
        <v>300.95999999999998</v>
      </c>
      <c r="W41" s="1140">
        <f t="shared" si="17"/>
        <v>2432.7599999999998</v>
      </c>
      <c r="X41" s="1140">
        <f>G41</f>
        <v>346.10400000000004</v>
      </c>
      <c r="Y41" s="1140">
        <f>H41</f>
        <v>2854.1040000000003</v>
      </c>
      <c r="AC41" s="564"/>
      <c r="AD41" s="564"/>
      <c r="AE41" s="564"/>
      <c r="AF41" s="564"/>
    </row>
    <row r="42" spans="1:32" x14ac:dyDescent="0.35">
      <c r="A42" s="829">
        <v>2</v>
      </c>
      <c r="B42" s="577" t="s">
        <v>1213</v>
      </c>
      <c r="C42" s="732" t="s">
        <v>28</v>
      </c>
      <c r="D42" s="572">
        <f>Input!D40</f>
        <v>1187500</v>
      </c>
      <c r="E42" s="820">
        <f>E29</f>
        <v>12</v>
      </c>
      <c r="F42" s="821">
        <f>D42*E42/10^5</f>
        <v>142.5</v>
      </c>
      <c r="G42" s="821">
        <f>$F42*$S42</f>
        <v>19.665000000000003</v>
      </c>
      <c r="H42" s="821">
        <f>F42+G42</f>
        <v>162.16499999999999</v>
      </c>
      <c r="N42" s="750">
        <f>ROUND($F42*$AA$2/Input!$E$4/10,2)</f>
        <v>0.05</v>
      </c>
      <c r="O42" s="750">
        <f>ROUND($F42*(100%-$AA$2)/Input!$E$4/10,2)</f>
        <v>0.01</v>
      </c>
      <c r="P42" s="751">
        <f t="shared" si="15"/>
        <v>6.0000000000000005E-2</v>
      </c>
      <c r="Q42" s="750">
        <f>N42*$AA$3+$O42*$AB$3</f>
        <v>7.7999999999999996E-3</v>
      </c>
      <c r="R42" s="751">
        <f t="shared" si="16"/>
        <v>6.7799999999999999E-2</v>
      </c>
      <c r="S42" s="1139">
        <v>0.13800000000000001</v>
      </c>
      <c r="T42" s="779"/>
      <c r="U42" s="1140">
        <f>F42*$AA$2</f>
        <v>121.125</v>
      </c>
      <c r="V42" s="1140">
        <f>F42*$AB$2</f>
        <v>17.099999999999998</v>
      </c>
      <c r="W42" s="1140">
        <f t="shared" si="17"/>
        <v>138.22499999999999</v>
      </c>
      <c r="X42" s="1140">
        <f>G42</f>
        <v>19.665000000000003</v>
      </c>
      <c r="Y42" s="1140">
        <f>H42</f>
        <v>162.16499999999999</v>
      </c>
      <c r="AC42" s="564"/>
    </row>
    <row r="43" spans="1:32" x14ac:dyDescent="0.35">
      <c r="A43" s="828" t="s">
        <v>272</v>
      </c>
      <c r="B43" s="483" t="s">
        <v>629</v>
      </c>
      <c r="C43" s="818"/>
      <c r="D43" s="485"/>
      <c r="E43" s="484"/>
      <c r="F43" s="484"/>
      <c r="G43" s="484"/>
      <c r="H43" s="484"/>
      <c r="M43" s="564"/>
      <c r="N43" s="484"/>
      <c r="O43" s="484"/>
      <c r="P43" s="484"/>
      <c r="Q43" s="484"/>
      <c r="R43" s="484"/>
      <c r="S43" s="484"/>
      <c r="T43" s="486"/>
      <c r="U43" s="484"/>
      <c r="V43" s="484"/>
      <c r="W43" s="484"/>
      <c r="X43" s="484"/>
      <c r="Y43" s="484"/>
      <c r="AC43" s="564"/>
    </row>
    <row r="44" spans="1:32" x14ac:dyDescent="0.35">
      <c r="A44" s="830" t="s">
        <v>827</v>
      </c>
      <c r="B44" s="722" t="s">
        <v>910</v>
      </c>
      <c r="C44" s="819"/>
      <c r="D44" s="863"/>
      <c r="E44" s="600"/>
      <c r="F44" s="600"/>
      <c r="G44" s="600"/>
      <c r="H44" s="600"/>
      <c r="J44" s="418"/>
      <c r="K44" s="418"/>
      <c r="L44" s="564"/>
      <c r="M44" s="564"/>
      <c r="N44" s="750">
        <f>ROUND($F44*$AA$2/Input!$E$4/10,2)</f>
        <v>0</v>
      </c>
      <c r="O44" s="750">
        <f>ROUND($F44*(100%-$AA$2)/Input!$E$4/10,2)</f>
        <v>0</v>
      </c>
      <c r="P44" s="751">
        <f t="shared" si="15"/>
        <v>0</v>
      </c>
      <c r="Q44" s="750">
        <f t="shared" ref="Q44:Q49" si="19">N44*$AA$3+$O44*$AB$3</f>
        <v>0</v>
      </c>
      <c r="R44" s="751">
        <f t="shared" si="16"/>
        <v>0</v>
      </c>
      <c r="S44" s="1139">
        <v>0.13800000000000001</v>
      </c>
      <c r="T44" s="486"/>
      <c r="U44" s="1140">
        <f t="shared" ref="U44:U49" si="20">F44*$AA$2</f>
        <v>0</v>
      </c>
      <c r="V44" s="1140">
        <f t="shared" ref="V44:V49" si="21">F44*$AB$2</f>
        <v>0</v>
      </c>
      <c r="W44" s="1140">
        <f t="shared" ref="W44" si="22">U44+V44</f>
        <v>0</v>
      </c>
      <c r="X44" s="1140">
        <f t="shared" ref="X44:Y49" si="23">G44</f>
        <v>0</v>
      </c>
      <c r="Y44" s="1140">
        <f t="shared" si="23"/>
        <v>0</v>
      </c>
    </row>
    <row r="45" spans="1:32" x14ac:dyDescent="0.35">
      <c r="A45" s="417">
        <v>1</v>
      </c>
      <c r="B45" s="416" t="s">
        <v>630</v>
      </c>
      <c r="C45" s="415" t="s">
        <v>1110</v>
      </c>
      <c r="D45" s="572">
        <f>Input!D44</f>
        <v>1045</v>
      </c>
      <c r="E45" s="572">
        <f>Input!E44</f>
        <v>420544</v>
      </c>
      <c r="F45" s="783">
        <f t="shared" ref="F45:F51" si="24">D45*E45/10^5</f>
        <v>4394.6848</v>
      </c>
      <c r="G45" s="783">
        <f t="shared" ref="G45:G51" si="25">$F45*$S45</f>
        <v>606.46650240000008</v>
      </c>
      <c r="H45" s="783">
        <f t="shared" ref="H45:H51" si="26">F45+G45</f>
        <v>5001.1513023999996</v>
      </c>
      <c r="J45" s="418"/>
      <c r="K45" s="418"/>
      <c r="L45" s="564"/>
      <c r="M45" s="564"/>
      <c r="N45" s="750">
        <f>ROUND($F45*$AA$2/Input!$E$4/10,2)</f>
        <v>1.53</v>
      </c>
      <c r="O45" s="750">
        <f>ROUND($F45*(100%-$AA$2)/Input!$E$4/10,2)</f>
        <v>0.27</v>
      </c>
      <c r="P45" s="751">
        <f t="shared" si="15"/>
        <v>1.8</v>
      </c>
      <c r="Q45" s="750">
        <f t="shared" si="19"/>
        <v>0.23219999999999999</v>
      </c>
      <c r="R45" s="751">
        <f t="shared" si="16"/>
        <v>2.0322</v>
      </c>
      <c r="S45" s="1139">
        <v>0.13800000000000001</v>
      </c>
      <c r="T45" s="779"/>
      <c r="U45" s="1140">
        <f t="shared" si="20"/>
        <v>3735.4820799999998</v>
      </c>
      <c r="V45" s="1140">
        <f t="shared" si="21"/>
        <v>527.36217599999998</v>
      </c>
      <c r="W45" s="1140">
        <f t="shared" ref="W45:W107" si="27">U45+V45</f>
        <v>4262.8442559999994</v>
      </c>
      <c r="X45" s="1140">
        <f t="shared" si="23"/>
        <v>606.46650240000008</v>
      </c>
      <c r="Y45" s="1140">
        <f t="shared" si="23"/>
        <v>5001.1513023999996</v>
      </c>
      <c r="AC45" s="564"/>
      <c r="AD45" s="868"/>
      <c r="AE45" s="868"/>
      <c r="AF45" s="868"/>
    </row>
    <row r="46" spans="1:32" x14ac:dyDescent="0.35">
      <c r="A46" s="417">
        <v>2</v>
      </c>
      <c r="B46" s="416" t="s">
        <v>875</v>
      </c>
      <c r="C46" s="415" t="s">
        <v>1110</v>
      </c>
      <c r="D46" s="572">
        <f>Input!D45</f>
        <v>4018.5</v>
      </c>
      <c r="E46" s="572">
        <f>Input!E45</f>
        <v>48032</v>
      </c>
      <c r="F46" s="783">
        <f t="shared" si="24"/>
        <v>1930.1659199999999</v>
      </c>
      <c r="G46" s="783">
        <f t="shared" si="25"/>
        <v>266.36289696</v>
      </c>
      <c r="H46" s="783">
        <f t="shared" si="26"/>
        <v>2196.5288169599999</v>
      </c>
      <c r="J46" s="418"/>
      <c r="K46" s="418"/>
      <c r="L46" s="564"/>
      <c r="M46" s="564"/>
      <c r="N46" s="750">
        <f>ROUND($F46*$AA$2/Input!$E$4/10,2)</f>
        <v>0.67</v>
      </c>
      <c r="O46" s="750">
        <f>ROUND($F46*(100%-$AA$2)/Input!$E$4/10,2)</f>
        <v>0.12</v>
      </c>
      <c r="P46" s="751">
        <f t="shared" si="15"/>
        <v>0.79</v>
      </c>
      <c r="Q46" s="750">
        <f t="shared" si="19"/>
        <v>0.10199999999999999</v>
      </c>
      <c r="R46" s="751">
        <f t="shared" si="16"/>
        <v>0.89200000000000002</v>
      </c>
      <c r="S46" s="1139">
        <v>0.13800000000000001</v>
      </c>
      <c r="T46" s="779"/>
      <c r="U46" s="1140">
        <f t="shared" si="20"/>
        <v>1640.641032</v>
      </c>
      <c r="V46" s="1140">
        <f t="shared" si="21"/>
        <v>231.61991039999998</v>
      </c>
      <c r="W46" s="1140">
        <f t="shared" si="27"/>
        <v>1872.2609424</v>
      </c>
      <c r="X46" s="1140">
        <f t="shared" si="23"/>
        <v>266.36289696</v>
      </c>
      <c r="Y46" s="1140">
        <f t="shared" si="23"/>
        <v>2196.5288169599999</v>
      </c>
      <c r="AC46" s="564"/>
    </row>
    <row r="47" spans="1:32" x14ac:dyDescent="0.35">
      <c r="A47" s="417">
        <v>3</v>
      </c>
      <c r="B47" s="416" t="s">
        <v>631</v>
      </c>
      <c r="C47" s="415" t="s">
        <v>1110</v>
      </c>
      <c r="D47" s="572">
        <f>Input!D46</f>
        <v>2411.1</v>
      </c>
      <c r="E47" s="572">
        <f>Input!E46</f>
        <v>163308</v>
      </c>
      <c r="F47" s="783">
        <f t="shared" si="24"/>
        <v>3937.5191880000002</v>
      </c>
      <c r="G47" s="783">
        <f t="shared" si="25"/>
        <v>543.37764794400005</v>
      </c>
      <c r="H47" s="783">
        <f t="shared" si="26"/>
        <v>4480.8968359440005</v>
      </c>
      <c r="L47" s="1035"/>
      <c r="N47" s="750">
        <f>ROUND($F47*$AA$2/Input!$E$4/10,2)</f>
        <v>1.37</v>
      </c>
      <c r="O47" s="750">
        <f>ROUND($F47*(100%-$AA$2)/Input!$E$4/10,2)</f>
        <v>0.24</v>
      </c>
      <c r="P47" s="751">
        <f t="shared" si="15"/>
        <v>1.61</v>
      </c>
      <c r="Q47" s="750">
        <f t="shared" si="19"/>
        <v>0.20760000000000001</v>
      </c>
      <c r="R47" s="751">
        <f t="shared" si="16"/>
        <v>1.8176000000000001</v>
      </c>
      <c r="S47" s="1139">
        <v>0.13800000000000001</v>
      </c>
      <c r="T47" s="779"/>
      <c r="U47" s="1140">
        <f t="shared" si="20"/>
        <v>3346.8913098000003</v>
      </c>
      <c r="V47" s="1140">
        <f t="shared" si="21"/>
        <v>472.50230256000003</v>
      </c>
      <c r="W47" s="1140">
        <f t="shared" si="27"/>
        <v>3819.3936123600001</v>
      </c>
      <c r="X47" s="1140">
        <f t="shared" si="23"/>
        <v>543.37764794400005</v>
      </c>
      <c r="Y47" s="1140">
        <f t="shared" si="23"/>
        <v>4480.8968359440005</v>
      </c>
      <c r="AC47" s="564"/>
    </row>
    <row r="48" spans="1:32" x14ac:dyDescent="0.35">
      <c r="A48" s="417">
        <v>4</v>
      </c>
      <c r="B48" s="416" t="s">
        <v>632</v>
      </c>
      <c r="C48" s="415" t="s">
        <v>1110</v>
      </c>
      <c r="D48" s="572">
        <f>Input!D47</f>
        <v>1607.3999999999999</v>
      </c>
      <c r="E48" s="572">
        <f>Input!E47</f>
        <v>148016</v>
      </c>
      <c r="F48" s="783">
        <f t="shared" si="24"/>
        <v>2379.2091839999998</v>
      </c>
      <c r="G48" s="783">
        <f t="shared" si="25"/>
        <v>328.33086739200002</v>
      </c>
      <c r="H48" s="783">
        <f t="shared" si="26"/>
        <v>2707.5400513919999</v>
      </c>
      <c r="J48" s="717"/>
      <c r="L48" s="1035"/>
      <c r="M48" s="1226"/>
      <c r="N48" s="750">
        <f>ROUND($F48*$AA$2/Input!$E$4/10,2)</f>
        <v>0.83</v>
      </c>
      <c r="O48" s="750">
        <f>ROUND($F48*(100%-$AA$2)/Input!$E$4/10,2)</f>
        <v>0.15</v>
      </c>
      <c r="P48" s="751">
        <f t="shared" si="15"/>
        <v>0.98</v>
      </c>
      <c r="Q48" s="750">
        <f t="shared" si="19"/>
        <v>0.12659999999999999</v>
      </c>
      <c r="R48" s="751">
        <f t="shared" si="16"/>
        <v>1.1066</v>
      </c>
      <c r="S48" s="1139">
        <v>0.13800000000000001</v>
      </c>
      <c r="T48" s="779"/>
      <c r="U48" s="1140">
        <f t="shared" si="20"/>
        <v>2022.3278063999999</v>
      </c>
      <c r="V48" s="1140">
        <f t="shared" si="21"/>
        <v>285.50510207999997</v>
      </c>
      <c r="W48" s="1140">
        <f t="shared" si="27"/>
        <v>2307.8329084799998</v>
      </c>
      <c r="X48" s="1140">
        <f t="shared" si="23"/>
        <v>328.33086739200002</v>
      </c>
      <c r="Y48" s="1140">
        <f t="shared" si="23"/>
        <v>2707.5400513919999</v>
      </c>
      <c r="AC48" s="564"/>
    </row>
    <row r="49" spans="1:40" x14ac:dyDescent="0.35">
      <c r="A49" s="417">
        <v>5</v>
      </c>
      <c r="B49" s="416" t="s">
        <v>633</v>
      </c>
      <c r="C49" s="415" t="s">
        <v>1110</v>
      </c>
      <c r="D49" s="572">
        <f>Input!D48</f>
        <v>7968.125</v>
      </c>
      <c r="E49" s="572">
        <f>Input!E48</f>
        <v>24096</v>
      </c>
      <c r="F49" s="783">
        <f t="shared" si="24"/>
        <v>1919.9993999999999</v>
      </c>
      <c r="G49" s="783">
        <f t="shared" si="25"/>
        <v>264.95991720000001</v>
      </c>
      <c r="H49" s="783">
        <f t="shared" si="26"/>
        <v>2184.9593172</v>
      </c>
      <c r="J49" s="717"/>
      <c r="L49" s="1035"/>
      <c r="N49" s="750">
        <f>ROUND($F49*$AA$2/Input!$E$4/10,2)</f>
        <v>0.67</v>
      </c>
      <c r="O49" s="750">
        <f>ROUND($F49*(100%-$AA$2)/Input!$E$4/10,2)</f>
        <v>0.12</v>
      </c>
      <c r="P49" s="751">
        <f t="shared" si="15"/>
        <v>0.79</v>
      </c>
      <c r="Q49" s="750">
        <f t="shared" si="19"/>
        <v>0.10199999999999999</v>
      </c>
      <c r="R49" s="751">
        <f t="shared" si="16"/>
        <v>0.89200000000000002</v>
      </c>
      <c r="S49" s="1139">
        <v>0.13800000000000001</v>
      </c>
      <c r="T49" s="779"/>
      <c r="U49" s="1140">
        <f t="shared" si="20"/>
        <v>1631.9994899999999</v>
      </c>
      <c r="V49" s="1140">
        <f t="shared" si="21"/>
        <v>230.39992799999999</v>
      </c>
      <c r="W49" s="1140">
        <f t="shared" si="27"/>
        <v>1862.399418</v>
      </c>
      <c r="X49" s="1140">
        <f t="shared" si="23"/>
        <v>264.95991720000001</v>
      </c>
      <c r="Y49" s="1140">
        <f t="shared" si="23"/>
        <v>2184.9593172</v>
      </c>
      <c r="AC49" s="564"/>
    </row>
    <row r="50" spans="1:40" s="421" customFormat="1" x14ac:dyDescent="0.35">
      <c r="A50" s="417">
        <v>6</v>
      </c>
      <c r="B50" s="777" t="s">
        <v>1003</v>
      </c>
      <c r="C50" s="415" t="s">
        <v>1110</v>
      </c>
      <c r="D50" s="572">
        <f>Input!D49</f>
        <v>126.35</v>
      </c>
      <c r="E50" s="572">
        <f>Input!E49</f>
        <v>755372</v>
      </c>
      <c r="F50" s="783">
        <f t="shared" si="24"/>
        <v>954.41252200000008</v>
      </c>
      <c r="G50" s="783">
        <f t="shared" si="25"/>
        <v>131.70892803600003</v>
      </c>
      <c r="H50" s="783">
        <f t="shared" si="26"/>
        <v>1086.1214500360002</v>
      </c>
      <c r="I50" s="1116"/>
      <c r="J50" s="1116"/>
      <c r="K50" s="1116"/>
      <c r="L50" s="564"/>
      <c r="M50" s="414"/>
      <c r="N50" s="750">
        <f>ROUND($F50*$AA$2/Input!$E$4/10,2)</f>
        <v>0.33</v>
      </c>
      <c r="O50" s="750">
        <f>ROUND($F50*(100%-$AA$2)/Input!$E$4/10,2)</f>
        <v>0.06</v>
      </c>
      <c r="P50" s="751">
        <f t="shared" ref="P50" si="28">SUM(N50:O50)</f>
        <v>0.39</v>
      </c>
      <c r="Q50" s="750">
        <f t="shared" ref="Q50" si="29">N50*$AA$3+$O50*$AB$3</f>
        <v>5.04E-2</v>
      </c>
      <c r="R50" s="751">
        <f t="shared" ref="R50" si="30">P50+Q50</f>
        <v>0.44040000000000001</v>
      </c>
      <c r="S50" s="1139">
        <v>0.13800000000000001</v>
      </c>
      <c r="T50" s="779"/>
      <c r="U50" s="1140">
        <f t="shared" ref="U50:U51" si="31">F50*$AA$2</f>
        <v>811.25064370000007</v>
      </c>
      <c r="V50" s="1140">
        <f t="shared" ref="V50:V51" si="32">F50*$AB$2</f>
        <v>114.52950264</v>
      </c>
      <c r="W50" s="1140">
        <f t="shared" ref="W50:W51" si="33">U50+V50</f>
        <v>925.7801463400001</v>
      </c>
      <c r="X50" s="1140">
        <f t="shared" ref="X50:X51" si="34">G50</f>
        <v>131.70892803600003</v>
      </c>
      <c r="Y50" s="1140">
        <f t="shared" ref="Y50:Y51" si="35">H50</f>
        <v>1086.1214500360002</v>
      </c>
      <c r="AC50" s="564"/>
      <c r="AD50" s="414"/>
      <c r="AE50" s="414"/>
      <c r="AF50" s="414"/>
      <c r="AG50" s="414"/>
      <c r="AH50" s="414"/>
      <c r="AI50" s="414"/>
      <c r="AJ50" s="414"/>
      <c r="AK50" s="414"/>
      <c r="AL50" s="414"/>
      <c r="AM50" s="414"/>
      <c r="AN50" s="414"/>
    </row>
    <row r="51" spans="1:40" s="421" customFormat="1" x14ac:dyDescent="0.35">
      <c r="A51" s="417">
        <v>7</v>
      </c>
      <c r="B51" s="777" t="s">
        <v>1004</v>
      </c>
      <c r="C51" s="415" t="s">
        <v>1110</v>
      </c>
      <c r="D51" s="572">
        <f>Input!D50</f>
        <v>105.44999999999999</v>
      </c>
      <c r="E51" s="572">
        <f>Input!E50</f>
        <v>905308</v>
      </c>
      <c r="F51" s="783">
        <f t="shared" si="24"/>
        <v>954.64728599999989</v>
      </c>
      <c r="G51" s="783">
        <f t="shared" si="25"/>
        <v>131.74132546799999</v>
      </c>
      <c r="H51" s="783">
        <f t="shared" si="26"/>
        <v>1086.3886114679999</v>
      </c>
      <c r="I51" s="414"/>
      <c r="J51" s="564"/>
      <c r="K51" s="414"/>
      <c r="L51" s="564"/>
      <c r="M51" s="414"/>
      <c r="N51" s="750">
        <f>ROUND($F51*$AA$2/Input!$E$4/10,2)</f>
        <v>0.33</v>
      </c>
      <c r="O51" s="750">
        <f>ROUND($F51*(100%-$AA$2)/Input!$E$4/10,2)</f>
        <v>0.06</v>
      </c>
      <c r="P51" s="751">
        <f>SUM(N51:O51)</f>
        <v>0.39</v>
      </c>
      <c r="Q51" s="750">
        <f>N51*$AA$3+$O51*$AB$3</f>
        <v>5.04E-2</v>
      </c>
      <c r="R51" s="751">
        <f>P51+Q51</f>
        <v>0.44040000000000001</v>
      </c>
      <c r="S51" s="1139">
        <v>0.13800000000000001</v>
      </c>
      <c r="T51" s="779"/>
      <c r="U51" s="1140">
        <f t="shared" si="31"/>
        <v>811.45019309999986</v>
      </c>
      <c r="V51" s="1140">
        <f t="shared" si="32"/>
        <v>114.55767431999999</v>
      </c>
      <c r="W51" s="1140">
        <f t="shared" si="33"/>
        <v>926.00786741999991</v>
      </c>
      <c r="X51" s="1140">
        <f t="shared" si="34"/>
        <v>131.74132546799999</v>
      </c>
      <c r="Y51" s="1140">
        <f t="shared" si="35"/>
        <v>1086.3886114679999</v>
      </c>
      <c r="AC51" s="564"/>
      <c r="AD51" s="414"/>
      <c r="AE51" s="414"/>
      <c r="AF51" s="414"/>
      <c r="AG51" s="414"/>
      <c r="AH51" s="414"/>
      <c r="AI51" s="414"/>
      <c r="AJ51" s="414"/>
      <c r="AK51" s="414"/>
      <c r="AL51" s="414"/>
      <c r="AM51" s="414"/>
      <c r="AN51" s="414"/>
    </row>
    <row r="52" spans="1:40" s="421" customFormat="1" x14ac:dyDescent="0.35">
      <c r="A52" s="831" t="s">
        <v>829</v>
      </c>
      <c r="B52" s="780" t="s">
        <v>936</v>
      </c>
      <c r="C52" s="891"/>
      <c r="D52" s="781"/>
      <c r="E52" s="782"/>
      <c r="F52" s="781"/>
      <c r="G52" s="781"/>
      <c r="H52" s="781"/>
      <c r="I52" s="482"/>
      <c r="J52" s="482"/>
      <c r="K52" s="482"/>
      <c r="L52" s="482"/>
      <c r="M52" s="482"/>
      <c r="N52" s="484"/>
      <c r="O52" s="484"/>
      <c r="P52" s="484"/>
      <c r="Q52" s="484"/>
      <c r="R52" s="484"/>
      <c r="S52" s="484"/>
      <c r="T52" s="779"/>
      <c r="U52" s="484"/>
      <c r="V52" s="484"/>
      <c r="W52" s="484"/>
      <c r="X52" s="484"/>
      <c r="Y52" s="484"/>
      <c r="AC52" s="414"/>
      <c r="AD52" s="414"/>
      <c r="AE52" s="414"/>
      <c r="AF52" s="414"/>
      <c r="AG52" s="414"/>
      <c r="AH52" s="414"/>
      <c r="AI52" s="414"/>
      <c r="AJ52" s="414"/>
      <c r="AK52" s="414"/>
      <c r="AL52" s="414"/>
      <c r="AM52" s="414"/>
      <c r="AN52" s="414"/>
    </row>
    <row r="53" spans="1:40" s="421" customFormat="1" x14ac:dyDescent="0.3">
      <c r="A53" s="417">
        <v>1</v>
      </c>
      <c r="B53" s="345" t="s">
        <v>1214</v>
      </c>
      <c r="C53" s="785" t="s">
        <v>1216</v>
      </c>
      <c r="D53" s="572">
        <f>Input!D63</f>
        <v>5790249.9999999991</v>
      </c>
      <c r="E53" s="572">
        <f>Input!E63</f>
        <v>12</v>
      </c>
      <c r="F53" s="783">
        <f>D53*E53/10^5</f>
        <v>694.82999999999981</v>
      </c>
      <c r="G53" s="783">
        <f>$F53*$S53</f>
        <v>95.886539999999982</v>
      </c>
      <c r="H53" s="783">
        <f>F53+G53</f>
        <v>790.71653999999978</v>
      </c>
      <c r="I53" s="414"/>
      <c r="J53" s="414"/>
      <c r="K53" s="414"/>
      <c r="L53" s="414"/>
      <c r="M53" s="414"/>
      <c r="N53" s="750">
        <f>ROUND($F53*$AA$2/Input!$E$4/10,2)</f>
        <v>0.24</v>
      </c>
      <c r="O53" s="750">
        <f>ROUND($F53*(100%-$AA$2)/Input!$E$4/10,2)</f>
        <v>0.04</v>
      </c>
      <c r="P53" s="751">
        <f>SUM(N53:O53)</f>
        <v>0.27999999999999997</v>
      </c>
      <c r="Q53" s="750">
        <f>N53*$AA$3+$O53*$AB$3</f>
        <v>3.5999999999999997E-2</v>
      </c>
      <c r="R53" s="751">
        <f>P53+Q53</f>
        <v>0.31599999999999995</v>
      </c>
      <c r="S53" s="1139">
        <v>0.13800000000000001</v>
      </c>
      <c r="T53" s="779"/>
      <c r="U53" s="1140">
        <f>F53*$AA$2</f>
        <v>590.60549999999978</v>
      </c>
      <c r="V53" s="1140">
        <f>F53*$AB$2</f>
        <v>83.379599999999968</v>
      </c>
      <c r="W53" s="1140">
        <f t="shared" si="27"/>
        <v>673.98509999999976</v>
      </c>
      <c r="X53" s="1140">
        <f>G53</f>
        <v>95.886539999999982</v>
      </c>
      <c r="Y53" s="1140">
        <f>H53</f>
        <v>790.71653999999978</v>
      </c>
      <c r="AC53" s="414"/>
      <c r="AD53" s="564"/>
      <c r="AE53" s="564"/>
      <c r="AF53" s="564"/>
      <c r="AG53" s="414"/>
      <c r="AH53" s="414"/>
      <c r="AI53" s="414"/>
      <c r="AJ53" s="414"/>
      <c r="AK53" s="414"/>
      <c r="AL53" s="414"/>
      <c r="AM53" s="414"/>
      <c r="AN53" s="414"/>
    </row>
    <row r="54" spans="1:40" s="421" customFormat="1" x14ac:dyDescent="0.3">
      <c r="A54" s="417">
        <v>2</v>
      </c>
      <c r="B54" s="345" t="s">
        <v>1215</v>
      </c>
      <c r="C54" s="785" t="s">
        <v>1216</v>
      </c>
      <c r="D54" s="572">
        <f>Input!D64</f>
        <v>6991999.9999999991</v>
      </c>
      <c r="E54" s="572">
        <f>Input!E64</f>
        <v>32</v>
      </c>
      <c r="F54" s="783">
        <f>D54*E54/10^5</f>
        <v>2237.4399999999996</v>
      </c>
      <c r="G54" s="783">
        <f>$F54*$S54</f>
        <v>308.76671999999996</v>
      </c>
      <c r="H54" s="783">
        <f>F54+G54</f>
        <v>2546.2067199999997</v>
      </c>
      <c r="I54" s="414"/>
      <c r="J54" s="414"/>
      <c r="K54" s="414"/>
      <c r="L54" s="414"/>
      <c r="M54" s="414"/>
      <c r="N54" s="750">
        <f>ROUND($F54*$AA$2/Input!$E$4/10,2)</f>
        <v>0.78</v>
      </c>
      <c r="O54" s="750">
        <f>ROUND($F54*(100%-$AA$2)/Input!$E$4/10,2)</f>
        <v>0.14000000000000001</v>
      </c>
      <c r="P54" s="751">
        <f>SUM(N54:O54)</f>
        <v>0.92</v>
      </c>
      <c r="Q54" s="750">
        <f>N54*$AA$3+$O54*$AB$3</f>
        <v>0.1188</v>
      </c>
      <c r="R54" s="751">
        <f>P54+Q54</f>
        <v>1.0387999999999999</v>
      </c>
      <c r="S54" s="1139">
        <v>0.13800000000000001</v>
      </c>
      <c r="T54" s="779"/>
      <c r="U54" s="1140">
        <f>F54*$AA$2</f>
        <v>1901.8239999999996</v>
      </c>
      <c r="V54" s="1140">
        <f>F54*$AB$2</f>
        <v>268.49279999999993</v>
      </c>
      <c r="W54" s="1140">
        <f t="shared" ref="W54" si="36">U54+V54</f>
        <v>2170.3167999999996</v>
      </c>
      <c r="X54" s="1140">
        <f>G54</f>
        <v>308.76671999999996</v>
      </c>
      <c r="Y54" s="1140">
        <f>H54</f>
        <v>2546.2067199999997</v>
      </c>
      <c r="AC54" s="414"/>
      <c r="AD54" s="564"/>
      <c r="AE54" s="564"/>
      <c r="AF54" s="564"/>
      <c r="AG54" s="414"/>
      <c r="AH54" s="414"/>
      <c r="AI54" s="414"/>
      <c r="AJ54" s="414"/>
      <c r="AK54" s="414"/>
      <c r="AL54" s="414"/>
      <c r="AM54" s="414"/>
      <c r="AN54" s="414"/>
    </row>
    <row r="55" spans="1:40" s="421" customFormat="1" x14ac:dyDescent="0.3">
      <c r="A55" s="417">
        <v>3</v>
      </c>
      <c r="B55" s="345" t="s">
        <v>1224</v>
      </c>
      <c r="C55" s="785" t="s">
        <v>1240</v>
      </c>
      <c r="D55" s="1232">
        <f>Input!D65</f>
        <v>5500000</v>
      </c>
      <c r="E55" s="572">
        <f>Input!E65</f>
        <v>52</v>
      </c>
      <c r="F55" s="783">
        <f>D55*E55/10^5</f>
        <v>2860</v>
      </c>
      <c r="G55" s="783">
        <f>$F55*$S55</f>
        <v>394.68</v>
      </c>
      <c r="H55" s="783">
        <f>F55+G55</f>
        <v>3254.68</v>
      </c>
      <c r="I55" s="414"/>
      <c r="J55" s="414"/>
      <c r="K55" s="414"/>
      <c r="L55" s="414"/>
      <c r="M55" s="414"/>
      <c r="N55" s="750">
        <f>ROUND($F55*$AA$2/Input!$E$4/10,2)</f>
        <v>1</v>
      </c>
      <c r="O55" s="750">
        <f>ROUND($F55*(100%-$AA$2)/Input!$E$4/10,2)</f>
        <v>0.18</v>
      </c>
      <c r="P55" s="751">
        <f>SUM(N55:O55)</f>
        <v>1.18</v>
      </c>
      <c r="Q55" s="750">
        <f>N55*$AA$3+$O55*$AB$3</f>
        <v>0.15239999999999998</v>
      </c>
      <c r="R55" s="751">
        <f>P55+Q55</f>
        <v>1.3323999999999998</v>
      </c>
      <c r="S55" s="1139">
        <v>0.13800000000000001</v>
      </c>
      <c r="T55" s="779"/>
      <c r="U55" s="1140"/>
      <c r="V55" s="1140"/>
      <c r="W55" s="1140"/>
      <c r="X55" s="1140"/>
      <c r="Y55" s="1140"/>
      <c r="AC55" s="414"/>
      <c r="AD55" s="564"/>
      <c r="AE55" s="564"/>
      <c r="AF55" s="564"/>
      <c r="AG55" s="414"/>
      <c r="AH55" s="414"/>
      <c r="AI55" s="414"/>
      <c r="AJ55" s="414"/>
      <c r="AK55" s="414"/>
      <c r="AL55" s="414"/>
      <c r="AM55" s="414"/>
      <c r="AN55" s="414"/>
    </row>
    <row r="56" spans="1:40" s="421" customFormat="1" x14ac:dyDescent="0.35">
      <c r="A56" s="417">
        <v>4</v>
      </c>
      <c r="B56" s="784" t="s">
        <v>1005</v>
      </c>
      <c r="C56" s="785" t="s">
        <v>1112</v>
      </c>
      <c r="D56" s="572">
        <f>Input!D58</f>
        <v>1055716.2849999999</v>
      </c>
      <c r="E56" s="572">
        <f>Input!E58</f>
        <v>11.88</v>
      </c>
      <c r="F56" s="783">
        <f>D56*E56/10^5*1.7</f>
        <v>213.21246091860002</v>
      </c>
      <c r="G56" s="783">
        <f>$F56*$S56</f>
        <v>29.423319606766803</v>
      </c>
      <c r="H56" s="783">
        <f>F56+G56</f>
        <v>242.63578052536681</v>
      </c>
      <c r="I56" s="414"/>
      <c r="J56" s="414"/>
      <c r="K56" s="414"/>
      <c r="L56" s="414"/>
      <c r="M56" s="414"/>
      <c r="N56" s="750">
        <f>ROUND($F56*$AA$2/Input!$E$4/10,2)</f>
        <v>7.0000000000000007E-2</v>
      </c>
      <c r="O56" s="750">
        <f>ROUND($F56*(100%-$AA$2)/Input!$E$4/10,2)</f>
        <v>0.01</v>
      </c>
      <c r="P56" s="751">
        <f>SUM(N56:O56)</f>
        <v>0.08</v>
      </c>
      <c r="Q56" s="750">
        <f>N56*$AA$3+$O56*$AB$3</f>
        <v>1.0200000000000001E-2</v>
      </c>
      <c r="R56" s="751">
        <f>P56+Q56</f>
        <v>9.0200000000000002E-2</v>
      </c>
      <c r="S56" s="1139">
        <v>0.13800000000000001</v>
      </c>
      <c r="T56" s="779"/>
      <c r="U56" s="1140">
        <f>F56*$AA$2</f>
        <v>181.23059178081002</v>
      </c>
      <c r="V56" s="1140">
        <f>F56*$AB$2</f>
        <v>25.585495310232002</v>
      </c>
      <c r="W56" s="1140">
        <f t="shared" si="27"/>
        <v>206.81608709104202</v>
      </c>
      <c r="X56" s="1140">
        <f>G56</f>
        <v>29.423319606766803</v>
      </c>
      <c r="Y56" s="1140">
        <f>H56</f>
        <v>242.63578052536681</v>
      </c>
      <c r="AC56" s="414"/>
      <c r="AD56" s="414"/>
      <c r="AE56" s="414"/>
      <c r="AF56" s="414"/>
      <c r="AG56" s="414"/>
      <c r="AH56" s="414"/>
      <c r="AI56" s="414"/>
      <c r="AJ56" s="414"/>
      <c r="AK56" s="414"/>
      <c r="AL56" s="414"/>
      <c r="AM56" s="414"/>
      <c r="AN56" s="414"/>
    </row>
    <row r="57" spans="1:40" x14ac:dyDescent="0.35">
      <c r="A57" s="830" t="s">
        <v>974</v>
      </c>
      <c r="B57" s="585" t="s">
        <v>634</v>
      </c>
      <c r="C57" s="819"/>
      <c r="D57" s="588"/>
      <c r="E57" s="600"/>
      <c r="F57" s="600"/>
      <c r="G57" s="600"/>
      <c r="H57" s="600"/>
      <c r="N57" s="484"/>
      <c r="O57" s="484"/>
      <c r="P57" s="484"/>
      <c r="Q57" s="484"/>
      <c r="R57" s="484"/>
      <c r="S57" s="484"/>
      <c r="T57" s="486"/>
      <c r="U57" s="484"/>
      <c r="V57" s="484"/>
      <c r="W57" s="484"/>
      <c r="X57" s="484"/>
      <c r="Y57" s="484"/>
    </row>
    <row r="58" spans="1:40" x14ac:dyDescent="0.35">
      <c r="A58" s="417">
        <v>1</v>
      </c>
      <c r="B58" s="576" t="s">
        <v>826</v>
      </c>
      <c r="C58" s="415" t="s">
        <v>1113</v>
      </c>
      <c r="D58" s="572">
        <f>Input!D55</f>
        <v>5878028.0999999996</v>
      </c>
      <c r="E58" s="572">
        <f>Input!E55+Input!E56</f>
        <v>158.47999999999999</v>
      </c>
      <c r="F58" s="783">
        <f>D58*E58/10^5</f>
        <v>9315.4989328799984</v>
      </c>
      <c r="G58" s="783">
        <f>$F58*$S58</f>
        <v>1285.5388527374398</v>
      </c>
      <c r="H58" s="783">
        <f>F58+G58</f>
        <v>10601.037785617438</v>
      </c>
      <c r="N58" s="750">
        <f>ROUND($F58*$AA$2/Input!$E$4/10,2)</f>
        <v>3.25</v>
      </c>
      <c r="O58" s="750">
        <f>ROUND($F58*(100%-$AA$2)/Input!$E$4/10,2)</f>
        <v>0.56999999999999995</v>
      </c>
      <c r="P58" s="751">
        <f t="shared" si="15"/>
        <v>3.82</v>
      </c>
      <c r="Q58" s="750">
        <f>N58*$AA$3+$O58*$AB$3</f>
        <v>0.49259999999999998</v>
      </c>
      <c r="R58" s="751">
        <f t="shared" si="16"/>
        <v>4.3125999999999998</v>
      </c>
      <c r="S58" s="1139">
        <v>0.13800000000000001</v>
      </c>
      <c r="T58" s="779"/>
      <c r="U58" s="1140">
        <f>F58*$AA$2</f>
        <v>7918.1740929479984</v>
      </c>
      <c r="V58" s="1140">
        <f>F58*$AB$2</f>
        <v>1117.8598719455997</v>
      </c>
      <c r="W58" s="1140">
        <f t="shared" si="27"/>
        <v>9036.0339648935987</v>
      </c>
      <c r="X58" s="1140">
        <f t="shared" ref="X58:Y60" si="37">G58</f>
        <v>1285.5388527374398</v>
      </c>
      <c r="Y58" s="1140">
        <f t="shared" si="37"/>
        <v>10601.037785617438</v>
      </c>
      <c r="AD58" s="868"/>
      <c r="AE58" s="868"/>
      <c r="AF58" s="868"/>
    </row>
    <row r="59" spans="1:40" x14ac:dyDescent="0.35">
      <c r="A59" s="417">
        <v>2</v>
      </c>
      <c r="B59" s="576" t="s">
        <v>608</v>
      </c>
      <c r="C59" s="415" t="s">
        <v>425</v>
      </c>
      <c r="D59" s="572">
        <f>Input!D57</f>
        <v>7505</v>
      </c>
      <c r="E59" s="572">
        <f>Input!E57</f>
        <v>2400</v>
      </c>
      <c r="F59" s="783">
        <f>D59*E59/10^5</f>
        <v>180.12</v>
      </c>
      <c r="G59" s="783">
        <f>$F59*$S59</f>
        <v>24.856560000000002</v>
      </c>
      <c r="H59" s="783">
        <f>F59+G59</f>
        <v>204.97656000000001</v>
      </c>
      <c r="N59" s="750">
        <f>ROUND($F59*$AA$2/Input!$E$4/10,2)</f>
        <v>0.06</v>
      </c>
      <c r="O59" s="750">
        <f>ROUND($F59*(100%-$AA$2)/Input!$E$4/10,2)</f>
        <v>0.01</v>
      </c>
      <c r="P59" s="751">
        <f t="shared" si="15"/>
        <v>6.9999999999999993E-2</v>
      </c>
      <c r="Q59" s="750">
        <f>N59*$AA$3+$O59*$AB$3</f>
        <v>8.9999999999999993E-3</v>
      </c>
      <c r="R59" s="751">
        <f t="shared" si="16"/>
        <v>7.8999999999999987E-2</v>
      </c>
      <c r="S59" s="1139">
        <v>0.13800000000000001</v>
      </c>
      <c r="T59" s="779"/>
      <c r="U59" s="1140">
        <f>F59*$AA$2</f>
        <v>153.102</v>
      </c>
      <c r="V59" s="1140">
        <f>F59*$AB$2</f>
        <v>21.6144</v>
      </c>
      <c r="W59" s="1140">
        <f t="shared" si="27"/>
        <v>174.71639999999999</v>
      </c>
      <c r="X59" s="1140">
        <f t="shared" si="37"/>
        <v>24.856560000000002</v>
      </c>
      <c r="Y59" s="1140">
        <f t="shared" si="37"/>
        <v>204.97656000000001</v>
      </c>
    </row>
    <row r="60" spans="1:40" x14ac:dyDescent="0.35">
      <c r="A60" s="417">
        <v>3</v>
      </c>
      <c r="B60" s="576" t="s">
        <v>903</v>
      </c>
      <c r="C60" s="415" t="s">
        <v>1111</v>
      </c>
      <c r="D60" s="572">
        <f>Input!D60</f>
        <v>17307.099999999999</v>
      </c>
      <c r="E60" s="572">
        <f>Input!E60</f>
        <v>5536</v>
      </c>
      <c r="F60" s="783">
        <f>D60*E60/10^5</f>
        <v>958.12105599999995</v>
      </c>
      <c r="G60" s="783">
        <f>$F60*$S60</f>
        <v>132.22070572800001</v>
      </c>
      <c r="H60" s="783">
        <f>F60+G60</f>
        <v>1090.3417617279999</v>
      </c>
      <c r="N60" s="750">
        <f>ROUND($F60*$AA$2/Input!$E$4/10,2)</f>
        <v>0.33</v>
      </c>
      <c r="O60" s="750">
        <f>ROUND($F60*(100%-$AA$2)/Input!$E$4/10,2)</f>
        <v>0.06</v>
      </c>
      <c r="P60" s="751">
        <f t="shared" si="15"/>
        <v>0.39</v>
      </c>
      <c r="Q60" s="750">
        <f>N60*$AA$3+$O60*$AB$3</f>
        <v>5.04E-2</v>
      </c>
      <c r="R60" s="751">
        <f t="shared" si="16"/>
        <v>0.44040000000000001</v>
      </c>
      <c r="S60" s="1139">
        <v>0.13800000000000001</v>
      </c>
      <c r="T60" s="779"/>
      <c r="U60" s="1140">
        <f>F60*$AA$2</f>
        <v>814.40289759999996</v>
      </c>
      <c r="V60" s="1140">
        <f>F60*$AB$2</f>
        <v>114.97452671999999</v>
      </c>
      <c r="W60" s="1140">
        <f t="shared" si="27"/>
        <v>929.37742431999993</v>
      </c>
      <c r="X60" s="1140">
        <f t="shared" si="37"/>
        <v>132.22070572800001</v>
      </c>
      <c r="Y60" s="1140">
        <f t="shared" si="37"/>
        <v>1090.3417617279999</v>
      </c>
    </row>
    <row r="61" spans="1:40" x14ac:dyDescent="0.35">
      <c r="A61" s="828" t="s">
        <v>556</v>
      </c>
      <c r="B61" s="483" t="s">
        <v>73</v>
      </c>
      <c r="C61" s="730"/>
      <c r="D61" s="485"/>
      <c r="E61" s="575"/>
      <c r="F61" s="575"/>
      <c r="G61" s="575"/>
      <c r="H61" s="575"/>
      <c r="N61" s="484"/>
      <c r="O61" s="484"/>
      <c r="P61" s="484"/>
      <c r="Q61" s="484"/>
      <c r="R61" s="484"/>
      <c r="S61" s="575"/>
      <c r="T61" s="955"/>
      <c r="U61" s="484"/>
      <c r="V61" s="484"/>
      <c r="W61" s="484"/>
      <c r="X61" s="484"/>
      <c r="Y61" s="484"/>
    </row>
    <row r="62" spans="1:40" x14ac:dyDescent="0.35">
      <c r="A62" s="832" t="s">
        <v>904</v>
      </c>
      <c r="B62" s="585" t="s">
        <v>584</v>
      </c>
      <c r="C62" s="733"/>
      <c r="D62" s="588"/>
      <c r="E62" s="722"/>
      <c r="F62" s="869"/>
      <c r="G62" s="722"/>
      <c r="H62" s="722"/>
      <c r="N62" s="484"/>
      <c r="O62" s="484"/>
      <c r="P62" s="484"/>
      <c r="Q62" s="484"/>
      <c r="R62" s="484"/>
      <c r="S62" s="484"/>
      <c r="T62" s="482"/>
      <c r="U62" s="484"/>
      <c r="V62" s="484"/>
      <c r="W62" s="484"/>
      <c r="X62" s="484"/>
      <c r="Y62" s="484"/>
    </row>
    <row r="63" spans="1:40" s="424" customFormat="1" ht="24" x14ac:dyDescent="0.35">
      <c r="A63" s="567">
        <v>1</v>
      </c>
      <c r="B63" s="577" t="s">
        <v>636</v>
      </c>
      <c r="C63" s="415" t="s">
        <v>449</v>
      </c>
      <c r="D63" s="572">
        <v>58</v>
      </c>
      <c r="E63" s="572">
        <v>1302246.3999999999</v>
      </c>
      <c r="F63" s="783">
        <f>D63*E63/10^5</f>
        <v>755.30291199999988</v>
      </c>
      <c r="G63" s="783">
        <f>$F63*$S63</f>
        <v>104.23180185599999</v>
      </c>
      <c r="H63" s="783">
        <f>F63+G63</f>
        <v>859.53471385599983</v>
      </c>
      <c r="I63" s="414"/>
      <c r="J63" s="414"/>
      <c r="K63" s="414"/>
      <c r="L63" s="414"/>
      <c r="M63" s="414"/>
      <c r="N63" s="750">
        <f>ROUND($F63*$AA$2/Input!$E$4/10,2)</f>
        <v>0.26</v>
      </c>
      <c r="O63" s="750">
        <f>ROUND($F63*(100%-$AA$2)/Input!$E$4/10,2)</f>
        <v>0.05</v>
      </c>
      <c r="P63" s="751">
        <f t="shared" si="15"/>
        <v>0.31</v>
      </c>
      <c r="Q63" s="750">
        <f>N63*$AA$3+$O63*$AB$3</f>
        <v>4.02E-2</v>
      </c>
      <c r="R63" s="751">
        <f t="shared" si="16"/>
        <v>0.35020000000000001</v>
      </c>
      <c r="S63" s="1139">
        <v>0.13800000000000001</v>
      </c>
      <c r="T63" s="779"/>
      <c r="U63" s="1140">
        <f>F63*$AA$2</f>
        <v>642.00747519999993</v>
      </c>
      <c r="V63" s="1140">
        <f>F63*$AB$2</f>
        <v>90.636349439999975</v>
      </c>
      <c r="W63" s="1140">
        <f t="shared" si="27"/>
        <v>732.64382463999993</v>
      </c>
      <c r="X63" s="1140">
        <f>G63</f>
        <v>104.23180185599999</v>
      </c>
      <c r="Y63" s="1140">
        <f>H63</f>
        <v>859.53471385599983</v>
      </c>
      <c r="AC63" s="414"/>
      <c r="AD63" s="414"/>
      <c r="AE63" s="414"/>
      <c r="AF63" s="414"/>
      <c r="AG63" s="414"/>
      <c r="AH63" s="414"/>
      <c r="AI63" s="414"/>
      <c r="AJ63" s="414"/>
      <c r="AK63" s="414"/>
      <c r="AL63" s="414"/>
      <c r="AM63" s="414"/>
      <c r="AN63" s="414"/>
    </row>
    <row r="64" spans="1:40" hidden="1" x14ac:dyDescent="0.35">
      <c r="A64" s="417">
        <v>2</v>
      </c>
      <c r="B64" s="566" t="s">
        <v>637</v>
      </c>
      <c r="C64" s="415" t="s">
        <v>28</v>
      </c>
      <c r="D64" s="572">
        <f>5</f>
        <v>5</v>
      </c>
      <c r="E64" s="572"/>
      <c r="F64" s="783">
        <f>D64*E64/10^5</f>
        <v>0</v>
      </c>
      <c r="G64" s="783">
        <f>$F64*$S64</f>
        <v>0</v>
      </c>
      <c r="H64" s="783">
        <f>F64+G64</f>
        <v>0</v>
      </c>
      <c r="N64" s="750">
        <f>ROUND($F64*$AA$2/Input!$E$4/10,2)</f>
        <v>0</v>
      </c>
      <c r="O64" s="750">
        <f>ROUND($F64*(100%-$AA$2)/Input!$E$4/10,2)</f>
        <v>0</v>
      </c>
      <c r="P64" s="751">
        <f t="shared" si="15"/>
        <v>0</v>
      </c>
      <c r="Q64" s="750">
        <f>N64*$AA$3+$O64*$AB$3</f>
        <v>0</v>
      </c>
      <c r="R64" s="751">
        <f t="shared" si="16"/>
        <v>0</v>
      </c>
      <c r="S64" s="1139">
        <f t="shared" ref="S64" si="38">$AA$4</f>
        <v>0.12359999999999999</v>
      </c>
      <c r="T64" s="779"/>
      <c r="U64" s="868">
        <f>F64*$AA$2</f>
        <v>0</v>
      </c>
      <c r="V64" s="868">
        <f>F64*$AB$2</f>
        <v>0</v>
      </c>
      <c r="W64" s="868">
        <f t="shared" si="27"/>
        <v>0</v>
      </c>
      <c r="X64" s="868">
        <f>G64</f>
        <v>0</v>
      </c>
      <c r="Y64" s="868">
        <f>H64</f>
        <v>0</v>
      </c>
    </row>
    <row r="65" spans="1:40" x14ac:dyDescent="0.35">
      <c r="A65" s="831" t="s">
        <v>905</v>
      </c>
      <c r="B65" s="585" t="s">
        <v>913</v>
      </c>
      <c r="C65" s="734"/>
      <c r="D65" s="600"/>
      <c r="E65" s="600"/>
      <c r="F65" s="601"/>
      <c r="G65" s="588"/>
      <c r="H65" s="588"/>
      <c r="N65" s="484"/>
      <c r="O65" s="484"/>
      <c r="P65" s="484"/>
      <c r="Q65" s="484"/>
      <c r="R65" s="484"/>
      <c r="S65" s="484"/>
      <c r="T65" s="482"/>
      <c r="U65" s="484"/>
      <c r="V65" s="484"/>
      <c r="W65" s="484"/>
      <c r="X65" s="484"/>
      <c r="Y65" s="484"/>
    </row>
    <row r="66" spans="1:40" ht="24" x14ac:dyDescent="0.35">
      <c r="A66" s="417">
        <v>1</v>
      </c>
      <c r="B66" s="566" t="s">
        <v>881</v>
      </c>
      <c r="C66" s="415" t="s">
        <v>28</v>
      </c>
      <c r="D66" s="572">
        <f>93</f>
        <v>93</v>
      </c>
      <c r="E66" s="572">
        <v>17338</v>
      </c>
      <c r="F66" s="783">
        <f t="shared" ref="F66:F72" si="39">D66*E66/10^5</f>
        <v>16.12434</v>
      </c>
      <c r="G66" s="783">
        <f t="shared" ref="G66:G72" si="40">$F66*$S66</f>
        <v>2.2251589200000002</v>
      </c>
      <c r="H66" s="783">
        <f t="shared" ref="H66:H72" si="41">F66+G66</f>
        <v>18.349498920000002</v>
      </c>
      <c r="N66" s="750">
        <f>ROUND($F66*$AA$2/Input!$E$4/10,2)</f>
        <v>0.01</v>
      </c>
      <c r="O66" s="750">
        <f>ROUND($F66*(100%-$AA$2)/Input!$E$4/10,2)</f>
        <v>0</v>
      </c>
      <c r="P66" s="751">
        <f t="shared" si="15"/>
        <v>0.01</v>
      </c>
      <c r="Q66" s="750">
        <f t="shared" ref="Q66:Q72" si="42">N66*$AA$3+$O66*$AB$3</f>
        <v>1.1999999999999999E-3</v>
      </c>
      <c r="R66" s="751">
        <f t="shared" si="16"/>
        <v>1.12E-2</v>
      </c>
      <c r="S66" s="1139">
        <v>0.13800000000000001</v>
      </c>
      <c r="T66" s="779"/>
      <c r="U66" s="1140">
        <f t="shared" ref="U66:U72" si="43">F66*$AA$2</f>
        <v>13.705689</v>
      </c>
      <c r="V66" s="1140">
        <f t="shared" ref="V66:V72" si="44">F66*$AB$2</f>
        <v>1.9349208</v>
      </c>
      <c r="W66" s="1140">
        <f t="shared" si="27"/>
        <v>15.6406098</v>
      </c>
      <c r="X66" s="1140">
        <f t="shared" ref="X66:Y72" si="45">G66</f>
        <v>2.2251589200000002</v>
      </c>
      <c r="Y66" s="1140">
        <f t="shared" si="45"/>
        <v>18.349498920000002</v>
      </c>
    </row>
    <row r="67" spans="1:40" ht="24" x14ac:dyDescent="0.35">
      <c r="A67" s="417">
        <v>2</v>
      </c>
      <c r="B67" s="566" t="s">
        <v>882</v>
      </c>
      <c r="C67" s="415" t="s">
        <v>28</v>
      </c>
      <c r="D67" s="572">
        <f>93</f>
        <v>93</v>
      </c>
      <c r="E67" s="572">
        <v>17338</v>
      </c>
      <c r="F67" s="783">
        <f t="shared" si="39"/>
        <v>16.12434</v>
      </c>
      <c r="G67" s="783">
        <f t="shared" si="40"/>
        <v>2.2251589200000002</v>
      </c>
      <c r="H67" s="783">
        <f t="shared" si="41"/>
        <v>18.349498920000002</v>
      </c>
      <c r="N67" s="750">
        <f>ROUND($F67*$AA$2/Input!$E$4/10,2)</f>
        <v>0.01</v>
      </c>
      <c r="O67" s="750">
        <f>ROUND($F67*(100%-$AA$2)/Input!$E$4/10,2)</f>
        <v>0</v>
      </c>
      <c r="P67" s="751">
        <f t="shared" si="15"/>
        <v>0.01</v>
      </c>
      <c r="Q67" s="750">
        <f t="shared" si="42"/>
        <v>1.1999999999999999E-3</v>
      </c>
      <c r="R67" s="751">
        <f t="shared" si="16"/>
        <v>1.12E-2</v>
      </c>
      <c r="S67" s="1139">
        <v>0.13800000000000001</v>
      </c>
      <c r="T67" s="779"/>
      <c r="U67" s="1140">
        <f t="shared" si="43"/>
        <v>13.705689</v>
      </c>
      <c r="V67" s="1140">
        <f t="shared" si="44"/>
        <v>1.9349208</v>
      </c>
      <c r="W67" s="1140">
        <f t="shared" si="27"/>
        <v>15.6406098</v>
      </c>
      <c r="X67" s="1140">
        <f t="shared" si="45"/>
        <v>2.2251589200000002</v>
      </c>
      <c r="Y67" s="1140">
        <f t="shared" si="45"/>
        <v>18.349498920000002</v>
      </c>
    </row>
    <row r="68" spans="1:40" x14ac:dyDescent="0.35">
      <c r="A68" s="417">
        <v>3</v>
      </c>
      <c r="B68" s="566" t="s">
        <v>638</v>
      </c>
      <c r="C68" s="415" t="s">
        <v>28</v>
      </c>
      <c r="D68" s="572">
        <v>141</v>
      </c>
      <c r="E68" s="572">
        <v>1000</v>
      </c>
      <c r="F68" s="783">
        <f t="shared" si="39"/>
        <v>1.41</v>
      </c>
      <c r="G68" s="783">
        <f t="shared" si="40"/>
        <v>0.19458</v>
      </c>
      <c r="H68" s="783">
        <f t="shared" si="41"/>
        <v>1.6045799999999999</v>
      </c>
      <c r="N68" s="750">
        <f>ROUND($F68*$AA$2/Input!$E$4/10,2)</f>
        <v>0</v>
      </c>
      <c r="O68" s="750">
        <f>ROUND($F68*(100%-$AA$2)/Input!$E$4/10,2)</f>
        <v>0</v>
      </c>
      <c r="P68" s="751">
        <f t="shared" si="15"/>
        <v>0</v>
      </c>
      <c r="Q68" s="750">
        <f t="shared" si="42"/>
        <v>0</v>
      </c>
      <c r="R68" s="751">
        <f t="shared" si="16"/>
        <v>0</v>
      </c>
      <c r="S68" s="1139">
        <v>0.13800000000000001</v>
      </c>
      <c r="T68" s="779"/>
      <c r="U68" s="1140">
        <f t="shared" si="43"/>
        <v>1.1984999999999999</v>
      </c>
      <c r="V68" s="1140">
        <f t="shared" si="44"/>
        <v>0.16919999999999999</v>
      </c>
      <c r="W68" s="1140">
        <f t="shared" si="27"/>
        <v>1.3676999999999999</v>
      </c>
      <c r="X68" s="1140">
        <f t="shared" si="45"/>
        <v>0.19458</v>
      </c>
      <c r="Y68" s="1140">
        <f t="shared" si="45"/>
        <v>1.6045799999999999</v>
      </c>
    </row>
    <row r="69" spans="1:40" x14ac:dyDescent="0.35">
      <c r="A69" s="417">
        <v>4</v>
      </c>
      <c r="B69" s="566" t="s">
        <v>639</v>
      </c>
      <c r="C69" s="415" t="s">
        <v>28</v>
      </c>
      <c r="D69" s="572">
        <v>370</v>
      </c>
      <c r="E69" s="572">
        <v>1000</v>
      </c>
      <c r="F69" s="783">
        <f t="shared" si="39"/>
        <v>3.7</v>
      </c>
      <c r="G69" s="783">
        <f t="shared" si="40"/>
        <v>0.51060000000000005</v>
      </c>
      <c r="H69" s="783">
        <f t="shared" si="41"/>
        <v>4.2106000000000003</v>
      </c>
      <c r="N69" s="750">
        <f>ROUND($F69*$AA$2/Input!$E$4/10,2)</f>
        <v>0</v>
      </c>
      <c r="O69" s="750">
        <f>ROUND($F69*(100%-$AA$2)/Input!$E$4/10,2)</f>
        <v>0</v>
      </c>
      <c r="P69" s="751">
        <f t="shared" si="15"/>
        <v>0</v>
      </c>
      <c r="Q69" s="750">
        <f t="shared" si="42"/>
        <v>0</v>
      </c>
      <c r="R69" s="751">
        <f t="shared" si="16"/>
        <v>0</v>
      </c>
      <c r="S69" s="1139">
        <v>0.13800000000000001</v>
      </c>
      <c r="T69" s="779"/>
      <c r="U69" s="1140">
        <f t="shared" si="43"/>
        <v>3.145</v>
      </c>
      <c r="V69" s="1140">
        <f t="shared" si="44"/>
        <v>0.44400000000000001</v>
      </c>
      <c r="W69" s="1140">
        <f t="shared" si="27"/>
        <v>3.589</v>
      </c>
      <c r="X69" s="1140">
        <f t="shared" si="45"/>
        <v>0.51060000000000005</v>
      </c>
      <c r="Y69" s="1140">
        <f t="shared" si="45"/>
        <v>4.2106000000000003</v>
      </c>
    </row>
    <row r="70" spans="1:40" s="424" customFormat="1" ht="24" x14ac:dyDescent="0.35">
      <c r="A70" s="567">
        <v>5</v>
      </c>
      <c r="B70" s="577" t="s">
        <v>640</v>
      </c>
      <c r="C70" s="415" t="s">
        <v>449</v>
      </c>
      <c r="D70" s="572">
        <f>150</f>
        <v>150</v>
      </c>
      <c r="E70" s="820">
        <v>145800</v>
      </c>
      <c r="F70" s="783">
        <f t="shared" si="39"/>
        <v>218.7</v>
      </c>
      <c r="G70" s="783">
        <f t="shared" si="40"/>
        <v>30.180600000000002</v>
      </c>
      <c r="H70" s="783">
        <f t="shared" si="41"/>
        <v>248.88059999999999</v>
      </c>
      <c r="I70" s="414"/>
      <c r="J70" s="414"/>
      <c r="K70" s="414"/>
      <c r="L70" s="414"/>
      <c r="M70" s="414"/>
      <c r="N70" s="750">
        <f>ROUND($F70*$AA$2/Input!$E$4/10,2)</f>
        <v>0.08</v>
      </c>
      <c r="O70" s="750">
        <f>ROUND($F70*(100%-$AA$2)/Input!$E$4/10,2)</f>
        <v>0.01</v>
      </c>
      <c r="P70" s="751">
        <f t="shared" si="15"/>
        <v>0.09</v>
      </c>
      <c r="Q70" s="750">
        <f t="shared" si="42"/>
        <v>1.1399999999999999E-2</v>
      </c>
      <c r="R70" s="751">
        <f t="shared" si="16"/>
        <v>0.10139999999999999</v>
      </c>
      <c r="S70" s="1139">
        <v>0.13800000000000001</v>
      </c>
      <c r="T70" s="779"/>
      <c r="U70" s="1140">
        <f t="shared" si="43"/>
        <v>185.89499999999998</v>
      </c>
      <c r="V70" s="1140">
        <f t="shared" si="44"/>
        <v>26.243999999999996</v>
      </c>
      <c r="W70" s="1140">
        <f t="shared" si="27"/>
        <v>212.13899999999998</v>
      </c>
      <c r="X70" s="1140">
        <f t="shared" si="45"/>
        <v>30.180600000000002</v>
      </c>
      <c r="Y70" s="1140">
        <f t="shared" si="45"/>
        <v>248.88059999999999</v>
      </c>
      <c r="AC70" s="414"/>
      <c r="AD70" s="414"/>
      <c r="AE70" s="414"/>
      <c r="AF70" s="414"/>
      <c r="AG70" s="414"/>
      <c r="AH70" s="414"/>
      <c r="AI70" s="414"/>
      <c r="AJ70" s="414"/>
      <c r="AK70" s="414"/>
      <c r="AL70" s="414"/>
      <c r="AM70" s="414"/>
      <c r="AN70" s="414"/>
    </row>
    <row r="71" spans="1:40" s="424" customFormat="1" x14ac:dyDescent="0.35">
      <c r="A71" s="567">
        <v>6</v>
      </c>
      <c r="B71" s="577" t="s">
        <v>1002</v>
      </c>
      <c r="C71" s="415" t="s">
        <v>28</v>
      </c>
      <c r="D71" s="572">
        <v>275</v>
      </c>
      <c r="E71" s="572">
        <v>17338</v>
      </c>
      <c r="F71" s="783">
        <f t="shared" si="39"/>
        <v>47.679499999999997</v>
      </c>
      <c r="G71" s="783">
        <f t="shared" si="40"/>
        <v>6.579771</v>
      </c>
      <c r="H71" s="783">
        <f t="shared" si="41"/>
        <v>54.259270999999998</v>
      </c>
      <c r="I71" s="414"/>
      <c r="J71" s="414"/>
      <c r="K71" s="414"/>
      <c r="L71" s="414"/>
      <c r="M71" s="414"/>
      <c r="N71" s="750">
        <f>ROUND($F71*$AA$2/Input!$E$4/10,2)</f>
        <v>0.02</v>
      </c>
      <c r="O71" s="750">
        <f>ROUND($F71*(100%-$AA$2)/Input!$E$4/10,2)</f>
        <v>0</v>
      </c>
      <c r="P71" s="751">
        <f>SUM(N71:O71)</f>
        <v>0.02</v>
      </c>
      <c r="Q71" s="750">
        <f t="shared" si="42"/>
        <v>2.3999999999999998E-3</v>
      </c>
      <c r="R71" s="751">
        <f>P71+Q71</f>
        <v>2.24E-2</v>
      </c>
      <c r="S71" s="1139">
        <v>0.13800000000000001</v>
      </c>
      <c r="T71" s="779"/>
      <c r="U71" s="1140">
        <f t="shared" si="43"/>
        <v>40.527574999999999</v>
      </c>
      <c r="V71" s="1140">
        <f t="shared" si="44"/>
        <v>5.7215399999999992</v>
      </c>
      <c r="W71" s="1140">
        <f t="shared" si="27"/>
        <v>46.249114999999996</v>
      </c>
      <c r="X71" s="1140">
        <f t="shared" si="45"/>
        <v>6.579771</v>
      </c>
      <c r="Y71" s="1140">
        <f t="shared" si="45"/>
        <v>54.259270999999998</v>
      </c>
      <c r="AC71" s="414"/>
      <c r="AD71" s="414"/>
      <c r="AE71" s="414"/>
      <c r="AF71" s="414"/>
      <c r="AG71" s="414"/>
      <c r="AH71" s="414"/>
      <c r="AI71" s="414"/>
      <c r="AJ71" s="414"/>
      <c r="AK71" s="414"/>
      <c r="AL71" s="414"/>
      <c r="AM71" s="414"/>
      <c r="AN71" s="414"/>
    </row>
    <row r="72" spans="1:40" s="424" customFormat="1" x14ac:dyDescent="0.35">
      <c r="A72" s="567">
        <v>7</v>
      </c>
      <c r="B72" s="577" t="s">
        <v>987</v>
      </c>
      <c r="C72" s="415" t="s">
        <v>28</v>
      </c>
      <c r="D72" s="572">
        <v>10000</v>
      </c>
      <c r="E72" s="820">
        <v>100</v>
      </c>
      <c r="F72" s="783">
        <f t="shared" si="39"/>
        <v>10</v>
      </c>
      <c r="G72" s="783">
        <f t="shared" si="40"/>
        <v>1.3800000000000001</v>
      </c>
      <c r="H72" s="783">
        <f t="shared" si="41"/>
        <v>11.38</v>
      </c>
      <c r="I72" s="414"/>
      <c r="J72" s="414"/>
      <c r="K72" s="414"/>
      <c r="L72" s="414"/>
      <c r="M72" s="414"/>
      <c r="N72" s="750">
        <f>ROUND($F72*$AA$2/Input!$E$4/10,2)</f>
        <v>0</v>
      </c>
      <c r="O72" s="750">
        <f>ROUND($F72*(100%-$AA$2)/Input!$E$4/10,2)</f>
        <v>0</v>
      </c>
      <c r="P72" s="751">
        <f>SUM(N72:O72)</f>
        <v>0</v>
      </c>
      <c r="Q72" s="750">
        <f t="shared" si="42"/>
        <v>0</v>
      </c>
      <c r="R72" s="751">
        <f>P72+Q72</f>
        <v>0</v>
      </c>
      <c r="S72" s="1139">
        <v>0.13800000000000001</v>
      </c>
      <c r="T72" s="779"/>
      <c r="U72" s="1140">
        <f t="shared" si="43"/>
        <v>8.5</v>
      </c>
      <c r="V72" s="1140">
        <f t="shared" si="44"/>
        <v>1.2</v>
      </c>
      <c r="W72" s="1140">
        <f t="shared" si="27"/>
        <v>9.6999999999999993</v>
      </c>
      <c r="X72" s="1140">
        <f t="shared" si="45"/>
        <v>1.3800000000000001</v>
      </c>
      <c r="Y72" s="1140">
        <f t="shared" si="45"/>
        <v>11.38</v>
      </c>
      <c r="AC72" s="414"/>
      <c r="AD72" s="414"/>
      <c r="AE72" s="414"/>
      <c r="AF72" s="414"/>
      <c r="AG72" s="414"/>
      <c r="AH72" s="414"/>
      <c r="AI72" s="414"/>
      <c r="AJ72" s="414"/>
      <c r="AK72" s="414"/>
      <c r="AL72" s="414"/>
      <c r="AM72" s="414"/>
      <c r="AN72" s="414"/>
    </row>
    <row r="73" spans="1:40" x14ac:dyDescent="0.35">
      <c r="A73" s="831" t="s">
        <v>906</v>
      </c>
      <c r="B73" s="585" t="s">
        <v>914</v>
      </c>
      <c r="C73" s="734"/>
      <c r="D73" s="600"/>
      <c r="E73" s="600"/>
      <c r="F73" s="601"/>
      <c r="G73" s="588"/>
      <c r="H73" s="588"/>
      <c r="N73" s="484"/>
      <c r="O73" s="484"/>
      <c r="P73" s="484"/>
      <c r="Q73" s="484"/>
      <c r="R73" s="484"/>
      <c r="S73" s="484"/>
      <c r="T73" s="482"/>
      <c r="U73" s="484"/>
      <c r="V73" s="484"/>
      <c r="W73" s="484"/>
      <c r="X73" s="484"/>
      <c r="Y73" s="484"/>
    </row>
    <row r="74" spans="1:40" ht="24" x14ac:dyDescent="0.35">
      <c r="A74" s="417">
        <v>1</v>
      </c>
      <c r="B74" s="566" t="s">
        <v>821</v>
      </c>
      <c r="C74" s="415" t="s">
        <v>28</v>
      </c>
      <c r="D74" s="572">
        <f>487*0.95</f>
        <v>462.65</v>
      </c>
      <c r="E74" s="572">
        <f>440000*1.2</f>
        <v>528000</v>
      </c>
      <c r="F74" s="783">
        <f>D74*E74/10^5</f>
        <v>2442.7919999999999</v>
      </c>
      <c r="G74" s="783">
        <f>$F74*$S74</f>
        <v>337.10529600000001</v>
      </c>
      <c r="H74" s="783">
        <f>F74+G74</f>
        <v>2779.8972960000001</v>
      </c>
      <c r="N74" s="750">
        <f>ROUND($F74*$AA$2/Input!$E$4/10,2)</f>
        <v>0.85</v>
      </c>
      <c r="O74" s="750">
        <f>ROUND($F74*(100%-$AA$2)/Input!$E$4/10,2)</f>
        <v>0.15</v>
      </c>
      <c r="P74" s="751">
        <f t="shared" si="15"/>
        <v>1</v>
      </c>
      <c r="Q74" s="750">
        <f>N74*$AA$3+$O74*$AB$3</f>
        <v>0.129</v>
      </c>
      <c r="R74" s="751">
        <f t="shared" si="16"/>
        <v>1.129</v>
      </c>
      <c r="S74" s="1139">
        <v>0.13800000000000001</v>
      </c>
      <c r="T74" s="779"/>
      <c r="U74" s="1140">
        <f>F74*$AA$2</f>
        <v>2076.3732</v>
      </c>
      <c r="V74" s="1140">
        <f>F74*$AB$2</f>
        <v>293.13504</v>
      </c>
      <c r="W74" s="1140">
        <f t="shared" si="27"/>
        <v>2369.5082400000001</v>
      </c>
      <c r="X74" s="1140">
        <f t="shared" ref="X74:Y76" si="46">G74</f>
        <v>337.10529600000001</v>
      </c>
      <c r="Y74" s="1140">
        <f t="shared" si="46"/>
        <v>2779.8972960000001</v>
      </c>
    </row>
    <row r="75" spans="1:40" s="422" customFormat="1" ht="24" x14ac:dyDescent="0.35">
      <c r="A75" s="417">
        <v>2</v>
      </c>
      <c r="B75" s="566" t="s">
        <v>883</v>
      </c>
      <c r="C75" s="415" t="s">
        <v>28</v>
      </c>
      <c r="D75" s="572">
        <v>921</v>
      </c>
      <c r="E75" s="572">
        <v>1354.5</v>
      </c>
      <c r="F75" s="783">
        <f>D75*E75/10^5</f>
        <v>12.474945</v>
      </c>
      <c r="G75" s="783">
        <f>$F75*$S75</f>
        <v>1.7215424100000001</v>
      </c>
      <c r="H75" s="783">
        <f>F75+G75</f>
        <v>14.19648741</v>
      </c>
      <c r="I75" s="414"/>
      <c r="J75" s="414"/>
      <c r="K75" s="414"/>
      <c r="L75" s="414"/>
      <c r="M75" s="414"/>
      <c r="N75" s="750">
        <f>ROUND($F75*$AA$2/Input!$E$4/10,2)</f>
        <v>0</v>
      </c>
      <c r="O75" s="750">
        <f>ROUND($F75*(100%-$AA$2)/Input!$E$4/10,2)</f>
        <v>0</v>
      </c>
      <c r="P75" s="751">
        <f t="shared" si="15"/>
        <v>0</v>
      </c>
      <c r="Q75" s="750">
        <f>N75*$AA$3+$O75*$AB$3</f>
        <v>0</v>
      </c>
      <c r="R75" s="751">
        <f t="shared" si="16"/>
        <v>0</v>
      </c>
      <c r="S75" s="1139">
        <v>0.13800000000000001</v>
      </c>
      <c r="T75" s="779"/>
      <c r="U75" s="1140">
        <f>F75*$AA$2</f>
        <v>10.603703249999999</v>
      </c>
      <c r="V75" s="1140">
        <f>F75*$AB$2</f>
        <v>1.4969934</v>
      </c>
      <c r="W75" s="1140">
        <f t="shared" si="27"/>
        <v>12.10069665</v>
      </c>
      <c r="X75" s="1140">
        <f t="shared" si="46"/>
        <v>1.7215424100000001</v>
      </c>
      <c r="Y75" s="1140">
        <f t="shared" si="46"/>
        <v>14.19648741</v>
      </c>
      <c r="AC75" s="414"/>
      <c r="AD75" s="414"/>
      <c r="AE75" s="414"/>
      <c r="AF75" s="414"/>
      <c r="AG75" s="414"/>
      <c r="AH75" s="414"/>
      <c r="AI75" s="414"/>
      <c r="AJ75" s="414"/>
      <c r="AK75" s="414"/>
      <c r="AL75" s="414"/>
      <c r="AM75" s="414"/>
      <c r="AN75" s="414"/>
    </row>
    <row r="76" spans="1:40" ht="24" x14ac:dyDescent="0.35">
      <c r="A76" s="417">
        <v>3</v>
      </c>
      <c r="B76" s="566" t="s">
        <v>884</v>
      </c>
      <c r="C76" s="415" t="s">
        <v>28</v>
      </c>
      <c r="D76" s="572">
        <v>300</v>
      </c>
      <c r="E76" s="572">
        <v>2709</v>
      </c>
      <c r="F76" s="783">
        <f>D76*E76/10^5</f>
        <v>8.1270000000000007</v>
      </c>
      <c r="G76" s="783">
        <f>$F76*$S76</f>
        <v>1.1215260000000002</v>
      </c>
      <c r="H76" s="783">
        <f>F76+G76</f>
        <v>9.2485260000000018</v>
      </c>
      <c r="N76" s="750">
        <f>ROUND($F76*$AA$2/Input!$E$4/10,2)</f>
        <v>0</v>
      </c>
      <c r="O76" s="750">
        <f>ROUND($F76*(100%-$AA$2)/Input!$E$4/10,2)</f>
        <v>0</v>
      </c>
      <c r="P76" s="751">
        <f t="shared" si="15"/>
        <v>0</v>
      </c>
      <c r="Q76" s="750">
        <f>N76*$AA$3+$O76*$AB$3</f>
        <v>0</v>
      </c>
      <c r="R76" s="751">
        <f t="shared" si="16"/>
        <v>0</v>
      </c>
      <c r="S76" s="1139">
        <v>0.13800000000000001</v>
      </c>
      <c r="T76" s="779"/>
      <c r="U76" s="1140">
        <f>F76*$AA$2</f>
        <v>6.9079500000000005</v>
      </c>
      <c r="V76" s="1140">
        <f>F76*$AB$2</f>
        <v>0.97524</v>
      </c>
      <c r="W76" s="1140">
        <f t="shared" si="27"/>
        <v>7.8831900000000008</v>
      </c>
      <c r="X76" s="1140">
        <f t="shared" si="46"/>
        <v>1.1215260000000002</v>
      </c>
      <c r="Y76" s="1140">
        <f t="shared" si="46"/>
        <v>9.2485260000000018</v>
      </c>
    </row>
    <row r="77" spans="1:40" x14ac:dyDescent="0.35">
      <c r="A77" s="831" t="s">
        <v>907</v>
      </c>
      <c r="B77" s="585" t="s">
        <v>1027</v>
      </c>
      <c r="C77" s="733"/>
      <c r="D77" s="588"/>
      <c r="E77" s="722"/>
      <c r="F77" s="869"/>
      <c r="G77" s="722"/>
      <c r="H77" s="722"/>
      <c r="N77" s="484"/>
      <c r="O77" s="484"/>
      <c r="P77" s="484"/>
      <c r="Q77" s="484"/>
      <c r="R77" s="484"/>
      <c r="S77" s="484"/>
      <c r="T77" s="482"/>
      <c r="U77" s="484"/>
      <c r="V77" s="484"/>
      <c r="W77" s="484"/>
      <c r="X77" s="484"/>
      <c r="Y77" s="484"/>
    </row>
    <row r="78" spans="1:40" ht="24" x14ac:dyDescent="0.35">
      <c r="A78" s="417">
        <v>1</v>
      </c>
      <c r="B78" s="566" t="s">
        <v>885</v>
      </c>
      <c r="C78" s="415" t="s">
        <v>28</v>
      </c>
      <c r="D78" s="572">
        <f>75000</f>
        <v>75000</v>
      </c>
      <c r="E78" s="486">
        <v>688</v>
      </c>
      <c r="F78" s="783">
        <f>D78*E78/10^5</f>
        <v>516</v>
      </c>
      <c r="G78" s="783">
        <f>$F78*$S78</f>
        <v>71.208000000000013</v>
      </c>
      <c r="H78" s="783">
        <f>F78+G78</f>
        <v>587.20799999999997</v>
      </c>
      <c r="N78" s="750">
        <f>ROUND($F78*$AA$2/Input!$E$4/10,2)</f>
        <v>0.18</v>
      </c>
      <c r="O78" s="750">
        <f>ROUND($F78*(100%-$AA$2)/Input!$E$4/10,2)</f>
        <v>0.03</v>
      </c>
      <c r="P78" s="751">
        <f t="shared" si="15"/>
        <v>0.21</v>
      </c>
      <c r="Q78" s="750">
        <f>N78*$AA$3+$O78*$AB$3</f>
        <v>2.6999999999999996E-2</v>
      </c>
      <c r="R78" s="751">
        <f t="shared" si="16"/>
        <v>0.23699999999999999</v>
      </c>
      <c r="S78" s="1139">
        <v>0.13800000000000001</v>
      </c>
      <c r="T78" s="779"/>
      <c r="U78" s="1140">
        <f>F78*$AA$2</f>
        <v>438.59999999999997</v>
      </c>
      <c r="V78" s="1140">
        <f>F78*$AB$2</f>
        <v>61.919999999999995</v>
      </c>
      <c r="W78" s="1140">
        <f t="shared" si="27"/>
        <v>500.52</v>
      </c>
      <c r="X78" s="1140">
        <f t="shared" ref="X78:Y80" si="47">G78</f>
        <v>71.208000000000013</v>
      </c>
      <c r="Y78" s="1140">
        <f t="shared" si="47"/>
        <v>587.20799999999997</v>
      </c>
    </row>
    <row r="79" spans="1:40" x14ac:dyDescent="0.35">
      <c r="A79" s="417">
        <v>2</v>
      </c>
      <c r="B79" s="566" t="s">
        <v>886</v>
      </c>
      <c r="C79" s="415" t="s">
        <v>28</v>
      </c>
      <c r="D79" s="572">
        <f>100</f>
        <v>100</v>
      </c>
      <c r="E79" s="486">
        <v>645</v>
      </c>
      <c r="F79" s="783">
        <f>D79*E79/10^5</f>
        <v>0.64500000000000002</v>
      </c>
      <c r="G79" s="783">
        <f>$F79*$S79</f>
        <v>8.9010000000000006E-2</v>
      </c>
      <c r="H79" s="783">
        <f>F79+G79</f>
        <v>0.73401000000000005</v>
      </c>
      <c r="N79" s="750">
        <f>ROUND($F79*$AA$2/Input!$E$4/10,2)</f>
        <v>0</v>
      </c>
      <c r="O79" s="750">
        <f>ROUND($F79*(100%-$AA$2)/Input!$E$4/10,2)</f>
        <v>0</v>
      </c>
      <c r="P79" s="751">
        <f t="shared" si="15"/>
        <v>0</v>
      </c>
      <c r="Q79" s="750">
        <f>N79*$AA$3+$O79*$AB$3</f>
        <v>0</v>
      </c>
      <c r="R79" s="751">
        <f t="shared" si="16"/>
        <v>0</v>
      </c>
      <c r="S79" s="1139">
        <v>0.13800000000000001</v>
      </c>
      <c r="T79" s="779"/>
      <c r="U79" s="1140">
        <f>F79*$AA$2</f>
        <v>0.54825000000000002</v>
      </c>
      <c r="V79" s="1140">
        <f>F79*$AB$2</f>
        <v>7.7399999999999997E-2</v>
      </c>
      <c r="W79" s="1140">
        <f t="shared" si="27"/>
        <v>0.62565000000000004</v>
      </c>
      <c r="X79" s="1140">
        <f t="shared" si="47"/>
        <v>8.9010000000000006E-2</v>
      </c>
      <c r="Y79" s="1140">
        <f t="shared" si="47"/>
        <v>0.73401000000000005</v>
      </c>
    </row>
    <row r="80" spans="1:40" x14ac:dyDescent="0.35">
      <c r="A80" s="417">
        <v>3</v>
      </c>
      <c r="B80" s="566" t="s">
        <v>635</v>
      </c>
      <c r="C80" s="415" t="s">
        <v>28</v>
      </c>
      <c r="D80" s="572">
        <f>4400</f>
        <v>4400</v>
      </c>
      <c r="E80" s="486">
        <v>645</v>
      </c>
      <c r="F80" s="783">
        <f>D80*E80/10^5</f>
        <v>28.38</v>
      </c>
      <c r="G80" s="783">
        <f>$F80*$S80</f>
        <v>3.9164400000000001</v>
      </c>
      <c r="H80" s="783">
        <f>F80+G80</f>
        <v>32.296439999999997</v>
      </c>
      <c r="N80" s="750">
        <f>ROUND($F80*$AA$2/Input!$E$4/10,2)</f>
        <v>0.01</v>
      </c>
      <c r="O80" s="750">
        <f>ROUND($F80*(100%-$AA$2)/Input!$E$4/10,2)</f>
        <v>0</v>
      </c>
      <c r="P80" s="751">
        <f t="shared" si="15"/>
        <v>0.01</v>
      </c>
      <c r="Q80" s="750">
        <f>N80*$AA$3+$O80*$AB$3</f>
        <v>1.1999999999999999E-3</v>
      </c>
      <c r="R80" s="751">
        <f t="shared" si="16"/>
        <v>1.12E-2</v>
      </c>
      <c r="S80" s="1139">
        <v>0.13800000000000001</v>
      </c>
      <c r="T80" s="779"/>
      <c r="U80" s="1140">
        <f>F80*$AA$2</f>
        <v>24.122999999999998</v>
      </c>
      <c r="V80" s="1140">
        <f>F80*$AB$2</f>
        <v>3.4055999999999997</v>
      </c>
      <c r="W80" s="1140">
        <f t="shared" si="27"/>
        <v>27.528599999999997</v>
      </c>
      <c r="X80" s="1140">
        <f t="shared" si="47"/>
        <v>3.9164400000000001</v>
      </c>
      <c r="Y80" s="1140">
        <f t="shared" si="47"/>
        <v>32.296439999999997</v>
      </c>
    </row>
    <row r="81" spans="1:25" x14ac:dyDescent="0.35">
      <c r="A81" s="831" t="s">
        <v>908</v>
      </c>
      <c r="B81" s="585" t="s">
        <v>828</v>
      </c>
      <c r="C81" s="733"/>
      <c r="D81" s="588"/>
      <c r="E81" s="890"/>
      <c r="F81" s="722"/>
      <c r="G81" s="722"/>
      <c r="H81" s="722"/>
      <c r="N81" s="484"/>
      <c r="O81" s="484"/>
      <c r="P81" s="484"/>
      <c r="Q81" s="484"/>
      <c r="R81" s="484"/>
      <c r="S81" s="484"/>
      <c r="T81" s="482"/>
      <c r="U81" s="484"/>
      <c r="V81" s="484"/>
      <c r="W81" s="484"/>
      <c r="X81" s="484"/>
      <c r="Y81" s="484"/>
    </row>
    <row r="82" spans="1:25" x14ac:dyDescent="0.35">
      <c r="A82" s="831" t="s">
        <v>938</v>
      </c>
      <c r="B82" s="586" t="s">
        <v>586</v>
      </c>
      <c r="C82" s="733"/>
      <c r="D82" s="588"/>
      <c r="E82" s="587"/>
      <c r="F82" s="587"/>
      <c r="G82" s="587"/>
      <c r="H82" s="587"/>
      <c r="N82" s="484"/>
      <c r="O82" s="484"/>
      <c r="P82" s="484"/>
      <c r="Q82" s="484"/>
      <c r="R82" s="484"/>
      <c r="S82" s="484"/>
      <c r="T82" s="482"/>
      <c r="U82" s="484"/>
      <c r="V82" s="484"/>
      <c r="W82" s="484"/>
      <c r="X82" s="484"/>
      <c r="Y82" s="484"/>
    </row>
    <row r="83" spans="1:25" ht="24" x14ac:dyDescent="0.35">
      <c r="A83" s="417">
        <v>1</v>
      </c>
      <c r="B83" s="1225" t="s">
        <v>814</v>
      </c>
      <c r="C83" s="958" t="s">
        <v>387</v>
      </c>
      <c r="D83" s="835">
        <v>564</v>
      </c>
      <c r="E83" s="823">
        <v>22325</v>
      </c>
      <c r="F83" s="836">
        <f t="shared" ref="F83:F92" si="48">D83*E83/10^5</f>
        <v>125.913</v>
      </c>
      <c r="G83" s="836">
        <f t="shared" ref="G83:G92" si="49">$F83*$S83</f>
        <v>17.375994000000002</v>
      </c>
      <c r="H83" s="836">
        <f t="shared" ref="H83:H92" si="50">F83+G83</f>
        <v>143.288994</v>
      </c>
      <c r="N83" s="750">
        <f>ROUND($F83*$AA$2/Input!$E$4/10,2)</f>
        <v>0.04</v>
      </c>
      <c r="O83" s="750">
        <f>ROUND($F83*(100%-$AA$2)/Input!$E$4/10,2)</f>
        <v>0.01</v>
      </c>
      <c r="P83" s="751">
        <f t="shared" si="15"/>
        <v>0.05</v>
      </c>
      <c r="Q83" s="750">
        <f t="shared" ref="Q83:Q92" si="51">N83*$AA$3+$O83*$AB$3</f>
        <v>6.6E-3</v>
      </c>
      <c r="R83" s="751">
        <f t="shared" si="16"/>
        <v>5.6600000000000004E-2</v>
      </c>
      <c r="S83" s="1139">
        <v>0.13800000000000001</v>
      </c>
      <c r="T83" s="779"/>
      <c r="U83" s="1140">
        <f t="shared" ref="U83:U92" si="52">F83*$AA$2</f>
        <v>107.02605</v>
      </c>
      <c r="V83" s="1140">
        <f t="shared" ref="V83:V92" si="53">F83*$AB$2</f>
        <v>15.109559999999998</v>
      </c>
      <c r="W83" s="1140">
        <f t="shared" si="27"/>
        <v>122.13561</v>
      </c>
      <c r="X83" s="1140">
        <f t="shared" ref="X83:X92" si="54">G83</f>
        <v>17.375994000000002</v>
      </c>
      <c r="Y83" s="1140">
        <f t="shared" ref="Y83:Y92" si="55">H83</f>
        <v>143.288994</v>
      </c>
    </row>
    <row r="84" spans="1:25" ht="24" x14ac:dyDescent="0.35">
      <c r="A84" s="417">
        <v>2</v>
      </c>
      <c r="B84" s="583" t="s">
        <v>653</v>
      </c>
      <c r="C84" s="735" t="s">
        <v>387</v>
      </c>
      <c r="D84" s="835">
        <v>480</v>
      </c>
      <c r="E84" s="823">
        <v>3500</v>
      </c>
      <c r="F84" s="836">
        <f t="shared" si="48"/>
        <v>16.8</v>
      </c>
      <c r="G84" s="836">
        <f t="shared" si="49"/>
        <v>2.3184000000000005</v>
      </c>
      <c r="H84" s="836">
        <f t="shared" si="50"/>
        <v>19.118400000000001</v>
      </c>
      <c r="N84" s="750">
        <f>ROUND($F84*$AA$2/Input!$E$4/10,2)</f>
        <v>0.01</v>
      </c>
      <c r="O84" s="750">
        <f>ROUND($F84*(100%-$AA$2)/Input!$E$4/10,2)</f>
        <v>0</v>
      </c>
      <c r="P84" s="751">
        <f t="shared" si="15"/>
        <v>0.01</v>
      </c>
      <c r="Q84" s="750">
        <f t="shared" si="51"/>
        <v>1.1999999999999999E-3</v>
      </c>
      <c r="R84" s="751">
        <f t="shared" si="16"/>
        <v>1.12E-2</v>
      </c>
      <c r="S84" s="1139">
        <v>0.13800000000000001</v>
      </c>
      <c r="T84" s="779"/>
      <c r="U84" s="1140">
        <f t="shared" si="52"/>
        <v>14.28</v>
      </c>
      <c r="V84" s="1140">
        <f t="shared" si="53"/>
        <v>2.016</v>
      </c>
      <c r="W84" s="1140">
        <f t="shared" si="27"/>
        <v>16.295999999999999</v>
      </c>
      <c r="X84" s="1140">
        <f t="shared" si="54"/>
        <v>2.3184000000000005</v>
      </c>
      <c r="Y84" s="1140">
        <f t="shared" si="55"/>
        <v>19.118400000000001</v>
      </c>
    </row>
    <row r="85" spans="1:25" ht="24" x14ac:dyDescent="0.35">
      <c r="A85" s="417">
        <v>3</v>
      </c>
      <c r="B85" s="583" t="s">
        <v>654</v>
      </c>
      <c r="C85" s="735" t="s">
        <v>387</v>
      </c>
      <c r="D85" s="835">
        <v>56</v>
      </c>
      <c r="E85" s="823">
        <v>2500</v>
      </c>
      <c r="F85" s="836">
        <f t="shared" si="48"/>
        <v>1.4</v>
      </c>
      <c r="G85" s="836">
        <f t="shared" si="49"/>
        <v>0.19320000000000001</v>
      </c>
      <c r="H85" s="836">
        <f t="shared" si="50"/>
        <v>1.5931999999999999</v>
      </c>
      <c r="N85" s="750">
        <f>ROUND($F85*$AA$2/Input!$E$4/10,2)</f>
        <v>0</v>
      </c>
      <c r="O85" s="750">
        <f>ROUND($F85*(100%-$AA$2)/Input!$E$4/10,2)</f>
        <v>0</v>
      </c>
      <c r="P85" s="751">
        <f t="shared" si="15"/>
        <v>0</v>
      </c>
      <c r="Q85" s="750">
        <f t="shared" si="51"/>
        <v>0</v>
      </c>
      <c r="R85" s="751">
        <f t="shared" si="16"/>
        <v>0</v>
      </c>
      <c r="S85" s="1139">
        <v>0.13800000000000001</v>
      </c>
      <c r="T85" s="779"/>
      <c r="U85" s="1140">
        <f t="shared" si="52"/>
        <v>1.19</v>
      </c>
      <c r="V85" s="1140">
        <f t="shared" si="53"/>
        <v>0.16799999999999998</v>
      </c>
      <c r="W85" s="1140">
        <f t="shared" si="27"/>
        <v>1.3579999999999999</v>
      </c>
      <c r="X85" s="1140">
        <f t="shared" si="54"/>
        <v>0.19320000000000001</v>
      </c>
      <c r="Y85" s="1140">
        <f t="shared" si="55"/>
        <v>1.5931999999999999</v>
      </c>
    </row>
    <row r="86" spans="1:25" ht="24" x14ac:dyDescent="0.35">
      <c r="A86" s="417">
        <v>4</v>
      </c>
      <c r="B86" s="584" t="s">
        <v>655</v>
      </c>
      <c r="C86" s="735" t="s">
        <v>615</v>
      </c>
      <c r="D86" s="835">
        <v>95</v>
      </c>
      <c r="E86" s="823">
        <v>5330</v>
      </c>
      <c r="F86" s="836">
        <f t="shared" si="48"/>
        <v>5.0635000000000003</v>
      </c>
      <c r="G86" s="836">
        <f t="shared" si="49"/>
        <v>0.69876300000000013</v>
      </c>
      <c r="H86" s="836">
        <f t="shared" si="50"/>
        <v>5.7622630000000008</v>
      </c>
      <c r="N86" s="750">
        <f>ROUND($F86*$AA$2/Input!$E$4/10,2)</f>
        <v>0</v>
      </c>
      <c r="O86" s="750">
        <f>ROUND($F86*(100%-$AA$2)/Input!$E$4/10,2)</f>
        <v>0</v>
      </c>
      <c r="P86" s="751">
        <f t="shared" si="15"/>
        <v>0</v>
      </c>
      <c r="Q86" s="750">
        <f t="shared" si="51"/>
        <v>0</v>
      </c>
      <c r="R86" s="751">
        <f t="shared" si="16"/>
        <v>0</v>
      </c>
      <c r="S86" s="1139">
        <v>0.13800000000000001</v>
      </c>
      <c r="T86" s="779"/>
      <c r="U86" s="1140">
        <f t="shared" si="52"/>
        <v>4.3039750000000003</v>
      </c>
      <c r="V86" s="1140">
        <f t="shared" si="53"/>
        <v>0.60762000000000005</v>
      </c>
      <c r="W86" s="1140">
        <f t="shared" si="27"/>
        <v>4.9115950000000002</v>
      </c>
      <c r="X86" s="1140">
        <f t="shared" si="54"/>
        <v>0.69876300000000013</v>
      </c>
      <c r="Y86" s="1140">
        <f t="shared" si="55"/>
        <v>5.7622630000000008</v>
      </c>
    </row>
    <row r="87" spans="1:25" x14ac:dyDescent="0.35">
      <c r="A87" s="417">
        <v>5</v>
      </c>
      <c r="B87" s="424" t="s">
        <v>656</v>
      </c>
      <c r="C87" s="732" t="s">
        <v>657</v>
      </c>
      <c r="D87" s="835">
        <v>108</v>
      </c>
      <c r="E87" s="823">
        <v>20700</v>
      </c>
      <c r="F87" s="836">
        <f t="shared" si="48"/>
        <v>22.356000000000002</v>
      </c>
      <c r="G87" s="836">
        <f t="shared" si="49"/>
        <v>3.0851280000000005</v>
      </c>
      <c r="H87" s="836">
        <f t="shared" si="50"/>
        <v>25.441128000000003</v>
      </c>
      <c r="N87" s="750">
        <f>ROUND($F87*$AA$2/Input!$E$4/10,2)</f>
        <v>0.01</v>
      </c>
      <c r="O87" s="750">
        <f>ROUND($F87*(100%-$AA$2)/Input!$E$4/10,2)</f>
        <v>0</v>
      </c>
      <c r="P87" s="751">
        <f t="shared" si="15"/>
        <v>0.01</v>
      </c>
      <c r="Q87" s="750">
        <f t="shared" si="51"/>
        <v>1.1999999999999999E-3</v>
      </c>
      <c r="R87" s="751">
        <f t="shared" si="16"/>
        <v>1.12E-2</v>
      </c>
      <c r="S87" s="1139">
        <v>0.13800000000000001</v>
      </c>
      <c r="T87" s="779"/>
      <c r="U87" s="1140">
        <f t="shared" si="52"/>
        <v>19.002600000000001</v>
      </c>
      <c r="V87" s="1140">
        <f t="shared" si="53"/>
        <v>2.6827200000000002</v>
      </c>
      <c r="W87" s="1140">
        <f t="shared" si="27"/>
        <v>21.685320000000001</v>
      </c>
      <c r="X87" s="1140">
        <f t="shared" si="54"/>
        <v>3.0851280000000005</v>
      </c>
      <c r="Y87" s="1140">
        <f t="shared" si="55"/>
        <v>25.441128000000003</v>
      </c>
    </row>
    <row r="88" spans="1:25" x14ac:dyDescent="0.35">
      <c r="A88" s="417">
        <v>6</v>
      </c>
      <c r="B88" s="424" t="s">
        <v>658</v>
      </c>
      <c r="C88" s="732" t="s">
        <v>657</v>
      </c>
      <c r="D88" s="835">
        <v>108</v>
      </c>
      <c r="E88" s="823">
        <v>3900</v>
      </c>
      <c r="F88" s="836">
        <f t="shared" si="48"/>
        <v>4.2119999999999997</v>
      </c>
      <c r="G88" s="836">
        <f t="shared" si="49"/>
        <v>0.58125599999999999</v>
      </c>
      <c r="H88" s="836">
        <f t="shared" si="50"/>
        <v>4.7932559999999995</v>
      </c>
      <c r="N88" s="750">
        <f>ROUND($F88*$AA$2/Input!$E$4/10,2)</f>
        <v>0</v>
      </c>
      <c r="O88" s="750">
        <f>ROUND($F88*(100%-$AA$2)/Input!$E$4/10,2)</f>
        <v>0</v>
      </c>
      <c r="P88" s="751">
        <f t="shared" si="15"/>
        <v>0</v>
      </c>
      <c r="Q88" s="750">
        <f t="shared" si="51"/>
        <v>0</v>
      </c>
      <c r="R88" s="751">
        <f t="shared" si="16"/>
        <v>0</v>
      </c>
      <c r="S88" s="1139">
        <v>0.13800000000000001</v>
      </c>
      <c r="T88" s="779"/>
      <c r="U88" s="1140">
        <f t="shared" si="52"/>
        <v>3.5801999999999996</v>
      </c>
      <c r="V88" s="1140">
        <f t="shared" si="53"/>
        <v>0.50544</v>
      </c>
      <c r="W88" s="1140">
        <f t="shared" si="27"/>
        <v>4.0856399999999997</v>
      </c>
      <c r="X88" s="1140">
        <f t="shared" si="54"/>
        <v>0.58125599999999999</v>
      </c>
      <c r="Y88" s="1140">
        <f t="shared" si="55"/>
        <v>4.7932559999999995</v>
      </c>
    </row>
    <row r="89" spans="1:25" x14ac:dyDescent="0.35">
      <c r="A89" s="567">
        <v>7</v>
      </c>
      <c r="B89" s="424" t="s">
        <v>659</v>
      </c>
      <c r="C89" s="732" t="s">
        <v>657</v>
      </c>
      <c r="D89" s="835">
        <v>108</v>
      </c>
      <c r="E89" s="823">
        <v>2350</v>
      </c>
      <c r="F89" s="836">
        <f t="shared" si="48"/>
        <v>2.5379999999999998</v>
      </c>
      <c r="G89" s="836">
        <f t="shared" si="49"/>
        <v>0.350244</v>
      </c>
      <c r="H89" s="836">
        <f t="shared" si="50"/>
        <v>2.8882439999999998</v>
      </c>
      <c r="N89" s="750">
        <f>ROUND($F89*$AA$2/Input!$E$4/10,2)</f>
        <v>0</v>
      </c>
      <c r="O89" s="750">
        <f>ROUND($F89*(100%-$AA$2)/Input!$E$4/10,2)</f>
        <v>0</v>
      </c>
      <c r="P89" s="751">
        <f t="shared" si="15"/>
        <v>0</v>
      </c>
      <c r="Q89" s="750">
        <f t="shared" si="51"/>
        <v>0</v>
      </c>
      <c r="R89" s="751">
        <f t="shared" si="16"/>
        <v>0</v>
      </c>
      <c r="S89" s="1139">
        <v>0.13800000000000001</v>
      </c>
      <c r="T89" s="779"/>
      <c r="U89" s="1140">
        <f t="shared" si="52"/>
        <v>2.1572999999999998</v>
      </c>
      <c r="V89" s="1140">
        <f t="shared" si="53"/>
        <v>0.30455999999999994</v>
      </c>
      <c r="W89" s="1140">
        <f t="shared" si="27"/>
        <v>2.4618599999999997</v>
      </c>
      <c r="X89" s="1140">
        <f t="shared" si="54"/>
        <v>0.350244</v>
      </c>
      <c r="Y89" s="1140">
        <f t="shared" si="55"/>
        <v>2.8882439999999998</v>
      </c>
    </row>
    <row r="90" spans="1:25" x14ac:dyDescent="0.35">
      <c r="A90" s="567">
        <v>8</v>
      </c>
      <c r="B90" s="946" t="s">
        <v>660</v>
      </c>
      <c r="C90" s="947" t="s">
        <v>661</v>
      </c>
      <c r="D90" s="948">
        <v>564</v>
      </c>
      <c r="E90" s="949">
        <v>750</v>
      </c>
      <c r="F90" s="836">
        <f t="shared" si="48"/>
        <v>4.2300000000000004</v>
      </c>
      <c r="G90" s="836">
        <f t="shared" si="49"/>
        <v>0.58374000000000015</v>
      </c>
      <c r="H90" s="836">
        <f t="shared" si="50"/>
        <v>4.813740000000001</v>
      </c>
      <c r="N90" s="750">
        <f>ROUND($F90*$AA$2/Input!$E$4/10,2)</f>
        <v>0</v>
      </c>
      <c r="O90" s="750">
        <f>ROUND($F90*(100%-$AA$2)/Input!$E$4/10,2)</f>
        <v>0</v>
      </c>
      <c r="P90" s="751">
        <f t="shared" si="15"/>
        <v>0</v>
      </c>
      <c r="Q90" s="750">
        <f t="shared" si="51"/>
        <v>0</v>
      </c>
      <c r="R90" s="751">
        <f t="shared" si="16"/>
        <v>0</v>
      </c>
      <c r="S90" s="1139">
        <v>0.13800000000000001</v>
      </c>
      <c r="T90" s="779"/>
      <c r="U90" s="1140">
        <f t="shared" si="52"/>
        <v>3.5955000000000004</v>
      </c>
      <c r="V90" s="1140">
        <f t="shared" si="53"/>
        <v>0.50760000000000005</v>
      </c>
      <c r="W90" s="1140">
        <f t="shared" si="27"/>
        <v>4.1031000000000004</v>
      </c>
      <c r="X90" s="1140">
        <f t="shared" si="54"/>
        <v>0.58374000000000015</v>
      </c>
      <c r="Y90" s="1140">
        <f t="shared" si="55"/>
        <v>4.813740000000001</v>
      </c>
    </row>
    <row r="91" spans="1:25" ht="24" x14ac:dyDescent="0.35">
      <c r="A91" s="567">
        <v>9</v>
      </c>
      <c r="B91" s="584" t="s">
        <v>655</v>
      </c>
      <c r="C91" s="735" t="s">
        <v>615</v>
      </c>
      <c r="D91" s="835">
        <v>95</v>
      </c>
      <c r="E91" s="823">
        <v>280</v>
      </c>
      <c r="F91" s="836">
        <f t="shared" si="48"/>
        <v>0.26600000000000001</v>
      </c>
      <c r="G91" s="836">
        <f t="shared" si="49"/>
        <v>3.6708000000000005E-2</v>
      </c>
      <c r="H91" s="836">
        <f t="shared" si="50"/>
        <v>0.30270800000000003</v>
      </c>
      <c r="N91" s="750">
        <f>ROUND($F91*$AA$2/Input!$E$4/10,2)</f>
        <v>0</v>
      </c>
      <c r="O91" s="750">
        <f>ROUND($F91*(100%-$AA$2)/Input!$E$4/10,2)</f>
        <v>0</v>
      </c>
      <c r="P91" s="751">
        <f t="shared" si="15"/>
        <v>0</v>
      </c>
      <c r="Q91" s="750">
        <f t="shared" si="51"/>
        <v>0</v>
      </c>
      <c r="R91" s="751">
        <f t="shared" si="16"/>
        <v>0</v>
      </c>
      <c r="S91" s="1139">
        <v>0.13800000000000001</v>
      </c>
      <c r="T91" s="779"/>
      <c r="U91" s="1140">
        <f t="shared" si="52"/>
        <v>0.2261</v>
      </c>
      <c r="V91" s="1140">
        <f t="shared" si="53"/>
        <v>3.1920000000000004E-2</v>
      </c>
      <c r="W91" s="1140">
        <f t="shared" si="27"/>
        <v>0.25802000000000003</v>
      </c>
      <c r="X91" s="1140">
        <f t="shared" si="54"/>
        <v>3.6708000000000005E-2</v>
      </c>
      <c r="Y91" s="1140">
        <f t="shared" si="55"/>
        <v>0.30270800000000003</v>
      </c>
    </row>
    <row r="92" spans="1:25" x14ac:dyDescent="0.35">
      <c r="A92" s="417">
        <v>10</v>
      </c>
      <c r="B92" s="424" t="s">
        <v>662</v>
      </c>
      <c r="C92" s="732" t="s">
        <v>657</v>
      </c>
      <c r="D92" s="835">
        <v>75</v>
      </c>
      <c r="E92" s="823">
        <v>1679</v>
      </c>
      <c r="F92" s="836">
        <f t="shared" si="48"/>
        <v>1.25925</v>
      </c>
      <c r="G92" s="836">
        <f t="shared" si="49"/>
        <v>0.1737765</v>
      </c>
      <c r="H92" s="836">
        <f t="shared" si="50"/>
        <v>1.4330265</v>
      </c>
      <c r="N92" s="750">
        <f>ROUND($F92*$AA$2/Input!$E$4/10,2)</f>
        <v>0</v>
      </c>
      <c r="O92" s="750">
        <f>ROUND($F92*(100%-$AA$2)/Input!$E$4/10,2)</f>
        <v>0</v>
      </c>
      <c r="P92" s="751">
        <f t="shared" si="15"/>
        <v>0</v>
      </c>
      <c r="Q92" s="750">
        <f t="shared" si="51"/>
        <v>0</v>
      </c>
      <c r="R92" s="751">
        <f t="shared" si="16"/>
        <v>0</v>
      </c>
      <c r="S92" s="1139">
        <v>0.13800000000000001</v>
      </c>
      <c r="T92" s="779"/>
      <c r="U92" s="1140">
        <f t="shared" si="52"/>
        <v>1.0703624999999999</v>
      </c>
      <c r="V92" s="1140">
        <f t="shared" si="53"/>
        <v>0.15110999999999999</v>
      </c>
      <c r="W92" s="1140">
        <f t="shared" si="27"/>
        <v>1.2214725</v>
      </c>
      <c r="X92" s="1140">
        <f t="shared" si="54"/>
        <v>0.1737765</v>
      </c>
      <c r="Y92" s="1140">
        <f t="shared" si="55"/>
        <v>1.4330265</v>
      </c>
    </row>
    <row r="93" spans="1:25" x14ac:dyDescent="0.35">
      <c r="A93" s="831" t="s">
        <v>939</v>
      </c>
      <c r="B93" s="586" t="s">
        <v>663</v>
      </c>
      <c r="C93" s="736"/>
      <c r="D93" s="586"/>
      <c r="E93" s="587"/>
      <c r="F93" s="587"/>
      <c r="G93" s="587"/>
      <c r="H93" s="587"/>
      <c r="N93" s="484"/>
      <c r="O93" s="484"/>
      <c r="P93" s="484"/>
      <c r="Q93" s="484"/>
      <c r="R93" s="484"/>
      <c r="S93" s="484"/>
      <c r="T93" s="957"/>
      <c r="U93" s="484"/>
      <c r="V93" s="484"/>
      <c r="W93" s="484"/>
      <c r="X93" s="484"/>
      <c r="Y93" s="484"/>
    </row>
    <row r="94" spans="1:25" x14ac:dyDescent="0.35">
      <c r="A94" s="417">
        <v>1</v>
      </c>
      <c r="B94" s="414" t="s">
        <v>664</v>
      </c>
      <c r="C94" s="415" t="s">
        <v>657</v>
      </c>
      <c r="D94" s="835">
        <v>107</v>
      </c>
      <c r="E94" s="823">
        <v>600</v>
      </c>
      <c r="F94" s="836">
        <f t="shared" ref="F94:F100" si="56">D94*E94/10^5</f>
        <v>0.64200000000000002</v>
      </c>
      <c r="G94" s="836">
        <f t="shared" ref="G94:G100" si="57">$F94*$S94</f>
        <v>8.8596000000000008E-2</v>
      </c>
      <c r="H94" s="836">
        <f t="shared" ref="H94:H100" si="58">F94+G94</f>
        <v>0.73059600000000002</v>
      </c>
      <c r="N94" s="750">
        <f>ROUND($F94*$AA$2/Input!$E$4/10,2)</f>
        <v>0</v>
      </c>
      <c r="O94" s="750">
        <f>ROUND($F94*(100%-$AA$2)/Input!$E$4/10,2)</f>
        <v>0</v>
      </c>
      <c r="P94" s="751">
        <f t="shared" si="15"/>
        <v>0</v>
      </c>
      <c r="Q94" s="750">
        <f t="shared" ref="Q94:Q100" si="59">N94*$AA$3+$O94*$AB$3</f>
        <v>0</v>
      </c>
      <c r="R94" s="751">
        <f t="shared" si="16"/>
        <v>0</v>
      </c>
      <c r="S94" s="1139">
        <v>0.13800000000000001</v>
      </c>
      <c r="T94" s="779"/>
      <c r="U94" s="1140">
        <f t="shared" ref="U94:U100" si="60">F94*$AA$2</f>
        <v>0.54569999999999996</v>
      </c>
      <c r="V94" s="1140">
        <f t="shared" ref="V94:V100" si="61">F94*$AB$2</f>
        <v>7.7039999999999997E-2</v>
      </c>
      <c r="W94" s="1140">
        <f t="shared" si="27"/>
        <v>0.62273999999999996</v>
      </c>
      <c r="X94" s="1140">
        <f t="shared" ref="X94:Y100" si="62">G94</f>
        <v>8.8596000000000008E-2</v>
      </c>
      <c r="Y94" s="1140">
        <f t="shared" si="62"/>
        <v>0.73059600000000002</v>
      </c>
    </row>
    <row r="95" spans="1:25" x14ac:dyDescent="0.35">
      <c r="A95" s="417">
        <v>2</v>
      </c>
      <c r="B95" s="414" t="s">
        <v>665</v>
      </c>
      <c r="C95" s="415" t="s">
        <v>657</v>
      </c>
      <c r="D95" s="835">
        <v>125</v>
      </c>
      <c r="E95" s="823">
        <v>5560</v>
      </c>
      <c r="F95" s="836">
        <f t="shared" si="56"/>
        <v>6.95</v>
      </c>
      <c r="G95" s="836">
        <f t="shared" si="57"/>
        <v>0.95910000000000006</v>
      </c>
      <c r="H95" s="836">
        <f t="shared" si="58"/>
        <v>7.9091000000000005</v>
      </c>
      <c r="N95" s="750">
        <f>ROUND($F95*$AA$2/Input!$E$4/10,2)</f>
        <v>0</v>
      </c>
      <c r="O95" s="750">
        <f>ROUND($F95*(100%-$AA$2)/Input!$E$4/10,2)</f>
        <v>0</v>
      </c>
      <c r="P95" s="751">
        <f t="shared" si="15"/>
        <v>0</v>
      </c>
      <c r="Q95" s="750">
        <f t="shared" si="59"/>
        <v>0</v>
      </c>
      <c r="R95" s="751">
        <f t="shared" si="16"/>
        <v>0</v>
      </c>
      <c r="S95" s="1139">
        <v>0.13800000000000001</v>
      </c>
      <c r="T95" s="779"/>
      <c r="U95" s="1140">
        <f t="shared" si="60"/>
        <v>5.9074999999999998</v>
      </c>
      <c r="V95" s="1140">
        <f t="shared" si="61"/>
        <v>0.83399999999999996</v>
      </c>
      <c r="W95" s="1140">
        <f t="shared" si="27"/>
        <v>6.7414999999999994</v>
      </c>
      <c r="X95" s="1140">
        <f t="shared" si="62"/>
        <v>0.95910000000000006</v>
      </c>
      <c r="Y95" s="1140">
        <f t="shared" si="62"/>
        <v>7.9091000000000005</v>
      </c>
    </row>
    <row r="96" spans="1:25" x14ac:dyDescent="0.35">
      <c r="A96" s="417">
        <v>3</v>
      </c>
      <c r="B96" s="414" t="s">
        <v>666</v>
      </c>
      <c r="C96" s="415" t="s">
        <v>657</v>
      </c>
      <c r="D96" s="835">
        <v>140</v>
      </c>
      <c r="E96" s="823">
        <v>1060</v>
      </c>
      <c r="F96" s="836">
        <f t="shared" si="56"/>
        <v>1.484</v>
      </c>
      <c r="G96" s="836">
        <f t="shared" si="57"/>
        <v>0.204792</v>
      </c>
      <c r="H96" s="836">
        <f t="shared" si="58"/>
        <v>1.6887920000000001</v>
      </c>
      <c r="N96" s="750">
        <f>ROUND($F96*$AA$2/Input!$E$4/10,2)</f>
        <v>0</v>
      </c>
      <c r="O96" s="750">
        <f>ROUND($F96*(100%-$AA$2)/Input!$E$4/10,2)</f>
        <v>0</v>
      </c>
      <c r="P96" s="751">
        <f t="shared" si="15"/>
        <v>0</v>
      </c>
      <c r="Q96" s="750">
        <f t="shared" si="59"/>
        <v>0</v>
      </c>
      <c r="R96" s="751">
        <f t="shared" si="16"/>
        <v>0</v>
      </c>
      <c r="S96" s="1139">
        <v>0.13800000000000001</v>
      </c>
      <c r="T96" s="779"/>
      <c r="U96" s="1140">
        <f t="shared" si="60"/>
        <v>1.2613999999999999</v>
      </c>
      <c r="V96" s="1140">
        <f t="shared" si="61"/>
        <v>0.17807999999999999</v>
      </c>
      <c r="W96" s="1140">
        <f t="shared" si="27"/>
        <v>1.4394799999999999</v>
      </c>
      <c r="X96" s="1140">
        <f t="shared" si="62"/>
        <v>0.204792</v>
      </c>
      <c r="Y96" s="1140">
        <f t="shared" si="62"/>
        <v>1.6887920000000001</v>
      </c>
    </row>
    <row r="97" spans="1:25" x14ac:dyDescent="0.35">
      <c r="A97" s="417">
        <v>4</v>
      </c>
      <c r="B97" s="414" t="s">
        <v>667</v>
      </c>
      <c r="C97" s="415" t="s">
        <v>657</v>
      </c>
      <c r="D97" s="835">
        <v>100</v>
      </c>
      <c r="E97" s="823">
        <v>0</v>
      </c>
      <c r="F97" s="836">
        <f t="shared" si="56"/>
        <v>0</v>
      </c>
      <c r="G97" s="836">
        <f t="shared" si="57"/>
        <v>0</v>
      </c>
      <c r="H97" s="836">
        <f t="shared" si="58"/>
        <v>0</v>
      </c>
      <c r="N97" s="750">
        <f>ROUND($F97*$AA$2/Input!$E$4/10,2)</f>
        <v>0</v>
      </c>
      <c r="O97" s="750">
        <f>ROUND($F97*(100%-$AA$2)/Input!$E$4/10,2)</f>
        <v>0</v>
      </c>
      <c r="P97" s="751">
        <f t="shared" si="15"/>
        <v>0</v>
      </c>
      <c r="Q97" s="750">
        <f t="shared" si="59"/>
        <v>0</v>
      </c>
      <c r="R97" s="751">
        <f t="shared" si="16"/>
        <v>0</v>
      </c>
      <c r="S97" s="1139">
        <v>0.13800000000000001</v>
      </c>
      <c r="T97" s="779"/>
      <c r="U97" s="1140">
        <f t="shared" si="60"/>
        <v>0</v>
      </c>
      <c r="V97" s="1140">
        <f t="shared" si="61"/>
        <v>0</v>
      </c>
      <c r="W97" s="1140">
        <f t="shared" si="27"/>
        <v>0</v>
      </c>
      <c r="X97" s="1140">
        <f t="shared" si="62"/>
        <v>0</v>
      </c>
      <c r="Y97" s="1140">
        <f t="shared" si="62"/>
        <v>0</v>
      </c>
    </row>
    <row r="98" spans="1:25" x14ac:dyDescent="0.35">
      <c r="A98" s="417">
        <v>5</v>
      </c>
      <c r="B98" s="414" t="s">
        <v>668</v>
      </c>
      <c r="C98" s="415" t="s">
        <v>657</v>
      </c>
      <c r="D98" s="835">
        <v>220</v>
      </c>
      <c r="E98" s="823">
        <v>600</v>
      </c>
      <c r="F98" s="836">
        <f t="shared" si="56"/>
        <v>1.32</v>
      </c>
      <c r="G98" s="836">
        <f t="shared" si="57"/>
        <v>0.18216000000000002</v>
      </c>
      <c r="H98" s="836">
        <f t="shared" si="58"/>
        <v>1.5021600000000002</v>
      </c>
      <c r="N98" s="750">
        <f>ROUND($F98*$AA$2/Input!$E$4/10,2)</f>
        <v>0</v>
      </c>
      <c r="O98" s="750">
        <f>ROUND($F98*(100%-$AA$2)/Input!$E$4/10,2)</f>
        <v>0</v>
      </c>
      <c r="P98" s="751">
        <f t="shared" si="15"/>
        <v>0</v>
      </c>
      <c r="Q98" s="750">
        <f t="shared" si="59"/>
        <v>0</v>
      </c>
      <c r="R98" s="751">
        <f t="shared" si="16"/>
        <v>0</v>
      </c>
      <c r="S98" s="1139">
        <v>0.13800000000000001</v>
      </c>
      <c r="T98" s="779"/>
      <c r="U98" s="1140">
        <f t="shared" si="60"/>
        <v>1.1220000000000001</v>
      </c>
      <c r="V98" s="1140">
        <f t="shared" si="61"/>
        <v>0.15840000000000001</v>
      </c>
      <c r="W98" s="1140">
        <f t="shared" si="27"/>
        <v>1.2804000000000002</v>
      </c>
      <c r="X98" s="1140">
        <f t="shared" si="62"/>
        <v>0.18216000000000002</v>
      </c>
      <c r="Y98" s="1140">
        <f t="shared" si="62"/>
        <v>1.5021600000000002</v>
      </c>
    </row>
    <row r="99" spans="1:25" x14ac:dyDescent="0.35">
      <c r="A99" s="417">
        <v>6</v>
      </c>
      <c r="B99" s="414" t="s">
        <v>669</v>
      </c>
      <c r="C99" s="415" t="s">
        <v>657</v>
      </c>
      <c r="D99" s="835">
        <v>150</v>
      </c>
      <c r="E99" s="823">
        <v>4700</v>
      </c>
      <c r="F99" s="836">
        <f t="shared" si="56"/>
        <v>7.05</v>
      </c>
      <c r="G99" s="836">
        <f t="shared" si="57"/>
        <v>0.9729000000000001</v>
      </c>
      <c r="H99" s="836">
        <f t="shared" si="58"/>
        <v>8.0228999999999999</v>
      </c>
      <c r="N99" s="750">
        <f>ROUND($F99*$AA$2/Input!$E$4/10,2)</f>
        <v>0</v>
      </c>
      <c r="O99" s="750">
        <f>ROUND($F99*(100%-$AA$2)/Input!$E$4/10,2)</f>
        <v>0</v>
      </c>
      <c r="P99" s="751">
        <f t="shared" si="15"/>
        <v>0</v>
      </c>
      <c r="Q99" s="750">
        <f t="shared" si="59"/>
        <v>0</v>
      </c>
      <c r="R99" s="751">
        <f t="shared" si="16"/>
        <v>0</v>
      </c>
      <c r="S99" s="1139">
        <v>0.13800000000000001</v>
      </c>
      <c r="T99" s="779"/>
      <c r="U99" s="1140">
        <f t="shared" si="60"/>
        <v>5.9924999999999997</v>
      </c>
      <c r="V99" s="1140">
        <f t="shared" si="61"/>
        <v>0.84599999999999997</v>
      </c>
      <c r="W99" s="1140">
        <f t="shared" si="27"/>
        <v>6.8384999999999998</v>
      </c>
      <c r="X99" s="1140">
        <f t="shared" si="62"/>
        <v>0.9729000000000001</v>
      </c>
      <c r="Y99" s="1140">
        <f t="shared" si="62"/>
        <v>8.0228999999999999</v>
      </c>
    </row>
    <row r="100" spans="1:25" x14ac:dyDescent="0.35">
      <c r="A100" s="417">
        <v>7</v>
      </c>
      <c r="B100" s="414" t="s">
        <v>670</v>
      </c>
      <c r="C100" s="415" t="s">
        <v>657</v>
      </c>
      <c r="D100" s="835">
        <v>190</v>
      </c>
      <c r="E100" s="823">
        <v>600</v>
      </c>
      <c r="F100" s="836">
        <f t="shared" si="56"/>
        <v>1.1399999999999999</v>
      </c>
      <c r="G100" s="836">
        <f t="shared" si="57"/>
        <v>0.15731999999999999</v>
      </c>
      <c r="H100" s="836">
        <f t="shared" si="58"/>
        <v>1.2973199999999998</v>
      </c>
      <c r="N100" s="750">
        <f>ROUND($F100*$AA$2/Input!$E$4/10,2)</f>
        <v>0</v>
      </c>
      <c r="O100" s="750">
        <f>ROUND($F100*(100%-$AA$2)/Input!$E$4/10,2)</f>
        <v>0</v>
      </c>
      <c r="P100" s="751">
        <f t="shared" si="15"/>
        <v>0</v>
      </c>
      <c r="Q100" s="750">
        <f t="shared" si="59"/>
        <v>0</v>
      </c>
      <c r="R100" s="751">
        <f t="shared" si="16"/>
        <v>0</v>
      </c>
      <c r="S100" s="1139">
        <v>0.13800000000000001</v>
      </c>
      <c r="T100" s="779"/>
      <c r="U100" s="1140">
        <f t="shared" si="60"/>
        <v>0.96899999999999986</v>
      </c>
      <c r="V100" s="1140">
        <f t="shared" si="61"/>
        <v>0.13679999999999998</v>
      </c>
      <c r="W100" s="1140">
        <f t="shared" si="27"/>
        <v>1.1057999999999999</v>
      </c>
      <c r="X100" s="1140">
        <f t="shared" si="62"/>
        <v>0.15731999999999999</v>
      </c>
      <c r="Y100" s="1140">
        <f t="shared" si="62"/>
        <v>1.2973199999999998</v>
      </c>
    </row>
    <row r="101" spans="1:25" x14ac:dyDescent="0.35">
      <c r="A101" s="831" t="s">
        <v>940</v>
      </c>
      <c r="B101" s="586" t="s">
        <v>671</v>
      </c>
      <c r="C101" s="733"/>
      <c r="D101" s="588"/>
      <c r="E101" s="589"/>
      <c r="F101" s="587"/>
      <c r="G101" s="587"/>
      <c r="H101" s="587"/>
      <c r="N101" s="484"/>
      <c r="O101" s="484"/>
      <c r="P101" s="484"/>
      <c r="Q101" s="484"/>
      <c r="R101" s="484"/>
      <c r="S101" s="484"/>
      <c r="T101" s="957"/>
      <c r="U101" s="484"/>
      <c r="V101" s="484"/>
      <c r="W101" s="484"/>
      <c r="X101" s="484"/>
      <c r="Y101" s="484"/>
    </row>
    <row r="102" spans="1:25" x14ac:dyDescent="0.35">
      <c r="A102" s="417">
        <v>2</v>
      </c>
      <c r="B102" s="414" t="s">
        <v>672</v>
      </c>
      <c r="C102" s="415" t="s">
        <v>387</v>
      </c>
      <c r="D102" s="835">
        <v>320</v>
      </c>
      <c r="E102" s="823">
        <v>240</v>
      </c>
      <c r="F102" s="836">
        <f>D102*E102/10^5</f>
        <v>0.76800000000000002</v>
      </c>
      <c r="G102" s="836">
        <f>$F102*$S102</f>
        <v>0.10598400000000001</v>
      </c>
      <c r="H102" s="836">
        <f>F102+G102</f>
        <v>0.87398399999999998</v>
      </c>
      <c r="N102" s="750">
        <f>ROUND($F102*$AA$2/Input!$E$4/10,2)</f>
        <v>0</v>
      </c>
      <c r="O102" s="750">
        <f>ROUND($F102*(100%-$AA$2)/Input!$E$4/10,2)</f>
        <v>0</v>
      </c>
      <c r="P102" s="751">
        <f t="shared" si="15"/>
        <v>0</v>
      </c>
      <c r="Q102" s="750">
        <f>N102*$AA$3+$O102*$AB$3</f>
        <v>0</v>
      </c>
      <c r="R102" s="751">
        <f t="shared" si="16"/>
        <v>0</v>
      </c>
      <c r="S102" s="1139">
        <v>0.13800000000000001</v>
      </c>
      <c r="T102" s="779"/>
      <c r="U102" s="1140">
        <f>F102*$AA$2</f>
        <v>0.65280000000000005</v>
      </c>
      <c r="V102" s="1140">
        <f>F102*$AB$2</f>
        <v>9.2159999999999992E-2</v>
      </c>
      <c r="W102" s="1140">
        <f t="shared" si="27"/>
        <v>0.74496000000000007</v>
      </c>
      <c r="X102" s="1140">
        <f>G102</f>
        <v>0.10598400000000001</v>
      </c>
      <c r="Y102" s="1140">
        <f>H102</f>
        <v>0.87398399999999998</v>
      </c>
    </row>
    <row r="103" spans="1:25" x14ac:dyDescent="0.35">
      <c r="A103" s="417">
        <v>3</v>
      </c>
      <c r="B103" s="414" t="s">
        <v>673</v>
      </c>
      <c r="C103" s="415" t="s">
        <v>387</v>
      </c>
      <c r="D103" s="835">
        <v>550</v>
      </c>
      <c r="E103" s="823">
        <v>100</v>
      </c>
      <c r="F103" s="836">
        <f>D103*E103/10^5</f>
        <v>0.55000000000000004</v>
      </c>
      <c r="G103" s="836">
        <f>$F103*$S103</f>
        <v>7.5900000000000009E-2</v>
      </c>
      <c r="H103" s="836">
        <f>F103+G103</f>
        <v>0.62590000000000001</v>
      </c>
      <c r="N103" s="750">
        <f>ROUND($F103*$AA$2/Input!$E$4/10,2)</f>
        <v>0</v>
      </c>
      <c r="O103" s="750">
        <f>ROUND($F103*(100%-$AA$2)/Input!$E$4/10,2)</f>
        <v>0</v>
      </c>
      <c r="P103" s="751">
        <f t="shared" si="15"/>
        <v>0</v>
      </c>
      <c r="Q103" s="750">
        <f>N103*$AA$3+$O103*$AB$3</f>
        <v>0</v>
      </c>
      <c r="R103" s="751">
        <f t="shared" si="16"/>
        <v>0</v>
      </c>
      <c r="S103" s="1139">
        <v>0.13800000000000001</v>
      </c>
      <c r="T103" s="779"/>
      <c r="U103" s="1140">
        <f>F103*$AA$2</f>
        <v>0.46750000000000003</v>
      </c>
      <c r="V103" s="1140">
        <f>F103*$AB$2</f>
        <v>6.6000000000000003E-2</v>
      </c>
      <c r="W103" s="1140">
        <f t="shared" si="27"/>
        <v>0.53350000000000009</v>
      </c>
      <c r="X103" s="1140">
        <f>G103</f>
        <v>7.5900000000000009E-2</v>
      </c>
      <c r="Y103" s="1140">
        <f>H103</f>
        <v>0.62590000000000001</v>
      </c>
    </row>
    <row r="104" spans="1:25" x14ac:dyDescent="0.35">
      <c r="A104" s="830" t="s">
        <v>941</v>
      </c>
      <c r="B104" s="586" t="s">
        <v>674</v>
      </c>
      <c r="C104" s="733"/>
      <c r="D104" s="588"/>
      <c r="E104" s="589"/>
      <c r="F104" s="587"/>
      <c r="G104" s="587"/>
      <c r="H104" s="587"/>
      <c r="N104" s="484"/>
      <c r="O104" s="484"/>
      <c r="P104" s="484"/>
      <c r="Q104" s="484"/>
      <c r="R104" s="484"/>
      <c r="S104" s="484"/>
      <c r="T104" s="957"/>
      <c r="U104" s="484"/>
      <c r="V104" s="484"/>
      <c r="W104" s="484"/>
      <c r="X104" s="484"/>
      <c r="Y104" s="484"/>
    </row>
    <row r="105" spans="1:25" x14ac:dyDescent="0.35">
      <c r="A105" s="417">
        <v>2</v>
      </c>
      <c r="B105" s="414" t="s">
        <v>675</v>
      </c>
      <c r="C105" s="415" t="s">
        <v>387</v>
      </c>
      <c r="D105" s="835">
        <v>340</v>
      </c>
      <c r="E105" s="823">
        <v>800</v>
      </c>
      <c r="F105" s="836">
        <f>D105*E105/10^5</f>
        <v>2.72</v>
      </c>
      <c r="G105" s="836">
        <f>$F105*$S105</f>
        <v>0.37536000000000008</v>
      </c>
      <c r="H105" s="836">
        <f>F105+G105</f>
        <v>3.0953600000000003</v>
      </c>
      <c r="N105" s="750">
        <f>ROUND($F105*$AA$2/Input!$E$4/10,2)</f>
        <v>0</v>
      </c>
      <c r="O105" s="750">
        <f>ROUND($F105*(100%-$AA$2)/Input!$E$4/10,2)</f>
        <v>0</v>
      </c>
      <c r="P105" s="751">
        <f t="shared" si="15"/>
        <v>0</v>
      </c>
      <c r="Q105" s="750">
        <f t="shared" ref="Q105:Q112" si="63">N105*$AA$3+$O105*$AB$3</f>
        <v>0</v>
      </c>
      <c r="R105" s="751">
        <f t="shared" si="16"/>
        <v>0</v>
      </c>
      <c r="S105" s="1139">
        <v>0.13800000000000001</v>
      </c>
      <c r="T105" s="779"/>
      <c r="U105" s="1140">
        <f t="shared" ref="U105:U112" si="64">F105*$AA$2</f>
        <v>2.3120000000000003</v>
      </c>
      <c r="V105" s="1140">
        <f t="shared" ref="V105:V112" si="65">F105*$AB$2</f>
        <v>0.32640000000000002</v>
      </c>
      <c r="W105" s="1140">
        <f t="shared" si="27"/>
        <v>2.6384000000000003</v>
      </c>
      <c r="X105" s="1140">
        <f t="shared" ref="X105:Y112" si="66">G105</f>
        <v>0.37536000000000008</v>
      </c>
      <c r="Y105" s="1140">
        <f t="shared" si="66"/>
        <v>3.0953600000000003</v>
      </c>
    </row>
    <row r="106" spans="1:25" x14ac:dyDescent="0.35">
      <c r="A106" s="417">
        <v>3</v>
      </c>
      <c r="B106" s="414" t="s">
        <v>676</v>
      </c>
      <c r="C106" s="415" t="s">
        <v>387</v>
      </c>
      <c r="D106" s="835">
        <v>245</v>
      </c>
      <c r="E106" s="823">
        <v>800</v>
      </c>
      <c r="F106" s="836">
        <f>D106*E106/10^5</f>
        <v>1.96</v>
      </c>
      <c r="G106" s="836">
        <f>$F106*$S106</f>
        <v>0.27048</v>
      </c>
      <c r="H106" s="836">
        <f>F106+G106</f>
        <v>2.23048</v>
      </c>
      <c r="N106" s="750">
        <f>ROUND($F106*$AA$2/Input!$E$4/10,2)</f>
        <v>0</v>
      </c>
      <c r="O106" s="750">
        <f>ROUND($F106*(100%-$AA$2)/Input!$E$4/10,2)</f>
        <v>0</v>
      </c>
      <c r="P106" s="751">
        <f t="shared" ref="P106:P171" si="67">SUM(N106:O106)</f>
        <v>0</v>
      </c>
      <c r="Q106" s="750">
        <f t="shared" si="63"/>
        <v>0</v>
      </c>
      <c r="R106" s="751">
        <f t="shared" ref="R106:R171" si="68">P106+Q106</f>
        <v>0</v>
      </c>
      <c r="S106" s="1139">
        <v>0.13800000000000001</v>
      </c>
      <c r="T106" s="779"/>
      <c r="U106" s="1140">
        <f t="shared" si="64"/>
        <v>1.6659999999999999</v>
      </c>
      <c r="V106" s="1140">
        <f t="shared" si="65"/>
        <v>0.23519999999999999</v>
      </c>
      <c r="W106" s="1140">
        <f t="shared" si="27"/>
        <v>1.9012</v>
      </c>
      <c r="X106" s="1140">
        <f t="shared" si="66"/>
        <v>0.27048</v>
      </c>
      <c r="Y106" s="1140">
        <f t="shared" si="66"/>
        <v>2.23048</v>
      </c>
    </row>
    <row r="107" spans="1:25" x14ac:dyDescent="0.35">
      <c r="A107" s="417">
        <v>4</v>
      </c>
      <c r="B107" s="414" t="s">
        <v>677</v>
      </c>
      <c r="C107" s="415" t="s">
        <v>678</v>
      </c>
      <c r="D107" s="835">
        <v>120</v>
      </c>
      <c r="E107" s="823">
        <v>7760</v>
      </c>
      <c r="F107" s="836">
        <f>D107*E107/10^5</f>
        <v>9.3119999999999994</v>
      </c>
      <c r="G107" s="836">
        <f>$F107*$S107</f>
        <v>1.285056</v>
      </c>
      <c r="H107" s="836">
        <f>F107+G107</f>
        <v>10.597055999999998</v>
      </c>
      <c r="N107" s="750">
        <f>ROUND($F107*$AA$2/Input!$E$4/10,2)</f>
        <v>0</v>
      </c>
      <c r="O107" s="750">
        <f>ROUND($F107*(100%-$AA$2)/Input!$E$4/10,2)</f>
        <v>0</v>
      </c>
      <c r="P107" s="751">
        <f t="shared" si="67"/>
        <v>0</v>
      </c>
      <c r="Q107" s="750">
        <f t="shared" si="63"/>
        <v>0</v>
      </c>
      <c r="R107" s="751">
        <f t="shared" si="68"/>
        <v>0</v>
      </c>
      <c r="S107" s="1139">
        <v>0.13800000000000001</v>
      </c>
      <c r="T107" s="779"/>
      <c r="U107" s="1140">
        <f t="shared" si="64"/>
        <v>7.9151999999999996</v>
      </c>
      <c r="V107" s="1140">
        <f t="shared" si="65"/>
        <v>1.11744</v>
      </c>
      <c r="W107" s="1140">
        <f t="shared" si="27"/>
        <v>9.0326399999999989</v>
      </c>
      <c r="X107" s="1140">
        <f t="shared" si="66"/>
        <v>1.285056</v>
      </c>
      <c r="Y107" s="1140">
        <f t="shared" si="66"/>
        <v>10.597055999999998</v>
      </c>
    </row>
    <row r="108" spans="1:25" x14ac:dyDescent="0.35">
      <c r="A108" s="830" t="s">
        <v>942</v>
      </c>
      <c r="B108" s="586" t="s">
        <v>679</v>
      </c>
      <c r="C108" s="733"/>
      <c r="D108" s="588"/>
      <c r="E108" s="589"/>
      <c r="F108" s="587"/>
      <c r="G108" s="587"/>
      <c r="H108" s="587"/>
      <c r="N108" s="750">
        <f>ROUND($F108*$AA$2/Input!$E$4/10,2)</f>
        <v>0</v>
      </c>
      <c r="O108" s="750">
        <f>ROUND($F108*(100%-$AA$2)/Input!$E$4/10,2)</f>
        <v>0</v>
      </c>
      <c r="P108" s="751">
        <f t="shared" si="67"/>
        <v>0</v>
      </c>
      <c r="Q108" s="750">
        <f t="shared" si="63"/>
        <v>0</v>
      </c>
      <c r="R108" s="751">
        <f t="shared" si="68"/>
        <v>0</v>
      </c>
      <c r="S108" s="1139">
        <v>0.13800000000000001</v>
      </c>
      <c r="T108" s="957"/>
      <c r="U108" s="1140">
        <f t="shared" si="64"/>
        <v>0</v>
      </c>
      <c r="V108" s="1140">
        <f t="shared" si="65"/>
        <v>0</v>
      </c>
      <c r="W108" s="1140">
        <f t="shared" ref="W108" si="69">U108+V108</f>
        <v>0</v>
      </c>
      <c r="X108" s="1140">
        <f t="shared" si="66"/>
        <v>0</v>
      </c>
      <c r="Y108" s="1140">
        <f t="shared" si="66"/>
        <v>0</v>
      </c>
    </row>
    <row r="109" spans="1:25" x14ac:dyDescent="0.35">
      <c r="A109" s="417">
        <v>1</v>
      </c>
      <c r="B109" s="421" t="s">
        <v>680</v>
      </c>
      <c r="C109" s="415" t="s">
        <v>616</v>
      </c>
      <c r="D109" s="835">
        <v>45</v>
      </c>
      <c r="E109" s="823">
        <v>3078</v>
      </c>
      <c r="F109" s="836">
        <f>D109*E109/10^5</f>
        <v>1.3851</v>
      </c>
      <c r="G109" s="836">
        <f>$F109*$S109</f>
        <v>0.1911438</v>
      </c>
      <c r="H109" s="836">
        <f>F109+G109</f>
        <v>1.5762438000000001</v>
      </c>
      <c r="N109" s="750">
        <f>ROUND($F109*$AA$2/Input!$E$4/10,2)</f>
        <v>0</v>
      </c>
      <c r="O109" s="750">
        <f>ROUND($F109*(100%-$AA$2)/Input!$E$4/10,2)</f>
        <v>0</v>
      </c>
      <c r="P109" s="751">
        <f t="shared" si="67"/>
        <v>0</v>
      </c>
      <c r="Q109" s="750">
        <f t="shared" si="63"/>
        <v>0</v>
      </c>
      <c r="R109" s="751">
        <f t="shared" si="68"/>
        <v>0</v>
      </c>
      <c r="S109" s="1139">
        <v>0.13800000000000001</v>
      </c>
      <c r="T109" s="779"/>
      <c r="U109" s="1140">
        <f t="shared" si="64"/>
        <v>1.177335</v>
      </c>
      <c r="V109" s="1140">
        <f t="shared" si="65"/>
        <v>0.166212</v>
      </c>
      <c r="W109" s="1140">
        <f t="shared" ref="W109:W166" si="70">U109+V109</f>
        <v>1.343547</v>
      </c>
      <c r="X109" s="1140">
        <f t="shared" si="66"/>
        <v>0.1911438</v>
      </c>
      <c r="Y109" s="1140">
        <f t="shared" si="66"/>
        <v>1.5762438000000001</v>
      </c>
    </row>
    <row r="110" spans="1:25" hidden="1" x14ac:dyDescent="0.35">
      <c r="A110" s="417">
        <v>2</v>
      </c>
      <c r="B110" s="414" t="s">
        <v>681</v>
      </c>
      <c r="C110" s="415" t="s">
        <v>616</v>
      </c>
      <c r="D110" s="835">
        <v>0</v>
      </c>
      <c r="E110" s="823">
        <v>693.00000000000011</v>
      </c>
      <c r="F110" s="836">
        <f>D110*E110/10^5</f>
        <v>0</v>
      </c>
      <c r="G110" s="836">
        <f>$F110*$S110</f>
        <v>0</v>
      </c>
      <c r="H110" s="836">
        <f>F110+G110</f>
        <v>0</v>
      </c>
      <c r="N110" s="750">
        <f>ROUND($F110*$AA$2/Input!$E$4/10,2)</f>
        <v>0</v>
      </c>
      <c r="O110" s="750">
        <f>ROUND($F110*(100%-$AA$2)/Input!$E$4/10,2)</f>
        <v>0</v>
      </c>
      <c r="P110" s="751">
        <f t="shared" si="67"/>
        <v>0</v>
      </c>
      <c r="Q110" s="750">
        <f t="shared" si="63"/>
        <v>0</v>
      </c>
      <c r="R110" s="751">
        <f t="shared" si="68"/>
        <v>0</v>
      </c>
      <c r="S110" s="606">
        <v>0.13800000000000001</v>
      </c>
      <c r="T110" s="779"/>
      <c r="U110" s="868">
        <f t="shared" si="64"/>
        <v>0</v>
      </c>
      <c r="V110" s="868">
        <f t="shared" si="65"/>
        <v>0</v>
      </c>
      <c r="W110" s="868">
        <f t="shared" si="70"/>
        <v>0</v>
      </c>
      <c r="X110" s="868">
        <f t="shared" si="66"/>
        <v>0</v>
      </c>
      <c r="Y110" s="868">
        <f t="shared" si="66"/>
        <v>0</v>
      </c>
    </row>
    <row r="111" spans="1:25" hidden="1" x14ac:dyDescent="0.35">
      <c r="A111" s="417">
        <v>3</v>
      </c>
      <c r="B111" s="414" t="s">
        <v>682</v>
      </c>
      <c r="C111" s="415" t="s">
        <v>616</v>
      </c>
      <c r="D111" s="835">
        <v>0</v>
      </c>
      <c r="E111" s="823">
        <v>2104.2000000000003</v>
      </c>
      <c r="F111" s="836">
        <f>D111*E111/10^5</f>
        <v>0</v>
      </c>
      <c r="G111" s="836">
        <f>$F111*$S111</f>
        <v>0</v>
      </c>
      <c r="H111" s="836">
        <f>F111+G111</f>
        <v>0</v>
      </c>
      <c r="N111" s="750">
        <f>ROUND($F111*$AA$2/Input!$E$4/10,2)</f>
        <v>0</v>
      </c>
      <c r="O111" s="750">
        <f>ROUND($F111*(100%-$AA$2)/Input!$E$4/10,2)</f>
        <v>0</v>
      </c>
      <c r="P111" s="751">
        <f t="shared" si="67"/>
        <v>0</v>
      </c>
      <c r="Q111" s="750">
        <f t="shared" si="63"/>
        <v>0</v>
      </c>
      <c r="R111" s="751">
        <f t="shared" si="68"/>
        <v>0</v>
      </c>
      <c r="S111" s="606">
        <v>0.13800000000000001</v>
      </c>
      <c r="T111" s="779"/>
      <c r="U111" s="868">
        <f t="shared" si="64"/>
        <v>0</v>
      </c>
      <c r="V111" s="868">
        <f t="shared" si="65"/>
        <v>0</v>
      </c>
      <c r="W111" s="868">
        <f t="shared" si="70"/>
        <v>0</v>
      </c>
      <c r="X111" s="868">
        <f t="shared" si="66"/>
        <v>0</v>
      </c>
      <c r="Y111" s="868">
        <f t="shared" si="66"/>
        <v>0</v>
      </c>
    </row>
    <row r="112" spans="1:25" hidden="1" x14ac:dyDescent="0.35">
      <c r="A112" s="417">
        <v>4</v>
      </c>
      <c r="B112" s="414" t="s">
        <v>683</v>
      </c>
      <c r="C112" s="415" t="s">
        <v>616</v>
      </c>
      <c r="D112" s="835">
        <v>0</v>
      </c>
      <c r="E112" s="823">
        <v>352</v>
      </c>
      <c r="F112" s="836">
        <f>D112*E112/10^5</f>
        <v>0</v>
      </c>
      <c r="G112" s="836">
        <f>$F112*$S112</f>
        <v>0</v>
      </c>
      <c r="H112" s="836">
        <f>F112+G112</f>
        <v>0</v>
      </c>
      <c r="N112" s="750">
        <f>ROUND($F112*$AA$2/Input!$E$4/10,2)</f>
        <v>0</v>
      </c>
      <c r="O112" s="750">
        <f>ROUND($F112*(100%-$AA$2)/Input!$E$4/10,2)</f>
        <v>0</v>
      </c>
      <c r="P112" s="751">
        <f t="shared" si="67"/>
        <v>0</v>
      </c>
      <c r="Q112" s="750">
        <f t="shared" si="63"/>
        <v>0</v>
      </c>
      <c r="R112" s="751">
        <f t="shared" si="68"/>
        <v>0</v>
      </c>
      <c r="S112" s="606">
        <v>0.13800000000000001</v>
      </c>
      <c r="T112" s="779"/>
      <c r="U112" s="868">
        <f t="shared" si="64"/>
        <v>0</v>
      </c>
      <c r="V112" s="868">
        <f t="shared" si="65"/>
        <v>0</v>
      </c>
      <c r="W112" s="868">
        <f t="shared" si="70"/>
        <v>0</v>
      </c>
      <c r="X112" s="868">
        <f t="shared" si="66"/>
        <v>0</v>
      </c>
      <c r="Y112" s="868">
        <f t="shared" si="66"/>
        <v>0</v>
      </c>
    </row>
    <row r="113" spans="1:38" x14ac:dyDescent="0.35">
      <c r="A113" s="831" t="s">
        <v>911</v>
      </c>
      <c r="B113" s="585" t="s">
        <v>591</v>
      </c>
      <c r="C113" s="733"/>
      <c r="D113" s="588"/>
      <c r="E113" s="722"/>
      <c r="F113" s="870"/>
      <c r="G113" s="722"/>
      <c r="H113" s="722"/>
      <c r="N113" s="484"/>
      <c r="O113" s="484"/>
      <c r="P113" s="484"/>
      <c r="Q113" s="484"/>
      <c r="R113" s="484"/>
      <c r="S113" s="484"/>
      <c r="T113" s="482"/>
      <c r="U113" s="484"/>
      <c r="V113" s="484"/>
      <c r="W113" s="484"/>
      <c r="X113" s="484"/>
      <c r="Y113" s="484"/>
    </row>
    <row r="114" spans="1:38" ht="60" x14ac:dyDescent="0.35">
      <c r="A114" s="415">
        <v>1</v>
      </c>
      <c r="B114" s="566" t="s">
        <v>887</v>
      </c>
      <c r="C114" s="732" t="s">
        <v>615</v>
      </c>
      <c r="D114" s="835">
        <f>12145000*0.95</f>
        <v>11537750</v>
      </c>
      <c r="E114" s="823">
        <v>17</v>
      </c>
      <c r="F114" s="836">
        <f>D114*E114/10^5</f>
        <v>1961.4175</v>
      </c>
      <c r="G114" s="836">
        <f>$F114*$S114</f>
        <v>270.67561500000005</v>
      </c>
      <c r="H114" s="836">
        <f>F114+G114</f>
        <v>2232.0931150000001</v>
      </c>
      <c r="N114" s="750">
        <f>ROUND($F114*$AA$2/Input!$E$4/10,2)</f>
        <v>0.68</v>
      </c>
      <c r="O114" s="750">
        <f>ROUND($F114*(100%-$AA$2)/Input!$E$4/10,2)</f>
        <v>0.12</v>
      </c>
      <c r="P114" s="751">
        <f t="shared" si="67"/>
        <v>0.8</v>
      </c>
      <c r="Q114" s="750">
        <f t="shared" ref="Q114:Q121" si="71">N114*$AA$3+$O114*$AB$3</f>
        <v>0.1032</v>
      </c>
      <c r="R114" s="751">
        <f t="shared" si="68"/>
        <v>0.9032</v>
      </c>
      <c r="S114" s="1139">
        <v>0.13800000000000001</v>
      </c>
      <c r="T114" s="779"/>
      <c r="U114" s="1140">
        <f>F114*$AA$2</f>
        <v>1667.2048749999999</v>
      </c>
      <c r="V114" s="1140">
        <f>F114*$AB$2</f>
        <v>235.37009999999998</v>
      </c>
      <c r="W114" s="1140">
        <f t="shared" si="70"/>
        <v>1902.574975</v>
      </c>
      <c r="X114" s="1140">
        <f t="shared" ref="X114:Y116" si="72">G114</f>
        <v>270.67561500000005</v>
      </c>
      <c r="Y114" s="1140">
        <f t="shared" si="72"/>
        <v>2232.0931150000001</v>
      </c>
    </row>
    <row r="115" spans="1:38" ht="60" x14ac:dyDescent="0.35">
      <c r="A115" s="415">
        <v>2</v>
      </c>
      <c r="B115" s="566" t="s">
        <v>705</v>
      </c>
      <c r="C115" s="732" t="s">
        <v>615</v>
      </c>
      <c r="D115" s="835">
        <v>9180000</v>
      </c>
      <c r="E115" s="823">
        <v>6</v>
      </c>
      <c r="F115" s="836">
        <f>D115*E115/10^5</f>
        <v>550.79999999999995</v>
      </c>
      <c r="G115" s="836">
        <f>$F115*$S115</f>
        <v>76.010400000000004</v>
      </c>
      <c r="H115" s="836">
        <f>F115+G115</f>
        <v>626.81039999999996</v>
      </c>
      <c r="N115" s="750">
        <f>ROUND($F115*$AA$2/Input!$E$4/10,2)</f>
        <v>0.19</v>
      </c>
      <c r="O115" s="750">
        <f>ROUND($F115*(100%-$AA$2)/Input!$E$4/10,2)</f>
        <v>0.03</v>
      </c>
      <c r="P115" s="751">
        <f t="shared" si="67"/>
        <v>0.22</v>
      </c>
      <c r="Q115" s="750">
        <f t="shared" si="71"/>
        <v>2.8199999999999999E-2</v>
      </c>
      <c r="R115" s="751">
        <f t="shared" si="68"/>
        <v>0.2482</v>
      </c>
      <c r="S115" s="1139">
        <v>0.13800000000000001</v>
      </c>
      <c r="T115" s="779"/>
      <c r="U115" s="1140">
        <f>F115*$AA$2</f>
        <v>468.17999999999995</v>
      </c>
      <c r="V115" s="1140">
        <f>F115*$AB$2</f>
        <v>66.095999999999989</v>
      </c>
      <c r="W115" s="1140">
        <f t="shared" si="70"/>
        <v>534.27599999999995</v>
      </c>
      <c r="X115" s="1140">
        <f t="shared" si="72"/>
        <v>76.010400000000004</v>
      </c>
      <c r="Y115" s="1140">
        <f t="shared" si="72"/>
        <v>626.81039999999996</v>
      </c>
    </row>
    <row r="116" spans="1:38" x14ac:dyDescent="0.35">
      <c r="A116" s="415">
        <v>3</v>
      </c>
      <c r="B116" s="414" t="s">
        <v>706</v>
      </c>
      <c r="C116" s="732" t="s">
        <v>615</v>
      </c>
      <c r="D116" s="835">
        <v>130000</v>
      </c>
      <c r="E116" s="823">
        <f>E114+E115</f>
        <v>23</v>
      </c>
      <c r="F116" s="836">
        <f>D116*E116/10^5</f>
        <v>29.9</v>
      </c>
      <c r="G116" s="836">
        <f>$F116*$S116</f>
        <v>4.1261999999999999</v>
      </c>
      <c r="H116" s="836">
        <f>F116+G116</f>
        <v>34.026199999999996</v>
      </c>
      <c r="N116" s="750">
        <f>ROUND($F116*$AA$2/Input!$E$4/10,2)</f>
        <v>0.01</v>
      </c>
      <c r="O116" s="750">
        <f>ROUND($F116*(100%-$AA$2)/Input!$E$4/10,2)</f>
        <v>0</v>
      </c>
      <c r="P116" s="751">
        <f t="shared" si="67"/>
        <v>0.01</v>
      </c>
      <c r="Q116" s="750">
        <f t="shared" si="71"/>
        <v>1.1999999999999999E-3</v>
      </c>
      <c r="R116" s="751">
        <f t="shared" si="68"/>
        <v>1.12E-2</v>
      </c>
      <c r="S116" s="1139">
        <v>0.13800000000000001</v>
      </c>
      <c r="T116" s="779"/>
      <c r="U116" s="1140">
        <f>F116*$AA$2</f>
        <v>25.414999999999999</v>
      </c>
      <c r="V116" s="1140">
        <f>F116*$AB$2</f>
        <v>3.5879999999999996</v>
      </c>
      <c r="W116" s="1140">
        <f t="shared" si="70"/>
        <v>29.003</v>
      </c>
      <c r="X116" s="1140">
        <f t="shared" si="72"/>
        <v>4.1261999999999999</v>
      </c>
      <c r="Y116" s="1140">
        <f t="shared" si="72"/>
        <v>34.026199999999996</v>
      </c>
    </row>
    <row r="117" spans="1:38" x14ac:dyDescent="0.35">
      <c r="A117" s="831" t="s">
        <v>912</v>
      </c>
      <c r="B117" s="585" t="s">
        <v>587</v>
      </c>
      <c r="C117" s="733"/>
      <c r="D117" s="588"/>
      <c r="E117" s="722"/>
      <c r="F117" s="870"/>
      <c r="G117" s="722"/>
      <c r="H117" s="722"/>
      <c r="N117" s="750">
        <f>ROUND($F117*$AA$2/Input!$E$4/10,2)</f>
        <v>0</v>
      </c>
      <c r="O117" s="750">
        <f>ROUND($F117*(100%-$AA$2)/Input!$E$4/10,2)</f>
        <v>0</v>
      </c>
      <c r="P117" s="751">
        <f t="shared" si="67"/>
        <v>0</v>
      </c>
      <c r="Q117" s="750">
        <f t="shared" si="71"/>
        <v>0</v>
      </c>
      <c r="R117" s="751">
        <f t="shared" si="68"/>
        <v>0</v>
      </c>
      <c r="S117" s="1139">
        <v>0.13800000000000001</v>
      </c>
      <c r="T117" s="482"/>
      <c r="U117" s="1140"/>
      <c r="V117" s="1140"/>
      <c r="W117" s="1140"/>
      <c r="X117" s="1140"/>
      <c r="Y117" s="1140"/>
    </row>
    <row r="118" spans="1:38" ht="72" x14ac:dyDescent="0.35">
      <c r="A118" s="737">
        <v>1</v>
      </c>
      <c r="B118" s="1209" t="s">
        <v>888</v>
      </c>
      <c r="C118" s="735" t="s">
        <v>267</v>
      </c>
      <c r="D118" s="835">
        <v>919240</v>
      </c>
      <c r="E118" s="823">
        <f>E41/2</f>
        <v>22</v>
      </c>
      <c r="F118" s="836">
        <f>D118*E118/10^5</f>
        <v>202.2328</v>
      </c>
      <c r="G118" s="836">
        <f>$F118*$S118</f>
        <v>27.9081264</v>
      </c>
      <c r="H118" s="836">
        <f>F118+G118</f>
        <v>230.14092640000001</v>
      </c>
      <c r="N118" s="750">
        <f>ROUND($F118*$AA$2/Input!$E$4/10,2)</f>
        <v>7.0000000000000007E-2</v>
      </c>
      <c r="O118" s="750">
        <f>ROUND($F118*(100%-$AA$2)/Input!$E$4/10,2)</f>
        <v>0.01</v>
      </c>
      <c r="P118" s="751">
        <f t="shared" si="67"/>
        <v>0.08</v>
      </c>
      <c r="Q118" s="750">
        <f t="shared" si="71"/>
        <v>1.0200000000000001E-2</v>
      </c>
      <c r="R118" s="751">
        <f t="shared" si="68"/>
        <v>9.0200000000000002E-2</v>
      </c>
      <c r="S118" s="1139">
        <v>0.13800000000000001</v>
      </c>
      <c r="T118" s="779"/>
      <c r="U118" s="1140">
        <f>F118*$AA$2</f>
        <v>171.89787999999999</v>
      </c>
      <c r="V118" s="1140">
        <f>F118*$AB$2</f>
        <v>24.267935999999999</v>
      </c>
      <c r="W118" s="1140">
        <f t="shared" si="70"/>
        <v>196.16581599999998</v>
      </c>
      <c r="X118" s="1140">
        <f t="shared" ref="X118:Y121" si="73">G118</f>
        <v>27.9081264</v>
      </c>
      <c r="Y118" s="1140">
        <f t="shared" si="73"/>
        <v>230.14092640000001</v>
      </c>
    </row>
    <row r="119" spans="1:38" ht="72" x14ac:dyDescent="0.35">
      <c r="A119" s="737">
        <v>2</v>
      </c>
      <c r="B119" s="1209" t="s">
        <v>889</v>
      </c>
      <c r="C119" s="735" t="s">
        <v>267</v>
      </c>
      <c r="D119" s="835">
        <f>2000000</f>
        <v>2000000</v>
      </c>
      <c r="E119" s="823">
        <f>E42/2</f>
        <v>6</v>
      </c>
      <c r="F119" s="836">
        <f>D119*E119/10^5</f>
        <v>120</v>
      </c>
      <c r="G119" s="836">
        <f>$F119*$S119</f>
        <v>16.560000000000002</v>
      </c>
      <c r="H119" s="836">
        <f>F119+G119</f>
        <v>136.56</v>
      </c>
      <c r="N119" s="750">
        <f>ROUND($F119*$AA$2/Input!$E$4/10,2)</f>
        <v>0.04</v>
      </c>
      <c r="O119" s="750">
        <f>ROUND($F119*(100%-$AA$2)/Input!$E$4/10,2)</f>
        <v>0.01</v>
      </c>
      <c r="P119" s="751">
        <f t="shared" si="67"/>
        <v>0.05</v>
      </c>
      <c r="Q119" s="750">
        <f t="shared" si="71"/>
        <v>6.6E-3</v>
      </c>
      <c r="R119" s="751">
        <f t="shared" si="68"/>
        <v>5.6600000000000004E-2</v>
      </c>
      <c r="S119" s="1139">
        <v>0.13800000000000001</v>
      </c>
      <c r="T119" s="779"/>
      <c r="U119" s="1140">
        <f>F119*$AA$2</f>
        <v>102</v>
      </c>
      <c r="V119" s="1140">
        <f>F119*$AB$2</f>
        <v>14.399999999999999</v>
      </c>
      <c r="W119" s="1140">
        <f t="shared" si="70"/>
        <v>116.4</v>
      </c>
      <c r="X119" s="1140">
        <f t="shared" si="73"/>
        <v>16.560000000000002</v>
      </c>
      <c r="Y119" s="1140">
        <f t="shared" si="73"/>
        <v>136.56</v>
      </c>
    </row>
    <row r="120" spans="1:38" ht="72" x14ac:dyDescent="0.35">
      <c r="A120" s="737">
        <v>3</v>
      </c>
      <c r="B120" s="1209" t="s">
        <v>890</v>
      </c>
      <c r="C120" s="735" t="s">
        <v>267</v>
      </c>
      <c r="D120" s="835">
        <f>1500000</f>
        <v>1500000</v>
      </c>
      <c r="E120" s="823">
        <v>1</v>
      </c>
      <c r="F120" s="836">
        <f>D120*E120/10^5</f>
        <v>15</v>
      </c>
      <c r="G120" s="836">
        <f>$F120*$S120</f>
        <v>2.0700000000000003</v>
      </c>
      <c r="H120" s="836">
        <f>F120+G120</f>
        <v>17.07</v>
      </c>
      <c r="N120" s="750">
        <f>ROUND($F120*$AA$2/Input!$E$4/10,2)</f>
        <v>0.01</v>
      </c>
      <c r="O120" s="750">
        <f>ROUND($F120*(100%-$AA$2)/Input!$E$4/10,2)</f>
        <v>0</v>
      </c>
      <c r="P120" s="751">
        <f t="shared" si="67"/>
        <v>0.01</v>
      </c>
      <c r="Q120" s="750">
        <f t="shared" si="71"/>
        <v>1.1999999999999999E-3</v>
      </c>
      <c r="R120" s="751">
        <f t="shared" si="68"/>
        <v>1.12E-2</v>
      </c>
      <c r="S120" s="1139">
        <v>0.13800000000000001</v>
      </c>
      <c r="T120" s="779"/>
      <c r="U120" s="1140">
        <f>F120*$AA$2</f>
        <v>12.75</v>
      </c>
      <c r="V120" s="1140">
        <f>F120*$AB$2</f>
        <v>1.7999999999999998</v>
      </c>
      <c r="W120" s="1140">
        <f t="shared" si="70"/>
        <v>14.55</v>
      </c>
      <c r="X120" s="1140">
        <f t="shared" si="73"/>
        <v>2.0700000000000003</v>
      </c>
      <c r="Y120" s="1140">
        <f t="shared" si="73"/>
        <v>17.07</v>
      </c>
    </row>
    <row r="121" spans="1:38" ht="132" x14ac:dyDescent="0.35">
      <c r="A121" s="737">
        <v>4</v>
      </c>
      <c r="B121" s="1209" t="s">
        <v>891</v>
      </c>
      <c r="C121" s="735" t="s">
        <v>267</v>
      </c>
      <c r="D121" s="835">
        <v>17546960</v>
      </c>
      <c r="E121" s="823">
        <v>1</v>
      </c>
      <c r="F121" s="836">
        <f>D121*E121/10^5</f>
        <v>175.46960000000001</v>
      </c>
      <c r="G121" s="836">
        <f>$F121*$S121</f>
        <v>24.214804800000003</v>
      </c>
      <c r="H121" s="836">
        <f>F121+G121</f>
        <v>199.68440480000001</v>
      </c>
      <c r="N121" s="750">
        <f>ROUND($F121*$AA$2/Input!$E$4/10,2)</f>
        <v>0.06</v>
      </c>
      <c r="O121" s="750">
        <f>ROUND($F121*(100%-$AA$2)/Input!$E$4/10,2)</f>
        <v>0.01</v>
      </c>
      <c r="P121" s="751">
        <f t="shared" si="67"/>
        <v>6.9999999999999993E-2</v>
      </c>
      <c r="Q121" s="750">
        <f t="shared" si="71"/>
        <v>8.9999999999999993E-3</v>
      </c>
      <c r="R121" s="751">
        <f t="shared" si="68"/>
        <v>7.8999999999999987E-2</v>
      </c>
      <c r="S121" s="1139">
        <v>0.13800000000000001</v>
      </c>
      <c r="T121" s="779"/>
      <c r="U121" s="1140">
        <f>F121*$AA$2</f>
        <v>149.14915999999999</v>
      </c>
      <c r="V121" s="1140">
        <f>F121*$AB$2</f>
        <v>21.056352</v>
      </c>
      <c r="W121" s="1140">
        <f t="shared" si="70"/>
        <v>170.205512</v>
      </c>
      <c r="X121" s="1140">
        <f t="shared" si="73"/>
        <v>24.214804800000003</v>
      </c>
      <c r="Y121" s="1140">
        <f t="shared" si="73"/>
        <v>199.68440480000001</v>
      </c>
    </row>
    <row r="122" spans="1:38" x14ac:dyDescent="0.35">
      <c r="A122" s="833" t="s">
        <v>595</v>
      </c>
      <c r="B122" s="483" t="s">
        <v>588</v>
      </c>
      <c r="C122" s="730"/>
      <c r="D122" s="485"/>
      <c r="E122" s="484"/>
      <c r="F122" s="484"/>
      <c r="G122" s="484"/>
      <c r="H122" s="484"/>
      <c r="N122" s="484"/>
      <c r="O122" s="484"/>
      <c r="P122" s="484"/>
      <c r="Q122" s="484"/>
      <c r="R122" s="484"/>
      <c r="S122" s="484"/>
      <c r="T122" s="482"/>
      <c r="U122" s="484"/>
      <c r="V122" s="484"/>
      <c r="W122" s="484"/>
      <c r="X122" s="484"/>
      <c r="Y122" s="484"/>
    </row>
    <row r="123" spans="1:38" ht="48" x14ac:dyDescent="0.35">
      <c r="A123" s="1197">
        <v>1</v>
      </c>
      <c r="B123" s="1198" t="s">
        <v>1183</v>
      </c>
      <c r="C123" s="1197" t="s">
        <v>387</v>
      </c>
      <c r="D123" s="1200">
        <v>1070</v>
      </c>
      <c r="E123" s="1201">
        <v>44500</v>
      </c>
      <c r="F123" s="836">
        <f t="shared" ref="F123" si="74">D123*E123/10^5</f>
        <v>476.15</v>
      </c>
      <c r="G123" s="836">
        <f t="shared" ref="G123:G133" si="75">$F123*$S123</f>
        <v>65.708700000000007</v>
      </c>
      <c r="H123" s="836">
        <f t="shared" ref="H123" si="76">F123+G123</f>
        <v>541.8587</v>
      </c>
      <c r="N123" s="750">
        <f>ROUND($F123*$AA$2/Input!$E$4/10,2)</f>
        <v>0.17</v>
      </c>
      <c r="O123" s="750">
        <f>ROUND($F123*(100%-$AA$2)/Input!$E$4/10,2)</f>
        <v>0.03</v>
      </c>
      <c r="P123" s="751">
        <f t="shared" si="67"/>
        <v>0.2</v>
      </c>
      <c r="Q123" s="750">
        <f t="shared" ref="Q123" si="77">N123*$AA$3+$O123*$AB$3</f>
        <v>2.58E-2</v>
      </c>
      <c r="R123" s="751">
        <f t="shared" si="68"/>
        <v>0.2258</v>
      </c>
      <c r="S123" s="1139">
        <v>0.13800000000000001</v>
      </c>
      <c r="T123" s="779"/>
      <c r="U123" s="1140">
        <f t="shared" ref="U123" si="78">F123*$AA$2</f>
        <v>404.72749999999996</v>
      </c>
      <c r="V123" s="1140">
        <f t="shared" ref="V123" si="79">F123*$AB$2</f>
        <v>57.137999999999998</v>
      </c>
      <c r="W123" s="1140">
        <f t="shared" si="70"/>
        <v>461.86549999999994</v>
      </c>
      <c r="X123" s="1140">
        <f t="shared" ref="X123" si="80">G123</f>
        <v>65.708700000000007</v>
      </c>
      <c r="Y123" s="1140">
        <f t="shared" ref="Y123" si="81">H123</f>
        <v>541.8587</v>
      </c>
      <c r="AJ123" s="873"/>
      <c r="AK123" s="873"/>
      <c r="AL123" s="874"/>
    </row>
    <row r="124" spans="1:38" ht="48" x14ac:dyDescent="0.35">
      <c r="A124" s="1197">
        <v>2</v>
      </c>
      <c r="B124" s="1198" t="s">
        <v>1184</v>
      </c>
      <c r="C124" s="1197" t="s">
        <v>267</v>
      </c>
      <c r="D124" s="1200">
        <v>866</v>
      </c>
      <c r="E124" s="1201">
        <v>26800</v>
      </c>
      <c r="F124" s="836">
        <f t="shared" ref="F124:F133" si="82">D124*E124/10^5</f>
        <v>232.08799999999999</v>
      </c>
      <c r="G124" s="836">
        <f t="shared" si="75"/>
        <v>32.028144000000005</v>
      </c>
      <c r="H124" s="836">
        <f t="shared" ref="H124:H133" si="83">F124+G124</f>
        <v>264.11614400000002</v>
      </c>
      <c r="N124" s="750">
        <f>ROUND($F124*$AA$2/Input!$E$4/10,2)</f>
        <v>0.08</v>
      </c>
      <c r="O124" s="750">
        <f>ROUND($F124*(100%-$AA$2)/Input!$E$4/10,2)</f>
        <v>0.01</v>
      </c>
      <c r="P124" s="751">
        <f t="shared" ref="P124:P133" si="84">SUM(N124:O124)</f>
        <v>0.09</v>
      </c>
      <c r="Q124" s="750">
        <f t="shared" ref="Q124:Q133" si="85">N124*$AA$3+$O124*$AB$3</f>
        <v>1.1399999999999999E-2</v>
      </c>
      <c r="R124" s="751">
        <f t="shared" ref="R124:R133" si="86">P124+Q124</f>
        <v>0.10139999999999999</v>
      </c>
      <c r="S124" s="1139">
        <v>0.13800000000000001</v>
      </c>
      <c r="T124" s="779"/>
      <c r="U124" s="1140">
        <f t="shared" ref="U124:U133" si="87">F124*$AA$2</f>
        <v>197.2748</v>
      </c>
      <c r="V124" s="1140">
        <f t="shared" ref="V124:V133" si="88">F124*$AB$2</f>
        <v>27.850559999999998</v>
      </c>
      <c r="W124" s="1140">
        <f t="shared" ref="W124:W133" si="89">U124+V124</f>
        <v>225.12536</v>
      </c>
      <c r="X124" s="1140">
        <f t="shared" ref="X124:X133" si="90">G124</f>
        <v>32.028144000000005</v>
      </c>
      <c r="Y124" s="1140">
        <f t="shared" ref="Y124:Y133" si="91">H124</f>
        <v>264.11614400000002</v>
      </c>
      <c r="AJ124" s="875"/>
      <c r="AK124" s="875"/>
      <c r="AL124" s="876"/>
    </row>
    <row r="125" spans="1:38" ht="12.5" x14ac:dyDescent="0.35">
      <c r="A125" s="1197">
        <v>3</v>
      </c>
      <c r="B125" s="1198" t="s">
        <v>1185</v>
      </c>
      <c r="C125" s="1197" t="s">
        <v>267</v>
      </c>
      <c r="D125" s="1200">
        <v>3000</v>
      </c>
      <c r="E125" s="1201">
        <v>30</v>
      </c>
      <c r="F125" s="836">
        <f t="shared" si="82"/>
        <v>0.9</v>
      </c>
      <c r="G125" s="836">
        <f t="shared" si="75"/>
        <v>0.12420000000000002</v>
      </c>
      <c r="H125" s="836">
        <f t="shared" si="83"/>
        <v>1.0242</v>
      </c>
      <c r="N125" s="750">
        <f>ROUND($F125*$AA$2/Input!$E$4/10,2)</f>
        <v>0</v>
      </c>
      <c r="O125" s="750">
        <f>ROUND($F125*(100%-$AA$2)/Input!$E$4/10,2)</f>
        <v>0</v>
      </c>
      <c r="P125" s="751">
        <f t="shared" si="84"/>
        <v>0</v>
      </c>
      <c r="Q125" s="750">
        <f t="shared" si="85"/>
        <v>0</v>
      </c>
      <c r="R125" s="751">
        <f t="shared" si="86"/>
        <v>0</v>
      </c>
      <c r="S125" s="1139">
        <v>0.13800000000000001</v>
      </c>
      <c r="T125" s="779"/>
      <c r="U125" s="1140">
        <f t="shared" si="87"/>
        <v>0.76500000000000001</v>
      </c>
      <c r="V125" s="1140">
        <f t="shared" si="88"/>
        <v>0.108</v>
      </c>
      <c r="W125" s="1140">
        <f t="shared" si="89"/>
        <v>0.873</v>
      </c>
      <c r="X125" s="1140">
        <f t="shared" si="90"/>
        <v>0.12420000000000002</v>
      </c>
      <c r="Y125" s="1140">
        <f t="shared" si="91"/>
        <v>1.0242</v>
      </c>
      <c r="AJ125" s="875"/>
      <c r="AK125" s="875"/>
      <c r="AL125" s="876"/>
    </row>
    <row r="126" spans="1:38" ht="12.5" x14ac:dyDescent="0.35">
      <c r="A126" s="1197">
        <v>4</v>
      </c>
      <c r="B126" s="1198" t="s">
        <v>1186</v>
      </c>
      <c r="C126" s="1197" t="s">
        <v>267</v>
      </c>
      <c r="D126" s="1200">
        <v>3000</v>
      </c>
      <c r="E126" s="1201">
        <v>27</v>
      </c>
      <c r="F126" s="836">
        <f t="shared" si="82"/>
        <v>0.81</v>
      </c>
      <c r="G126" s="836">
        <f t="shared" si="75"/>
        <v>0.11178000000000002</v>
      </c>
      <c r="H126" s="836">
        <f t="shared" si="83"/>
        <v>0.92178000000000004</v>
      </c>
      <c r="N126" s="750">
        <f>ROUND($F126*$AA$2/Input!$E$4/10,2)</f>
        <v>0</v>
      </c>
      <c r="O126" s="750">
        <f>ROUND($F126*(100%-$AA$2)/Input!$E$4/10,2)</f>
        <v>0</v>
      </c>
      <c r="P126" s="751">
        <f t="shared" si="84"/>
        <v>0</v>
      </c>
      <c r="Q126" s="750">
        <f t="shared" si="85"/>
        <v>0</v>
      </c>
      <c r="R126" s="751">
        <f t="shared" si="86"/>
        <v>0</v>
      </c>
      <c r="S126" s="1139">
        <v>0.13800000000000001</v>
      </c>
      <c r="T126" s="779"/>
      <c r="U126" s="1140">
        <f t="shared" si="87"/>
        <v>0.6885</v>
      </c>
      <c r="V126" s="1140">
        <f t="shared" si="88"/>
        <v>9.7200000000000009E-2</v>
      </c>
      <c r="W126" s="1140">
        <f t="shared" si="89"/>
        <v>0.78570000000000007</v>
      </c>
      <c r="X126" s="1140">
        <f t="shared" si="90"/>
        <v>0.11178000000000002</v>
      </c>
      <c r="Y126" s="1140">
        <f t="shared" si="91"/>
        <v>0.92178000000000004</v>
      </c>
      <c r="AJ126" s="875"/>
      <c r="AK126" s="875"/>
      <c r="AL126" s="876"/>
    </row>
    <row r="127" spans="1:38" ht="12.5" x14ac:dyDescent="0.35">
      <c r="A127" s="1197">
        <v>5</v>
      </c>
      <c r="B127" s="1198" t="s">
        <v>1187</v>
      </c>
      <c r="C127" s="1197" t="s">
        <v>387</v>
      </c>
      <c r="D127" s="1200">
        <v>5000</v>
      </c>
      <c r="E127" s="1201">
        <v>210</v>
      </c>
      <c r="F127" s="836">
        <f t="shared" si="82"/>
        <v>10.5</v>
      </c>
      <c r="G127" s="836">
        <f t="shared" si="75"/>
        <v>1.4490000000000001</v>
      </c>
      <c r="H127" s="836">
        <f t="shared" si="83"/>
        <v>11.949</v>
      </c>
      <c r="N127" s="750">
        <f>ROUND($F127*$AA$2/Input!$E$4/10,2)</f>
        <v>0</v>
      </c>
      <c r="O127" s="750">
        <f>ROUND($F127*(100%-$AA$2)/Input!$E$4/10,2)</f>
        <v>0</v>
      </c>
      <c r="P127" s="751">
        <f t="shared" si="84"/>
        <v>0</v>
      </c>
      <c r="Q127" s="750">
        <f t="shared" si="85"/>
        <v>0</v>
      </c>
      <c r="R127" s="751">
        <f t="shared" si="86"/>
        <v>0</v>
      </c>
      <c r="S127" s="1139">
        <v>0.13800000000000001</v>
      </c>
      <c r="T127" s="779"/>
      <c r="U127" s="1140">
        <f t="shared" si="87"/>
        <v>8.9249999999999989</v>
      </c>
      <c r="V127" s="1140">
        <f t="shared" si="88"/>
        <v>1.26</v>
      </c>
      <c r="W127" s="1140">
        <f t="shared" si="89"/>
        <v>10.184999999999999</v>
      </c>
      <c r="X127" s="1140">
        <f t="shared" si="90"/>
        <v>1.4490000000000001</v>
      </c>
      <c r="Y127" s="1140">
        <f t="shared" si="91"/>
        <v>11.949</v>
      </c>
      <c r="AJ127" s="875"/>
      <c r="AK127" s="875"/>
      <c r="AL127" s="876"/>
    </row>
    <row r="128" spans="1:38" ht="12.5" x14ac:dyDescent="0.35">
      <c r="A128" s="1197">
        <v>6</v>
      </c>
      <c r="B128" s="1199" t="s">
        <v>892</v>
      </c>
      <c r="C128" s="1197" t="s">
        <v>267</v>
      </c>
      <c r="D128" s="1200">
        <v>5000</v>
      </c>
      <c r="E128" s="1201">
        <v>38</v>
      </c>
      <c r="F128" s="836">
        <f t="shared" si="82"/>
        <v>1.9</v>
      </c>
      <c r="G128" s="836">
        <f t="shared" si="75"/>
        <v>0.26219999999999999</v>
      </c>
      <c r="H128" s="836">
        <f t="shared" si="83"/>
        <v>2.1621999999999999</v>
      </c>
      <c r="N128" s="750">
        <f>ROUND($F128*$AA$2/Input!$E$4/10,2)</f>
        <v>0</v>
      </c>
      <c r="O128" s="750">
        <f>ROUND($F128*(100%-$AA$2)/Input!$E$4/10,2)</f>
        <v>0</v>
      </c>
      <c r="P128" s="751">
        <f t="shared" si="84"/>
        <v>0</v>
      </c>
      <c r="Q128" s="750">
        <f t="shared" si="85"/>
        <v>0</v>
      </c>
      <c r="R128" s="751">
        <f t="shared" si="86"/>
        <v>0</v>
      </c>
      <c r="S128" s="1139">
        <v>0.13800000000000001</v>
      </c>
      <c r="T128" s="779"/>
      <c r="U128" s="1140">
        <f t="shared" si="87"/>
        <v>1.615</v>
      </c>
      <c r="V128" s="1140">
        <f t="shared" si="88"/>
        <v>0.22799999999999998</v>
      </c>
      <c r="W128" s="1140">
        <f t="shared" si="89"/>
        <v>1.843</v>
      </c>
      <c r="X128" s="1140">
        <f t="shared" si="90"/>
        <v>0.26219999999999999</v>
      </c>
      <c r="Y128" s="1140">
        <f t="shared" si="91"/>
        <v>2.1621999999999999</v>
      </c>
      <c r="AJ128" s="877"/>
      <c r="AK128" s="875"/>
      <c r="AL128" s="878"/>
    </row>
    <row r="129" spans="1:38" ht="48" x14ac:dyDescent="0.35">
      <c r="A129" s="1197">
        <v>7</v>
      </c>
      <c r="B129" s="1198" t="s">
        <v>893</v>
      </c>
      <c r="C129" s="1197" t="s">
        <v>267</v>
      </c>
      <c r="D129" s="1200">
        <v>1070</v>
      </c>
      <c r="E129" s="1201">
        <v>800</v>
      </c>
      <c r="F129" s="836">
        <f t="shared" si="82"/>
        <v>8.56</v>
      </c>
      <c r="G129" s="836">
        <f t="shared" si="75"/>
        <v>1.1812800000000001</v>
      </c>
      <c r="H129" s="836">
        <f t="shared" si="83"/>
        <v>9.7412799999999997</v>
      </c>
      <c r="N129" s="750">
        <f>ROUND($F129*$AA$2/Input!$E$4/10,2)</f>
        <v>0</v>
      </c>
      <c r="O129" s="750">
        <f>ROUND($F129*(100%-$AA$2)/Input!$E$4/10,2)</f>
        <v>0</v>
      </c>
      <c r="P129" s="751">
        <f t="shared" si="84"/>
        <v>0</v>
      </c>
      <c r="Q129" s="750">
        <f t="shared" si="85"/>
        <v>0</v>
      </c>
      <c r="R129" s="751">
        <f t="shared" si="86"/>
        <v>0</v>
      </c>
      <c r="S129" s="1139">
        <v>0.13800000000000001</v>
      </c>
      <c r="T129" s="779"/>
      <c r="U129" s="1140">
        <f t="shared" si="87"/>
        <v>7.2759999999999998</v>
      </c>
      <c r="V129" s="1140">
        <f t="shared" si="88"/>
        <v>1.0272000000000001</v>
      </c>
      <c r="W129" s="1140">
        <f t="shared" si="89"/>
        <v>8.3032000000000004</v>
      </c>
      <c r="X129" s="1140">
        <f t="shared" si="90"/>
        <v>1.1812800000000001</v>
      </c>
      <c r="Y129" s="1140">
        <f t="shared" si="91"/>
        <v>9.7412799999999997</v>
      </c>
      <c r="AJ129" s="875"/>
      <c r="AK129" s="875"/>
      <c r="AL129" s="876"/>
    </row>
    <row r="130" spans="1:38" ht="12.5" x14ac:dyDescent="0.35">
      <c r="A130" s="1197">
        <v>8</v>
      </c>
      <c r="B130" s="1199" t="s">
        <v>685</v>
      </c>
      <c r="C130" s="1197" t="s">
        <v>267</v>
      </c>
      <c r="D130" s="1200">
        <v>3000</v>
      </c>
      <c r="E130" s="1201">
        <v>20</v>
      </c>
      <c r="F130" s="836">
        <f t="shared" si="82"/>
        <v>0.6</v>
      </c>
      <c r="G130" s="836">
        <f t="shared" si="75"/>
        <v>8.2799999999999999E-2</v>
      </c>
      <c r="H130" s="836">
        <f t="shared" si="83"/>
        <v>0.68279999999999996</v>
      </c>
      <c r="N130" s="750">
        <f>ROUND($F130*$AA$2/Input!$E$4/10,2)</f>
        <v>0</v>
      </c>
      <c r="O130" s="750">
        <f>ROUND($F130*(100%-$AA$2)/Input!$E$4/10,2)</f>
        <v>0</v>
      </c>
      <c r="P130" s="751">
        <f t="shared" si="84"/>
        <v>0</v>
      </c>
      <c r="Q130" s="750">
        <f t="shared" si="85"/>
        <v>0</v>
      </c>
      <c r="R130" s="751">
        <f t="shared" si="86"/>
        <v>0</v>
      </c>
      <c r="S130" s="1139">
        <v>0.13800000000000001</v>
      </c>
      <c r="T130" s="779"/>
      <c r="U130" s="1140">
        <f t="shared" si="87"/>
        <v>0.51</v>
      </c>
      <c r="V130" s="1140">
        <f t="shared" si="88"/>
        <v>7.1999999999999995E-2</v>
      </c>
      <c r="W130" s="1140">
        <f t="shared" si="89"/>
        <v>0.58199999999999996</v>
      </c>
      <c r="X130" s="1140">
        <f t="shared" si="90"/>
        <v>8.2799999999999999E-2</v>
      </c>
      <c r="Y130" s="1140">
        <f t="shared" si="91"/>
        <v>0.68279999999999996</v>
      </c>
      <c r="AJ130" s="875"/>
      <c r="AK130" s="875"/>
      <c r="AL130" s="876"/>
    </row>
    <row r="131" spans="1:38" ht="12.5" x14ac:dyDescent="0.35">
      <c r="A131" s="1197">
        <v>9</v>
      </c>
      <c r="B131" s="1199" t="s">
        <v>684</v>
      </c>
      <c r="C131" s="1197"/>
      <c r="D131" s="1200">
        <v>5000</v>
      </c>
      <c r="E131" s="1201">
        <v>20</v>
      </c>
      <c r="F131" s="836">
        <f t="shared" si="82"/>
        <v>1</v>
      </c>
      <c r="G131" s="836">
        <f t="shared" si="75"/>
        <v>0.13800000000000001</v>
      </c>
      <c r="H131" s="836">
        <f t="shared" si="83"/>
        <v>1.1379999999999999</v>
      </c>
      <c r="N131" s="750">
        <f>ROUND($F131*$AA$2/Input!$E$4/10,2)</f>
        <v>0</v>
      </c>
      <c r="O131" s="750">
        <f>ROUND($F131*(100%-$AA$2)/Input!$E$4/10,2)</f>
        <v>0</v>
      </c>
      <c r="P131" s="751">
        <f t="shared" si="84"/>
        <v>0</v>
      </c>
      <c r="Q131" s="750">
        <f t="shared" si="85"/>
        <v>0</v>
      </c>
      <c r="R131" s="751">
        <f t="shared" si="86"/>
        <v>0</v>
      </c>
      <c r="S131" s="1139">
        <v>0.13800000000000001</v>
      </c>
      <c r="T131" s="779"/>
      <c r="U131" s="1140">
        <f t="shared" si="87"/>
        <v>0.85</v>
      </c>
      <c r="V131" s="1140">
        <f t="shared" si="88"/>
        <v>0.12</v>
      </c>
      <c r="W131" s="1140">
        <f t="shared" si="89"/>
        <v>0.97</v>
      </c>
      <c r="X131" s="1140">
        <f t="shared" si="90"/>
        <v>0.13800000000000001</v>
      </c>
      <c r="Y131" s="1140">
        <f t="shared" si="91"/>
        <v>1.1379999999999999</v>
      </c>
      <c r="AJ131" s="875"/>
      <c r="AK131" s="875"/>
      <c r="AL131" s="876"/>
    </row>
    <row r="132" spans="1:38" ht="12.5" x14ac:dyDescent="0.35">
      <c r="A132" s="1197">
        <v>10</v>
      </c>
      <c r="B132" s="1199" t="s">
        <v>686</v>
      </c>
      <c r="C132" s="1197"/>
      <c r="D132" s="1200">
        <f>1000</f>
        <v>1000</v>
      </c>
      <c r="E132" s="1201"/>
      <c r="F132" s="836">
        <f t="shared" si="82"/>
        <v>0</v>
      </c>
      <c r="G132" s="836">
        <f t="shared" si="75"/>
        <v>0</v>
      </c>
      <c r="H132" s="836">
        <f t="shared" si="83"/>
        <v>0</v>
      </c>
      <c r="N132" s="750">
        <f>ROUND($F132*$AA$2/Input!$E$4/10,2)</f>
        <v>0</v>
      </c>
      <c r="O132" s="750">
        <f>ROUND($F132*(100%-$AA$2)/Input!$E$4/10,2)</f>
        <v>0</v>
      </c>
      <c r="P132" s="751">
        <f t="shared" si="84"/>
        <v>0</v>
      </c>
      <c r="Q132" s="750">
        <f t="shared" si="85"/>
        <v>0</v>
      </c>
      <c r="R132" s="751">
        <f t="shared" si="86"/>
        <v>0</v>
      </c>
      <c r="S132" s="1139">
        <v>0.13800000000000001</v>
      </c>
      <c r="T132" s="779"/>
      <c r="U132" s="1140">
        <f t="shared" si="87"/>
        <v>0</v>
      </c>
      <c r="V132" s="1140">
        <f t="shared" si="88"/>
        <v>0</v>
      </c>
      <c r="W132" s="1140">
        <f t="shared" si="89"/>
        <v>0</v>
      </c>
      <c r="X132" s="1140">
        <f t="shared" si="90"/>
        <v>0</v>
      </c>
      <c r="Y132" s="1140">
        <f t="shared" si="91"/>
        <v>0</v>
      </c>
      <c r="AJ132" s="875"/>
      <c r="AK132" s="875"/>
      <c r="AL132" s="876"/>
    </row>
    <row r="133" spans="1:38" ht="24" x14ac:dyDescent="0.35">
      <c r="A133" s="1197">
        <v>11</v>
      </c>
      <c r="B133" s="1198" t="s">
        <v>655</v>
      </c>
      <c r="C133" s="1197" t="s">
        <v>615</v>
      </c>
      <c r="D133" s="1200">
        <v>100</v>
      </c>
      <c r="E133" s="1201">
        <v>525</v>
      </c>
      <c r="F133" s="836">
        <f t="shared" si="82"/>
        <v>0.52500000000000002</v>
      </c>
      <c r="G133" s="836">
        <f t="shared" si="75"/>
        <v>7.2450000000000014E-2</v>
      </c>
      <c r="H133" s="836">
        <f t="shared" si="83"/>
        <v>0.59745000000000004</v>
      </c>
      <c r="N133" s="750">
        <f>ROUND($F133*$AA$2/Input!$E$4/10,2)</f>
        <v>0</v>
      </c>
      <c r="O133" s="750">
        <f>ROUND($F133*(100%-$AA$2)/Input!$E$4/10,2)</f>
        <v>0</v>
      </c>
      <c r="P133" s="751">
        <f t="shared" si="84"/>
        <v>0</v>
      </c>
      <c r="Q133" s="750">
        <f t="shared" si="85"/>
        <v>0</v>
      </c>
      <c r="R133" s="751">
        <f t="shared" si="86"/>
        <v>0</v>
      </c>
      <c r="S133" s="1139">
        <v>0.13800000000000001</v>
      </c>
      <c r="T133" s="779"/>
      <c r="U133" s="1140">
        <f t="shared" si="87"/>
        <v>0.44624999999999998</v>
      </c>
      <c r="V133" s="1140">
        <f t="shared" si="88"/>
        <v>6.3E-2</v>
      </c>
      <c r="W133" s="1140">
        <f t="shared" si="89"/>
        <v>0.50924999999999998</v>
      </c>
      <c r="X133" s="1140">
        <f t="shared" si="90"/>
        <v>7.2450000000000014E-2</v>
      </c>
      <c r="Y133" s="1140">
        <f t="shared" si="91"/>
        <v>0.59745000000000004</v>
      </c>
      <c r="AJ133" s="875"/>
      <c r="AK133" s="875"/>
      <c r="AL133" s="876"/>
    </row>
    <row r="134" spans="1:38" ht="12.5" x14ac:dyDescent="0.35">
      <c r="A134" s="831" t="s">
        <v>576</v>
      </c>
      <c r="B134" s="585" t="s">
        <v>590</v>
      </c>
      <c r="C134" s="733"/>
      <c r="D134" s="588"/>
      <c r="E134" s="722"/>
      <c r="F134" s="870"/>
      <c r="G134" s="722"/>
      <c r="H134" s="722"/>
      <c r="N134" s="484"/>
      <c r="O134" s="484"/>
      <c r="P134" s="484"/>
      <c r="Q134" s="484"/>
      <c r="R134" s="484"/>
      <c r="S134" s="484"/>
      <c r="T134" s="482"/>
      <c r="U134" s="484"/>
      <c r="V134" s="484"/>
      <c r="W134" s="484"/>
      <c r="X134" s="484"/>
      <c r="Y134" s="484"/>
      <c r="AJ134" s="875"/>
      <c r="AK134" s="875"/>
      <c r="AL134" s="876"/>
    </row>
    <row r="135" spans="1:38" ht="24" x14ac:dyDescent="0.35">
      <c r="A135" s="415">
        <v>1</v>
      </c>
      <c r="B135" s="582" t="s">
        <v>985</v>
      </c>
      <c r="C135" s="415" t="s">
        <v>267</v>
      </c>
      <c r="D135" s="835">
        <v>40000</v>
      </c>
      <c r="E135" s="823">
        <v>22</v>
      </c>
      <c r="F135" s="836">
        <f t="shared" ref="F135:F154" si="92">D135*E135/10^5</f>
        <v>8.8000000000000007</v>
      </c>
      <c r="G135" s="836">
        <f t="shared" ref="G135:G154" si="93">$F135*$S135</f>
        <v>1.2144000000000001</v>
      </c>
      <c r="H135" s="836">
        <f t="shared" ref="H135:H154" si="94">F135+G135</f>
        <v>10.0144</v>
      </c>
      <c r="N135" s="750">
        <f>ROUND($F135*$AA$2/Input!$E$4/10,2)</f>
        <v>0</v>
      </c>
      <c r="O135" s="750">
        <f>ROUND($F135*(100%-$AA$2)/Input!$E$4/10,2)</f>
        <v>0</v>
      </c>
      <c r="P135" s="751">
        <f t="shared" si="67"/>
        <v>0</v>
      </c>
      <c r="Q135" s="750">
        <f t="shared" ref="Q135:Q154" si="95">N135*$AA$3+$O135*$AB$3</f>
        <v>0</v>
      </c>
      <c r="R135" s="751">
        <f t="shared" si="68"/>
        <v>0</v>
      </c>
      <c r="S135" s="1139">
        <v>0.13800000000000001</v>
      </c>
      <c r="T135" s="779"/>
      <c r="U135" s="1140">
        <f t="shared" ref="U135:U154" si="96">F135*$AA$2</f>
        <v>7.48</v>
      </c>
      <c r="V135" s="1140">
        <f t="shared" ref="V135:V154" si="97">F135*$AB$2</f>
        <v>1.056</v>
      </c>
      <c r="W135" s="1140">
        <f t="shared" si="70"/>
        <v>8.5360000000000014</v>
      </c>
      <c r="X135" s="1140">
        <f t="shared" ref="X135:X154" si="98">G135</f>
        <v>1.2144000000000001</v>
      </c>
      <c r="Y135" s="1140">
        <f t="shared" ref="Y135:Y154" si="99">H135</f>
        <v>10.0144</v>
      </c>
      <c r="AJ135" s="875"/>
      <c r="AK135" s="875"/>
      <c r="AL135" s="876"/>
    </row>
    <row r="136" spans="1:38" ht="12.5" hidden="1" x14ac:dyDescent="0.35">
      <c r="A136" s="415">
        <v>2</v>
      </c>
      <c r="B136" s="566" t="s">
        <v>687</v>
      </c>
      <c r="C136" s="415" t="s">
        <v>267</v>
      </c>
      <c r="D136" s="835">
        <v>70000</v>
      </c>
      <c r="E136" s="823"/>
      <c r="F136" s="836">
        <f t="shared" si="92"/>
        <v>0</v>
      </c>
      <c r="G136" s="836">
        <f t="shared" si="93"/>
        <v>0</v>
      </c>
      <c r="H136" s="836">
        <f t="shared" si="94"/>
        <v>0</v>
      </c>
      <c r="N136" s="750">
        <f>ROUND($F136*$AA$2/Input!$E$4/10,2)</f>
        <v>0</v>
      </c>
      <c r="O136" s="750">
        <f>ROUND($F136*(100%-$AA$2)/Input!$E$4/10,2)</f>
        <v>0</v>
      </c>
      <c r="P136" s="751">
        <f t="shared" si="67"/>
        <v>0</v>
      </c>
      <c r="Q136" s="750">
        <f t="shared" si="95"/>
        <v>0</v>
      </c>
      <c r="R136" s="751">
        <f t="shared" si="68"/>
        <v>0</v>
      </c>
      <c r="S136" s="1139">
        <v>0.13800000000000001</v>
      </c>
      <c r="T136" s="779"/>
      <c r="U136" s="1140">
        <f t="shared" si="96"/>
        <v>0</v>
      </c>
      <c r="V136" s="1140">
        <f t="shared" si="97"/>
        <v>0</v>
      </c>
      <c r="W136" s="1140">
        <f t="shared" si="70"/>
        <v>0</v>
      </c>
      <c r="X136" s="1140">
        <f t="shared" si="98"/>
        <v>0</v>
      </c>
      <c r="Y136" s="1140">
        <f t="shared" si="99"/>
        <v>0</v>
      </c>
      <c r="AJ136" s="875"/>
      <c r="AK136" s="875"/>
      <c r="AL136" s="876"/>
    </row>
    <row r="137" spans="1:38" ht="49.5" customHeight="1" x14ac:dyDescent="0.35">
      <c r="A137" s="415">
        <v>3</v>
      </c>
      <c r="B137" s="566" t="s">
        <v>688</v>
      </c>
      <c r="C137" s="415" t="s">
        <v>267</v>
      </c>
      <c r="D137" s="835">
        <v>225000</v>
      </c>
      <c r="E137" s="823">
        <v>2</v>
      </c>
      <c r="F137" s="836">
        <f t="shared" si="92"/>
        <v>4.5</v>
      </c>
      <c r="G137" s="836">
        <f t="shared" si="93"/>
        <v>0.621</v>
      </c>
      <c r="H137" s="836">
        <f t="shared" si="94"/>
        <v>5.1210000000000004</v>
      </c>
      <c r="N137" s="750">
        <f>ROUND($F137*$AA$2/Input!$E$4/10,2)</f>
        <v>0</v>
      </c>
      <c r="O137" s="750">
        <f>ROUND($F137*(100%-$AA$2)/Input!$E$4/10,2)</f>
        <v>0</v>
      </c>
      <c r="P137" s="751">
        <f t="shared" si="67"/>
        <v>0</v>
      </c>
      <c r="Q137" s="750">
        <f t="shared" si="95"/>
        <v>0</v>
      </c>
      <c r="R137" s="751">
        <f t="shared" si="68"/>
        <v>0</v>
      </c>
      <c r="S137" s="1139">
        <v>0.13800000000000001</v>
      </c>
      <c r="T137" s="779"/>
      <c r="U137" s="1140">
        <f t="shared" si="96"/>
        <v>3.8249999999999997</v>
      </c>
      <c r="V137" s="1140">
        <f t="shared" si="97"/>
        <v>0.54</v>
      </c>
      <c r="W137" s="1140">
        <f t="shared" si="70"/>
        <v>4.3650000000000002</v>
      </c>
      <c r="X137" s="1140">
        <f t="shared" si="98"/>
        <v>0.621</v>
      </c>
      <c r="Y137" s="1140">
        <f t="shared" si="99"/>
        <v>5.1210000000000004</v>
      </c>
      <c r="AJ137" s="875"/>
      <c r="AK137" s="875"/>
      <c r="AL137" s="876"/>
    </row>
    <row r="138" spans="1:38" x14ac:dyDescent="0.35">
      <c r="A138" s="415">
        <v>4</v>
      </c>
      <c r="B138" s="566" t="s">
        <v>687</v>
      </c>
      <c r="C138" s="415" t="s">
        <v>267</v>
      </c>
      <c r="D138" s="835"/>
      <c r="E138" s="823">
        <v>0</v>
      </c>
      <c r="F138" s="836">
        <f t="shared" si="92"/>
        <v>0</v>
      </c>
      <c r="G138" s="836">
        <f t="shared" si="93"/>
        <v>0</v>
      </c>
      <c r="H138" s="836">
        <f t="shared" si="94"/>
        <v>0</v>
      </c>
      <c r="N138" s="750">
        <f>ROUND($F138*$AA$2/Input!$E$4/10,2)</f>
        <v>0</v>
      </c>
      <c r="O138" s="750">
        <f>ROUND($F138*(100%-$AA$2)/Input!$E$4/10,2)</f>
        <v>0</v>
      </c>
      <c r="P138" s="751">
        <f t="shared" si="67"/>
        <v>0</v>
      </c>
      <c r="Q138" s="750">
        <f t="shared" si="95"/>
        <v>0</v>
      </c>
      <c r="R138" s="751">
        <f t="shared" si="68"/>
        <v>0</v>
      </c>
      <c r="S138" s="1139">
        <v>0.13800000000000001</v>
      </c>
      <c r="T138" s="779"/>
      <c r="U138" s="1140">
        <f t="shared" si="96"/>
        <v>0</v>
      </c>
      <c r="V138" s="1140">
        <f t="shared" si="97"/>
        <v>0</v>
      </c>
      <c r="W138" s="1140">
        <f t="shared" si="70"/>
        <v>0</v>
      </c>
      <c r="X138" s="1140">
        <f t="shared" si="98"/>
        <v>0</v>
      </c>
      <c r="Y138" s="1140">
        <f t="shared" si="99"/>
        <v>0</v>
      </c>
      <c r="AJ138" s="482"/>
      <c r="AK138" s="482"/>
      <c r="AL138" s="482"/>
    </row>
    <row r="139" spans="1:38" x14ac:dyDescent="0.35">
      <c r="A139" s="415">
        <v>5</v>
      </c>
      <c r="B139" s="566" t="s">
        <v>689</v>
      </c>
      <c r="C139" s="415" t="s">
        <v>267</v>
      </c>
      <c r="D139" s="835">
        <v>10000</v>
      </c>
      <c r="E139" s="823">
        <v>2</v>
      </c>
      <c r="F139" s="836">
        <f t="shared" si="92"/>
        <v>0.2</v>
      </c>
      <c r="G139" s="836">
        <f t="shared" si="93"/>
        <v>2.7600000000000003E-2</v>
      </c>
      <c r="H139" s="836">
        <f t="shared" si="94"/>
        <v>0.22760000000000002</v>
      </c>
      <c r="N139" s="750">
        <f>ROUND($F139*$AA$2/Input!$E$4/10,2)</f>
        <v>0</v>
      </c>
      <c r="O139" s="750">
        <f>ROUND($F139*(100%-$AA$2)/Input!$E$4/10,2)</f>
        <v>0</v>
      </c>
      <c r="P139" s="751">
        <f t="shared" si="67"/>
        <v>0</v>
      </c>
      <c r="Q139" s="750">
        <f t="shared" si="95"/>
        <v>0</v>
      </c>
      <c r="R139" s="751">
        <f t="shared" si="68"/>
        <v>0</v>
      </c>
      <c r="S139" s="1139">
        <v>0.13800000000000001</v>
      </c>
      <c r="T139" s="779"/>
      <c r="U139" s="1140">
        <f t="shared" si="96"/>
        <v>0.17</v>
      </c>
      <c r="V139" s="1140">
        <f t="shared" si="97"/>
        <v>2.4E-2</v>
      </c>
      <c r="W139" s="1140">
        <f t="shared" si="70"/>
        <v>0.19400000000000001</v>
      </c>
      <c r="X139" s="1140">
        <f t="shared" si="98"/>
        <v>2.7600000000000003E-2</v>
      </c>
      <c r="Y139" s="1140">
        <f t="shared" si="99"/>
        <v>0.22760000000000002</v>
      </c>
      <c r="AJ139" s="482"/>
      <c r="AK139" s="482"/>
      <c r="AL139" s="482"/>
    </row>
    <row r="140" spans="1:38" ht="48" hidden="1" x14ac:dyDescent="0.35">
      <c r="A140" s="415">
        <v>6</v>
      </c>
      <c r="B140" s="566" t="s">
        <v>690</v>
      </c>
      <c r="C140" s="415" t="s">
        <v>266</v>
      </c>
      <c r="D140" s="835"/>
      <c r="E140" s="823">
        <v>1</v>
      </c>
      <c r="F140" s="836">
        <f t="shared" si="92"/>
        <v>0</v>
      </c>
      <c r="G140" s="836">
        <f t="shared" si="93"/>
        <v>0</v>
      </c>
      <c r="H140" s="836">
        <f t="shared" si="94"/>
        <v>0</v>
      </c>
      <c r="N140" s="750">
        <f>ROUND($F140*$AA$2/Input!$E$4/10,2)</f>
        <v>0</v>
      </c>
      <c r="O140" s="750">
        <f>ROUND($F140*(100%-$AA$2)/Input!$E$4/10,2)</f>
        <v>0</v>
      </c>
      <c r="P140" s="751">
        <f t="shared" si="67"/>
        <v>0</v>
      </c>
      <c r="Q140" s="750">
        <f t="shared" si="95"/>
        <v>0</v>
      </c>
      <c r="R140" s="751">
        <f t="shared" si="68"/>
        <v>0</v>
      </c>
      <c r="S140" s="1139">
        <v>0.13800000000000001</v>
      </c>
      <c r="T140" s="779"/>
      <c r="U140" s="1140">
        <f t="shared" si="96"/>
        <v>0</v>
      </c>
      <c r="V140" s="1140">
        <f t="shared" si="97"/>
        <v>0</v>
      </c>
      <c r="W140" s="1140">
        <f t="shared" si="70"/>
        <v>0</v>
      </c>
      <c r="X140" s="1140">
        <f t="shared" si="98"/>
        <v>0</v>
      </c>
      <c r="Y140" s="1140">
        <f t="shared" si="99"/>
        <v>0</v>
      </c>
      <c r="AJ140" s="877"/>
      <c r="AK140" s="875"/>
      <c r="AL140" s="878"/>
    </row>
    <row r="141" spans="1:38" ht="60" x14ac:dyDescent="0.35">
      <c r="A141" s="415">
        <v>7</v>
      </c>
      <c r="B141" s="566" t="s">
        <v>691</v>
      </c>
      <c r="C141" s="415" t="s">
        <v>266</v>
      </c>
      <c r="D141" s="835">
        <v>150000</v>
      </c>
      <c r="E141" s="823">
        <f>$E$116-1</f>
        <v>22</v>
      </c>
      <c r="F141" s="836">
        <f t="shared" si="92"/>
        <v>33</v>
      </c>
      <c r="G141" s="836">
        <f t="shared" si="93"/>
        <v>4.5540000000000003</v>
      </c>
      <c r="H141" s="836">
        <f t="shared" si="94"/>
        <v>37.554000000000002</v>
      </c>
      <c r="N141" s="750">
        <f>ROUND($F141*$AA$2/Input!$E$4/10,2)</f>
        <v>0.01</v>
      </c>
      <c r="O141" s="750">
        <f>ROUND($F141*(100%-$AA$2)/Input!$E$4/10,2)</f>
        <v>0</v>
      </c>
      <c r="P141" s="751">
        <f t="shared" si="67"/>
        <v>0.01</v>
      </c>
      <c r="Q141" s="750">
        <f t="shared" si="95"/>
        <v>1.1999999999999999E-3</v>
      </c>
      <c r="R141" s="751">
        <f t="shared" si="68"/>
        <v>1.12E-2</v>
      </c>
      <c r="S141" s="1139">
        <v>0.13800000000000001</v>
      </c>
      <c r="T141" s="779"/>
      <c r="U141" s="1140">
        <f t="shared" si="96"/>
        <v>28.05</v>
      </c>
      <c r="V141" s="1140">
        <f t="shared" si="97"/>
        <v>3.96</v>
      </c>
      <c r="W141" s="1140">
        <f t="shared" si="70"/>
        <v>32.01</v>
      </c>
      <c r="X141" s="1140">
        <f t="shared" si="98"/>
        <v>4.5540000000000003</v>
      </c>
      <c r="Y141" s="1140">
        <f t="shared" si="99"/>
        <v>37.554000000000002</v>
      </c>
      <c r="AJ141" s="872"/>
      <c r="AK141" s="872"/>
      <c r="AL141" s="872"/>
    </row>
    <row r="142" spans="1:38" x14ac:dyDescent="0.35">
      <c r="A142" s="415">
        <v>8</v>
      </c>
      <c r="B142" s="566" t="s">
        <v>692</v>
      </c>
      <c r="C142" s="415" t="s">
        <v>266</v>
      </c>
      <c r="D142" s="835">
        <v>40000</v>
      </c>
      <c r="E142" s="823">
        <v>22</v>
      </c>
      <c r="F142" s="836">
        <f t="shared" si="92"/>
        <v>8.8000000000000007</v>
      </c>
      <c r="G142" s="836">
        <f t="shared" si="93"/>
        <v>1.2144000000000001</v>
      </c>
      <c r="H142" s="836">
        <f t="shared" si="94"/>
        <v>10.0144</v>
      </c>
      <c r="N142" s="750">
        <f>ROUND($F142*$AA$2/Input!$E$4/10,2)</f>
        <v>0</v>
      </c>
      <c r="O142" s="750">
        <f>ROUND($F142*(100%-$AA$2)/Input!$E$4/10,2)</f>
        <v>0</v>
      </c>
      <c r="P142" s="751">
        <f t="shared" si="67"/>
        <v>0</v>
      </c>
      <c r="Q142" s="750">
        <f t="shared" si="95"/>
        <v>0</v>
      </c>
      <c r="R142" s="751">
        <f t="shared" si="68"/>
        <v>0</v>
      </c>
      <c r="S142" s="1139">
        <v>0.13800000000000001</v>
      </c>
      <c r="T142" s="779"/>
      <c r="U142" s="1140">
        <f t="shared" si="96"/>
        <v>7.48</v>
      </c>
      <c r="V142" s="1140">
        <f t="shared" si="97"/>
        <v>1.056</v>
      </c>
      <c r="W142" s="1140">
        <f t="shared" si="70"/>
        <v>8.5360000000000014</v>
      </c>
      <c r="X142" s="1140">
        <f t="shared" si="98"/>
        <v>1.2144000000000001</v>
      </c>
      <c r="Y142" s="1140">
        <f t="shared" si="99"/>
        <v>10.0144</v>
      </c>
    </row>
    <row r="143" spans="1:38" ht="24" x14ac:dyDescent="0.35">
      <c r="A143" s="415">
        <v>9</v>
      </c>
      <c r="B143" s="573" t="s">
        <v>693</v>
      </c>
      <c r="C143" s="737" t="s">
        <v>267</v>
      </c>
      <c r="D143" s="835">
        <v>200000</v>
      </c>
      <c r="E143" s="823">
        <v>22</v>
      </c>
      <c r="F143" s="836">
        <f t="shared" si="92"/>
        <v>44</v>
      </c>
      <c r="G143" s="836">
        <f t="shared" si="93"/>
        <v>6.072000000000001</v>
      </c>
      <c r="H143" s="836">
        <f t="shared" si="94"/>
        <v>50.072000000000003</v>
      </c>
      <c r="N143" s="750">
        <f>ROUND($F143*$AA$2/Input!$E$4/10,2)</f>
        <v>0.02</v>
      </c>
      <c r="O143" s="750">
        <f>ROUND($F143*(100%-$AA$2)/Input!$E$4/10,2)</f>
        <v>0</v>
      </c>
      <c r="P143" s="751">
        <f t="shared" si="67"/>
        <v>0.02</v>
      </c>
      <c r="Q143" s="750">
        <f t="shared" si="95"/>
        <v>2.3999999999999998E-3</v>
      </c>
      <c r="R143" s="751">
        <f t="shared" si="68"/>
        <v>2.24E-2</v>
      </c>
      <c r="S143" s="1139">
        <v>0.13800000000000001</v>
      </c>
      <c r="T143" s="779"/>
      <c r="U143" s="1140">
        <f t="shared" si="96"/>
        <v>37.4</v>
      </c>
      <c r="V143" s="1140">
        <f t="shared" si="97"/>
        <v>5.2799999999999994</v>
      </c>
      <c r="W143" s="1140">
        <f t="shared" si="70"/>
        <v>42.68</v>
      </c>
      <c r="X143" s="1140">
        <f t="shared" si="98"/>
        <v>6.072000000000001</v>
      </c>
      <c r="Y143" s="1140">
        <f t="shared" si="99"/>
        <v>50.072000000000003</v>
      </c>
    </row>
    <row r="144" spans="1:38" ht="24" x14ac:dyDescent="0.35">
      <c r="A144" s="415">
        <v>10</v>
      </c>
      <c r="B144" s="573" t="s">
        <v>694</v>
      </c>
      <c r="C144" s="737" t="s">
        <v>267</v>
      </c>
      <c r="D144" s="835">
        <v>200000</v>
      </c>
      <c r="E144" s="823">
        <v>1</v>
      </c>
      <c r="F144" s="836">
        <f t="shared" si="92"/>
        <v>2</v>
      </c>
      <c r="G144" s="836">
        <f t="shared" si="93"/>
        <v>0.27600000000000002</v>
      </c>
      <c r="H144" s="836">
        <f t="shared" si="94"/>
        <v>2.2759999999999998</v>
      </c>
      <c r="N144" s="750">
        <f>ROUND($F144*$AA$2/Input!$E$4/10,2)</f>
        <v>0</v>
      </c>
      <c r="O144" s="750">
        <f>ROUND($F144*(100%-$AA$2)/Input!$E$4/10,2)</f>
        <v>0</v>
      </c>
      <c r="P144" s="751">
        <f t="shared" si="67"/>
        <v>0</v>
      </c>
      <c r="Q144" s="750">
        <f t="shared" si="95"/>
        <v>0</v>
      </c>
      <c r="R144" s="751">
        <f t="shared" si="68"/>
        <v>0</v>
      </c>
      <c r="S144" s="1139">
        <v>0.13800000000000001</v>
      </c>
      <c r="T144" s="779"/>
      <c r="U144" s="1140">
        <f t="shared" si="96"/>
        <v>1.7</v>
      </c>
      <c r="V144" s="1140">
        <f t="shared" si="97"/>
        <v>0.24</v>
      </c>
      <c r="W144" s="1140">
        <f t="shared" si="70"/>
        <v>1.94</v>
      </c>
      <c r="X144" s="1140">
        <f t="shared" si="98"/>
        <v>0.27600000000000002</v>
      </c>
      <c r="Y144" s="1140">
        <f t="shared" si="99"/>
        <v>2.2759999999999998</v>
      </c>
    </row>
    <row r="145" spans="1:25" ht="36" x14ac:dyDescent="0.35">
      <c r="A145" s="415">
        <v>11</v>
      </c>
      <c r="B145" s="566" t="s">
        <v>695</v>
      </c>
      <c r="C145" s="415" t="s">
        <v>267</v>
      </c>
      <c r="D145" s="835">
        <v>100000</v>
      </c>
      <c r="E145" s="823">
        <v>1</v>
      </c>
      <c r="F145" s="836">
        <f t="shared" si="92"/>
        <v>1</v>
      </c>
      <c r="G145" s="836">
        <f t="shared" si="93"/>
        <v>0.13800000000000001</v>
      </c>
      <c r="H145" s="836">
        <f t="shared" si="94"/>
        <v>1.1379999999999999</v>
      </c>
      <c r="N145" s="750">
        <f>ROUND($F145*$AA$2/Input!$E$4/10,2)</f>
        <v>0</v>
      </c>
      <c r="O145" s="750">
        <f>ROUND($F145*(100%-$AA$2)/Input!$E$4/10,2)</f>
        <v>0</v>
      </c>
      <c r="P145" s="751">
        <f t="shared" si="67"/>
        <v>0</v>
      </c>
      <c r="Q145" s="750">
        <f t="shared" si="95"/>
        <v>0</v>
      </c>
      <c r="R145" s="751">
        <f t="shared" si="68"/>
        <v>0</v>
      </c>
      <c r="S145" s="1139">
        <v>0.13800000000000001</v>
      </c>
      <c r="T145" s="779"/>
      <c r="U145" s="1140">
        <f t="shared" si="96"/>
        <v>0.85</v>
      </c>
      <c r="V145" s="1140">
        <f t="shared" si="97"/>
        <v>0.12</v>
      </c>
      <c r="W145" s="1140">
        <f t="shared" si="70"/>
        <v>0.97</v>
      </c>
      <c r="X145" s="1140">
        <f t="shared" si="98"/>
        <v>0.13800000000000001</v>
      </c>
      <c r="Y145" s="1140">
        <f t="shared" si="99"/>
        <v>1.1379999999999999</v>
      </c>
    </row>
    <row r="146" spans="1:25" hidden="1" x14ac:dyDescent="0.35">
      <c r="A146" s="415">
        <v>12</v>
      </c>
      <c r="B146" s="566" t="s">
        <v>696</v>
      </c>
      <c r="C146" s="415" t="s">
        <v>267</v>
      </c>
      <c r="D146" s="835">
        <v>70000</v>
      </c>
      <c r="E146" s="823">
        <v>0</v>
      </c>
      <c r="F146" s="836">
        <f t="shared" si="92"/>
        <v>0</v>
      </c>
      <c r="G146" s="836">
        <f t="shared" si="93"/>
        <v>0</v>
      </c>
      <c r="H146" s="836">
        <f t="shared" si="94"/>
        <v>0</v>
      </c>
      <c r="N146" s="750">
        <f>ROUND($F146*$AA$2/Input!$E$4/10,2)</f>
        <v>0</v>
      </c>
      <c r="O146" s="750">
        <f>ROUND($F146*(100%-$AA$2)/Input!$E$4/10,2)</f>
        <v>0</v>
      </c>
      <c r="P146" s="751">
        <f t="shared" si="67"/>
        <v>0</v>
      </c>
      <c r="Q146" s="750">
        <f t="shared" si="95"/>
        <v>0</v>
      </c>
      <c r="R146" s="751">
        <f t="shared" si="68"/>
        <v>0</v>
      </c>
      <c r="S146" s="1139">
        <v>0.13800000000000001</v>
      </c>
      <c r="T146" s="779"/>
      <c r="U146" s="1140">
        <f t="shared" si="96"/>
        <v>0</v>
      </c>
      <c r="V146" s="1140">
        <f t="shared" si="97"/>
        <v>0</v>
      </c>
      <c r="W146" s="1140">
        <f t="shared" si="70"/>
        <v>0</v>
      </c>
      <c r="X146" s="1140">
        <f t="shared" si="98"/>
        <v>0</v>
      </c>
      <c r="Y146" s="1140">
        <f t="shared" si="99"/>
        <v>0</v>
      </c>
    </row>
    <row r="147" spans="1:25" ht="36" x14ac:dyDescent="0.35">
      <c r="A147" s="415">
        <v>13</v>
      </c>
      <c r="B147" s="566" t="s">
        <v>697</v>
      </c>
      <c r="C147" s="415" t="s">
        <v>267</v>
      </c>
      <c r="D147" s="835">
        <v>80000</v>
      </c>
      <c r="E147" s="823">
        <v>1</v>
      </c>
      <c r="F147" s="836">
        <f t="shared" si="92"/>
        <v>0.8</v>
      </c>
      <c r="G147" s="836">
        <f t="shared" si="93"/>
        <v>0.11040000000000001</v>
      </c>
      <c r="H147" s="836">
        <f t="shared" si="94"/>
        <v>0.9104000000000001</v>
      </c>
      <c r="N147" s="750">
        <f>ROUND($F147*$AA$2/Input!$E$4/10,2)</f>
        <v>0</v>
      </c>
      <c r="O147" s="750">
        <f>ROUND($F147*(100%-$AA$2)/Input!$E$4/10,2)</f>
        <v>0</v>
      </c>
      <c r="P147" s="751">
        <f t="shared" si="67"/>
        <v>0</v>
      </c>
      <c r="Q147" s="750">
        <f t="shared" si="95"/>
        <v>0</v>
      </c>
      <c r="R147" s="751">
        <f t="shared" si="68"/>
        <v>0</v>
      </c>
      <c r="S147" s="1139">
        <v>0.13800000000000001</v>
      </c>
      <c r="T147" s="779"/>
      <c r="U147" s="1140">
        <f t="shared" si="96"/>
        <v>0.68</v>
      </c>
      <c r="V147" s="1140">
        <f t="shared" si="97"/>
        <v>9.6000000000000002E-2</v>
      </c>
      <c r="W147" s="1140">
        <f t="shared" si="70"/>
        <v>0.77600000000000002</v>
      </c>
      <c r="X147" s="1140">
        <f t="shared" si="98"/>
        <v>0.11040000000000001</v>
      </c>
      <c r="Y147" s="1140">
        <f t="shared" si="99"/>
        <v>0.9104000000000001</v>
      </c>
    </row>
    <row r="148" spans="1:25" x14ac:dyDescent="0.35">
      <c r="A148" s="415">
        <v>14</v>
      </c>
      <c r="B148" s="566" t="s">
        <v>698</v>
      </c>
      <c r="C148" s="415" t="s">
        <v>267</v>
      </c>
      <c r="D148" s="835"/>
      <c r="E148" s="823">
        <v>1</v>
      </c>
      <c r="F148" s="836">
        <f t="shared" si="92"/>
        <v>0</v>
      </c>
      <c r="G148" s="836">
        <f t="shared" si="93"/>
        <v>0</v>
      </c>
      <c r="H148" s="836">
        <f t="shared" si="94"/>
        <v>0</v>
      </c>
      <c r="N148" s="750">
        <f>ROUND($F148*$AA$2/Input!$E$4/10,2)</f>
        <v>0</v>
      </c>
      <c r="O148" s="750">
        <f>ROUND($F148*(100%-$AA$2)/Input!$E$4/10,2)</f>
        <v>0</v>
      </c>
      <c r="P148" s="751">
        <f t="shared" si="67"/>
        <v>0</v>
      </c>
      <c r="Q148" s="750">
        <f t="shared" si="95"/>
        <v>0</v>
      </c>
      <c r="R148" s="751">
        <f t="shared" si="68"/>
        <v>0</v>
      </c>
      <c r="S148" s="1139">
        <v>0.13800000000000001</v>
      </c>
      <c r="T148" s="779"/>
      <c r="U148" s="1140">
        <f t="shared" si="96"/>
        <v>0</v>
      </c>
      <c r="V148" s="1140">
        <f t="shared" si="97"/>
        <v>0</v>
      </c>
      <c r="W148" s="1140">
        <f t="shared" si="70"/>
        <v>0</v>
      </c>
      <c r="X148" s="1140">
        <f t="shared" si="98"/>
        <v>0</v>
      </c>
      <c r="Y148" s="1140">
        <f t="shared" si="99"/>
        <v>0</v>
      </c>
    </row>
    <row r="149" spans="1:25" x14ac:dyDescent="0.35">
      <c r="A149" s="415">
        <v>15</v>
      </c>
      <c r="B149" s="566" t="s">
        <v>699</v>
      </c>
      <c r="C149" s="415" t="s">
        <v>267</v>
      </c>
      <c r="D149" s="835">
        <v>15000</v>
      </c>
      <c r="E149" s="823">
        <v>8</v>
      </c>
      <c r="F149" s="836">
        <f t="shared" si="92"/>
        <v>1.2</v>
      </c>
      <c r="G149" s="836">
        <f t="shared" si="93"/>
        <v>0.1656</v>
      </c>
      <c r="H149" s="836">
        <f t="shared" si="94"/>
        <v>1.3655999999999999</v>
      </c>
      <c r="N149" s="750">
        <f>ROUND($F149*$AA$2/Input!$E$4/10,2)</f>
        <v>0</v>
      </c>
      <c r="O149" s="750">
        <f>ROUND($F149*(100%-$AA$2)/Input!$E$4/10,2)</f>
        <v>0</v>
      </c>
      <c r="P149" s="751">
        <f t="shared" si="67"/>
        <v>0</v>
      </c>
      <c r="Q149" s="750">
        <f t="shared" si="95"/>
        <v>0</v>
      </c>
      <c r="R149" s="751">
        <f t="shared" si="68"/>
        <v>0</v>
      </c>
      <c r="S149" s="1139">
        <v>0.13800000000000001</v>
      </c>
      <c r="T149" s="779"/>
      <c r="U149" s="1140">
        <f t="shared" si="96"/>
        <v>1.02</v>
      </c>
      <c r="V149" s="1140">
        <f t="shared" si="97"/>
        <v>0.14399999999999999</v>
      </c>
      <c r="W149" s="1140">
        <f t="shared" si="70"/>
        <v>1.1639999999999999</v>
      </c>
      <c r="X149" s="1140">
        <f t="shared" si="98"/>
        <v>0.1656</v>
      </c>
      <c r="Y149" s="1140">
        <f t="shared" si="99"/>
        <v>1.3655999999999999</v>
      </c>
    </row>
    <row r="150" spans="1:25" x14ac:dyDescent="0.35">
      <c r="A150" s="415">
        <v>16</v>
      </c>
      <c r="B150" s="566" t="s">
        <v>700</v>
      </c>
      <c r="C150" s="415" t="s">
        <v>267</v>
      </c>
      <c r="D150" s="835">
        <v>22000</v>
      </c>
      <c r="E150" s="823"/>
      <c r="F150" s="836">
        <f t="shared" si="92"/>
        <v>0</v>
      </c>
      <c r="G150" s="836">
        <f t="shared" si="93"/>
        <v>0</v>
      </c>
      <c r="H150" s="836">
        <f t="shared" si="94"/>
        <v>0</v>
      </c>
      <c r="N150" s="750">
        <f>ROUND($F150*$AA$2/Input!$E$4/10,2)</f>
        <v>0</v>
      </c>
      <c r="O150" s="750">
        <f>ROUND($F150*(100%-$AA$2)/Input!$E$4/10,2)</f>
        <v>0</v>
      </c>
      <c r="P150" s="751">
        <f t="shared" si="67"/>
        <v>0</v>
      </c>
      <c r="Q150" s="750">
        <f t="shared" si="95"/>
        <v>0</v>
      </c>
      <c r="R150" s="751">
        <f t="shared" si="68"/>
        <v>0</v>
      </c>
      <c r="S150" s="1139">
        <v>0.13800000000000001</v>
      </c>
      <c r="T150" s="779"/>
      <c r="U150" s="1140">
        <f t="shared" si="96"/>
        <v>0</v>
      </c>
      <c r="V150" s="1140">
        <f t="shared" si="97"/>
        <v>0</v>
      </c>
      <c r="W150" s="1140">
        <f t="shared" si="70"/>
        <v>0</v>
      </c>
      <c r="X150" s="1140">
        <f t="shared" si="98"/>
        <v>0</v>
      </c>
      <c r="Y150" s="1140">
        <f t="shared" si="99"/>
        <v>0</v>
      </c>
    </row>
    <row r="151" spans="1:25" ht="36" x14ac:dyDescent="0.35">
      <c r="A151" s="415">
        <v>17</v>
      </c>
      <c r="B151" s="566" t="s">
        <v>701</v>
      </c>
      <c r="C151" s="415" t="s">
        <v>267</v>
      </c>
      <c r="D151" s="835">
        <v>70000</v>
      </c>
      <c r="E151" s="823">
        <v>22</v>
      </c>
      <c r="F151" s="836">
        <f t="shared" si="92"/>
        <v>15.4</v>
      </c>
      <c r="G151" s="836">
        <f t="shared" si="93"/>
        <v>2.1252000000000004</v>
      </c>
      <c r="H151" s="836">
        <f t="shared" si="94"/>
        <v>17.525200000000002</v>
      </c>
      <c r="N151" s="750">
        <f>ROUND($F151*$AA$2/Input!$E$4/10,2)</f>
        <v>0.01</v>
      </c>
      <c r="O151" s="750">
        <f>ROUND($F151*(100%-$AA$2)/Input!$E$4/10,2)</f>
        <v>0</v>
      </c>
      <c r="P151" s="751">
        <f t="shared" si="67"/>
        <v>0.01</v>
      </c>
      <c r="Q151" s="750">
        <f t="shared" si="95"/>
        <v>1.1999999999999999E-3</v>
      </c>
      <c r="R151" s="751">
        <f t="shared" si="68"/>
        <v>1.12E-2</v>
      </c>
      <c r="S151" s="1139">
        <v>0.13800000000000001</v>
      </c>
      <c r="T151" s="779"/>
      <c r="U151" s="1140">
        <f t="shared" si="96"/>
        <v>13.09</v>
      </c>
      <c r="V151" s="1140">
        <f t="shared" si="97"/>
        <v>1.8479999999999999</v>
      </c>
      <c r="W151" s="1140">
        <f t="shared" si="70"/>
        <v>14.937999999999999</v>
      </c>
      <c r="X151" s="1140">
        <f t="shared" si="98"/>
        <v>2.1252000000000004</v>
      </c>
      <c r="Y151" s="1140">
        <f t="shared" si="99"/>
        <v>17.525200000000002</v>
      </c>
    </row>
    <row r="152" spans="1:25" ht="36" x14ac:dyDescent="0.35">
      <c r="A152" s="415">
        <v>18</v>
      </c>
      <c r="B152" s="577" t="s">
        <v>702</v>
      </c>
      <c r="C152" s="732" t="s">
        <v>267</v>
      </c>
      <c r="D152" s="835">
        <v>70000</v>
      </c>
      <c r="E152" s="823">
        <v>22</v>
      </c>
      <c r="F152" s="836">
        <f t="shared" si="92"/>
        <v>15.4</v>
      </c>
      <c r="G152" s="836">
        <f t="shared" si="93"/>
        <v>2.1252000000000004</v>
      </c>
      <c r="H152" s="836">
        <f t="shared" si="94"/>
        <v>17.525200000000002</v>
      </c>
      <c r="N152" s="750">
        <f>ROUND($F152*$AA$2/Input!$E$4/10,2)</f>
        <v>0.01</v>
      </c>
      <c r="O152" s="750">
        <f>ROUND($F152*(100%-$AA$2)/Input!$E$4/10,2)</f>
        <v>0</v>
      </c>
      <c r="P152" s="751">
        <f t="shared" si="67"/>
        <v>0.01</v>
      </c>
      <c r="Q152" s="750">
        <f t="shared" si="95"/>
        <v>1.1999999999999999E-3</v>
      </c>
      <c r="R152" s="751">
        <f t="shared" si="68"/>
        <v>1.12E-2</v>
      </c>
      <c r="S152" s="1139">
        <v>0.13800000000000001</v>
      </c>
      <c r="T152" s="779"/>
      <c r="U152" s="1140">
        <f t="shared" si="96"/>
        <v>13.09</v>
      </c>
      <c r="V152" s="1140">
        <f t="shared" si="97"/>
        <v>1.8479999999999999</v>
      </c>
      <c r="W152" s="1140">
        <f t="shared" si="70"/>
        <v>14.937999999999999</v>
      </c>
      <c r="X152" s="1140">
        <f t="shared" si="98"/>
        <v>2.1252000000000004</v>
      </c>
      <c r="Y152" s="1140">
        <f t="shared" si="99"/>
        <v>17.525200000000002</v>
      </c>
    </row>
    <row r="153" spans="1:25" hidden="1" x14ac:dyDescent="0.35">
      <c r="A153" s="415">
        <v>19</v>
      </c>
      <c r="B153" s="577" t="s">
        <v>703</v>
      </c>
      <c r="C153" s="738" t="s">
        <v>267</v>
      </c>
      <c r="D153" s="835">
        <v>500000</v>
      </c>
      <c r="E153" s="823"/>
      <c r="F153" s="836">
        <f t="shared" si="92"/>
        <v>0</v>
      </c>
      <c r="G153" s="836">
        <f t="shared" si="93"/>
        <v>0</v>
      </c>
      <c r="H153" s="836">
        <f t="shared" si="94"/>
        <v>0</v>
      </c>
      <c r="N153" s="750">
        <f>ROUND($F153*$AA$2/Input!$E$4/10,2)</f>
        <v>0</v>
      </c>
      <c r="O153" s="750">
        <f>ROUND($F153*(100%-$AA$2)/Input!$E$4/10,2)</f>
        <v>0</v>
      </c>
      <c r="P153" s="751">
        <f t="shared" si="67"/>
        <v>0</v>
      </c>
      <c r="Q153" s="750">
        <f t="shared" si="95"/>
        <v>0</v>
      </c>
      <c r="R153" s="751">
        <f t="shared" si="68"/>
        <v>0</v>
      </c>
      <c r="S153" s="606">
        <v>0.13800000000000001</v>
      </c>
      <c r="T153" s="779"/>
      <c r="U153" s="868">
        <f t="shared" si="96"/>
        <v>0</v>
      </c>
      <c r="V153" s="868">
        <f t="shared" si="97"/>
        <v>0</v>
      </c>
      <c r="W153" s="868">
        <f t="shared" si="70"/>
        <v>0</v>
      </c>
      <c r="X153" s="868">
        <f t="shared" si="98"/>
        <v>0</v>
      </c>
      <c r="Y153" s="868">
        <f t="shared" si="99"/>
        <v>0</v>
      </c>
    </row>
    <row r="154" spans="1:25" ht="24" hidden="1" x14ac:dyDescent="0.35">
      <c r="A154" s="415">
        <v>20</v>
      </c>
      <c r="B154" s="566" t="s">
        <v>704</v>
      </c>
      <c r="C154" s="415" t="s">
        <v>267</v>
      </c>
      <c r="D154" s="835">
        <v>100000</v>
      </c>
      <c r="E154" s="823"/>
      <c r="F154" s="836">
        <f t="shared" si="92"/>
        <v>0</v>
      </c>
      <c r="G154" s="836">
        <f t="shared" si="93"/>
        <v>0</v>
      </c>
      <c r="H154" s="836">
        <f t="shared" si="94"/>
        <v>0</v>
      </c>
      <c r="N154" s="750">
        <f>ROUND($F154*$AA$2/Input!$E$4/10,2)</f>
        <v>0</v>
      </c>
      <c r="O154" s="750">
        <f>ROUND($F154*(100%-$AA$2)/Input!$E$4/10,2)</f>
        <v>0</v>
      </c>
      <c r="P154" s="751">
        <f t="shared" si="67"/>
        <v>0</v>
      </c>
      <c r="Q154" s="750">
        <f t="shared" si="95"/>
        <v>0</v>
      </c>
      <c r="R154" s="751">
        <f t="shared" si="68"/>
        <v>0</v>
      </c>
      <c r="S154" s="606">
        <v>0.13800000000000001</v>
      </c>
      <c r="T154" s="779"/>
      <c r="U154" s="868">
        <f t="shared" si="96"/>
        <v>0</v>
      </c>
      <c r="V154" s="868">
        <f t="shared" si="97"/>
        <v>0</v>
      </c>
      <c r="W154" s="868">
        <f t="shared" si="70"/>
        <v>0</v>
      </c>
      <c r="X154" s="868">
        <f t="shared" si="98"/>
        <v>0</v>
      </c>
      <c r="Y154" s="868">
        <f t="shared" si="99"/>
        <v>0</v>
      </c>
    </row>
    <row r="155" spans="1:25" x14ac:dyDescent="0.35">
      <c r="A155" s="831" t="s">
        <v>943</v>
      </c>
      <c r="B155" s="585" t="s">
        <v>592</v>
      </c>
      <c r="C155" s="733"/>
      <c r="D155" s="588"/>
      <c r="E155" s="722"/>
      <c r="F155" s="870"/>
      <c r="G155" s="722"/>
      <c r="H155" s="722"/>
      <c r="N155" s="484"/>
      <c r="O155" s="484"/>
      <c r="P155" s="484"/>
      <c r="Q155" s="484"/>
      <c r="R155" s="484"/>
      <c r="S155" s="484"/>
      <c r="T155" s="482"/>
      <c r="U155" s="484"/>
      <c r="V155" s="484"/>
      <c r="W155" s="484"/>
      <c r="X155" s="484"/>
      <c r="Y155" s="484"/>
    </row>
    <row r="156" spans="1:25" x14ac:dyDescent="0.35">
      <c r="A156" s="732">
        <v>1</v>
      </c>
      <c r="B156" s="577" t="s">
        <v>709</v>
      </c>
      <c r="C156" s="732" t="s">
        <v>359</v>
      </c>
      <c r="D156" s="1200">
        <v>30</v>
      </c>
      <c r="E156" s="1201">
        <v>264844.80000000005</v>
      </c>
      <c r="F156" s="836">
        <f t="shared" ref="F156:F164" si="100">D156*E156/10^5</f>
        <v>79.453440000000015</v>
      </c>
      <c r="G156" s="836">
        <f t="shared" ref="G156:G164" si="101">$F156*$S156</f>
        <v>10.964574720000003</v>
      </c>
      <c r="H156" s="836">
        <f t="shared" ref="H156:H164" si="102">F156+G156</f>
        <v>90.418014720000016</v>
      </c>
      <c r="N156" s="750">
        <f>ROUND($F156*$AA$2/Input!$E$4/10,2)</f>
        <v>0.03</v>
      </c>
      <c r="O156" s="750">
        <f>ROUND($F156*(100%-$AA$2)/Input!$E$4/10,2)</f>
        <v>0</v>
      </c>
      <c r="P156" s="751">
        <f t="shared" si="67"/>
        <v>0.03</v>
      </c>
      <c r="Q156" s="750">
        <f t="shared" ref="Q156:Q164" si="103">N156*$AA$3+$O156*$AB$3</f>
        <v>3.5999999999999999E-3</v>
      </c>
      <c r="R156" s="751">
        <f t="shared" si="68"/>
        <v>3.3599999999999998E-2</v>
      </c>
      <c r="S156" s="1139">
        <v>0.13800000000000001</v>
      </c>
      <c r="T156" s="779"/>
      <c r="U156" s="1140">
        <f t="shared" ref="U156:U164" si="104">F156*$AA$2</f>
        <v>67.535424000000006</v>
      </c>
      <c r="V156" s="1140">
        <f t="shared" ref="V156:V164" si="105">F156*$AB$2</f>
        <v>9.5344128000000019</v>
      </c>
      <c r="W156" s="1140">
        <f t="shared" si="70"/>
        <v>77.069836800000004</v>
      </c>
      <c r="X156" s="1140">
        <f t="shared" ref="X156:X164" si="106">G156</f>
        <v>10.964574720000003</v>
      </c>
      <c r="Y156" s="1140">
        <f t="shared" ref="Y156:Y164" si="107">H156</f>
        <v>90.418014720000016</v>
      </c>
    </row>
    <row r="157" spans="1:25" x14ac:dyDescent="0.35">
      <c r="A157" s="732">
        <v>2</v>
      </c>
      <c r="B157" s="577" t="s">
        <v>710</v>
      </c>
      <c r="C157" s="732" t="s">
        <v>387</v>
      </c>
      <c r="D157" s="1200">
        <v>206</v>
      </c>
      <c r="E157" s="1201">
        <v>89971.200000000012</v>
      </c>
      <c r="F157" s="836">
        <f t="shared" si="100"/>
        <v>185.34067200000004</v>
      </c>
      <c r="G157" s="836">
        <f t="shared" si="101"/>
        <v>25.577012736000007</v>
      </c>
      <c r="H157" s="836">
        <f t="shared" si="102"/>
        <v>210.91768473600004</v>
      </c>
      <c r="N157" s="750">
        <f>ROUND($F157*$AA$2/Input!$E$4/10,2)</f>
        <v>0.06</v>
      </c>
      <c r="O157" s="750">
        <f>ROUND($F157*(100%-$AA$2)/Input!$E$4/10,2)</f>
        <v>0.01</v>
      </c>
      <c r="P157" s="751">
        <f t="shared" si="67"/>
        <v>6.9999999999999993E-2</v>
      </c>
      <c r="Q157" s="750">
        <f t="shared" si="103"/>
        <v>8.9999999999999993E-3</v>
      </c>
      <c r="R157" s="751">
        <f t="shared" si="68"/>
        <v>7.8999999999999987E-2</v>
      </c>
      <c r="S157" s="1139">
        <v>0.13800000000000001</v>
      </c>
      <c r="T157" s="779"/>
      <c r="U157" s="1140">
        <f t="shared" si="104"/>
        <v>157.53957120000004</v>
      </c>
      <c r="V157" s="1140">
        <f t="shared" si="105"/>
        <v>22.240880640000004</v>
      </c>
      <c r="W157" s="1140">
        <f t="shared" si="70"/>
        <v>179.78045184000004</v>
      </c>
      <c r="X157" s="1140">
        <f t="shared" si="106"/>
        <v>25.577012736000007</v>
      </c>
      <c r="Y157" s="1140">
        <f t="shared" si="107"/>
        <v>210.91768473600004</v>
      </c>
    </row>
    <row r="158" spans="1:25" x14ac:dyDescent="0.35">
      <c r="A158" s="732">
        <v>3</v>
      </c>
      <c r="B158" s="577" t="s">
        <v>711</v>
      </c>
      <c r="C158" s="732" t="s">
        <v>387</v>
      </c>
      <c r="D158" s="1200">
        <v>7000</v>
      </c>
      <c r="E158" s="1201">
        <v>288</v>
      </c>
      <c r="F158" s="836">
        <f t="shared" si="100"/>
        <v>20.16</v>
      </c>
      <c r="G158" s="836">
        <f t="shared" si="101"/>
        <v>2.7820800000000001</v>
      </c>
      <c r="H158" s="836">
        <f t="shared" si="102"/>
        <v>22.942080000000001</v>
      </c>
      <c r="N158" s="750">
        <f>ROUND($F158*$AA$2/Input!$E$4/10,2)</f>
        <v>0.01</v>
      </c>
      <c r="O158" s="750">
        <f>ROUND($F158*(100%-$AA$2)/Input!$E$4/10,2)</f>
        <v>0</v>
      </c>
      <c r="P158" s="751">
        <f t="shared" si="67"/>
        <v>0.01</v>
      </c>
      <c r="Q158" s="750">
        <f t="shared" si="103"/>
        <v>1.1999999999999999E-3</v>
      </c>
      <c r="R158" s="751">
        <f t="shared" si="68"/>
        <v>1.12E-2</v>
      </c>
      <c r="S158" s="1139">
        <v>0.13800000000000001</v>
      </c>
      <c r="T158" s="779"/>
      <c r="U158" s="1140">
        <f t="shared" si="104"/>
        <v>17.135999999999999</v>
      </c>
      <c r="V158" s="1140">
        <f t="shared" si="105"/>
        <v>2.4192</v>
      </c>
      <c r="W158" s="1140">
        <f t="shared" si="70"/>
        <v>19.555199999999999</v>
      </c>
      <c r="X158" s="1140">
        <f t="shared" si="106"/>
        <v>2.7820800000000001</v>
      </c>
      <c r="Y158" s="1140">
        <f t="shared" si="107"/>
        <v>22.942080000000001</v>
      </c>
    </row>
    <row r="159" spans="1:25" x14ac:dyDescent="0.35">
      <c r="A159" s="732">
        <v>4</v>
      </c>
      <c r="B159" s="577" t="s">
        <v>712</v>
      </c>
      <c r="C159" s="732" t="s">
        <v>387</v>
      </c>
      <c r="D159" s="1200">
        <v>755</v>
      </c>
      <c r="E159" s="1201">
        <v>18216.000000000004</v>
      </c>
      <c r="F159" s="836">
        <f t="shared" si="100"/>
        <v>137.53080000000003</v>
      </c>
      <c r="G159" s="836">
        <f t="shared" si="101"/>
        <v>18.979250400000005</v>
      </c>
      <c r="H159" s="836">
        <f t="shared" si="102"/>
        <v>156.51005040000004</v>
      </c>
      <c r="N159" s="750">
        <f>ROUND($F159*$AA$2/Input!$E$4/10,2)</f>
        <v>0.05</v>
      </c>
      <c r="O159" s="750">
        <f>ROUND($F159*(100%-$AA$2)/Input!$E$4/10,2)</f>
        <v>0.01</v>
      </c>
      <c r="P159" s="751">
        <f t="shared" si="67"/>
        <v>6.0000000000000005E-2</v>
      </c>
      <c r="Q159" s="750">
        <f t="shared" si="103"/>
        <v>7.7999999999999996E-3</v>
      </c>
      <c r="R159" s="751">
        <f t="shared" si="68"/>
        <v>6.7799999999999999E-2</v>
      </c>
      <c r="S159" s="1139">
        <v>0.13800000000000001</v>
      </c>
      <c r="T159" s="779"/>
      <c r="U159" s="1140">
        <f t="shared" si="104"/>
        <v>116.90118000000002</v>
      </c>
      <c r="V159" s="1140">
        <f t="shared" si="105"/>
        <v>16.503696000000001</v>
      </c>
      <c r="W159" s="1140">
        <f t="shared" si="70"/>
        <v>133.40487600000003</v>
      </c>
      <c r="X159" s="1140">
        <f t="shared" si="106"/>
        <v>18.979250400000005</v>
      </c>
      <c r="Y159" s="1140">
        <f t="shared" si="107"/>
        <v>156.51005040000004</v>
      </c>
    </row>
    <row r="160" spans="1:25" x14ac:dyDescent="0.35">
      <c r="A160" s="732">
        <v>5</v>
      </c>
      <c r="B160" s="577" t="s">
        <v>713</v>
      </c>
      <c r="C160" s="732" t="s">
        <v>387</v>
      </c>
      <c r="D160" s="1200">
        <v>7000</v>
      </c>
      <c r="E160" s="1201">
        <v>90</v>
      </c>
      <c r="F160" s="836">
        <f t="shared" si="100"/>
        <v>6.3</v>
      </c>
      <c r="G160" s="836">
        <f t="shared" si="101"/>
        <v>0.86940000000000006</v>
      </c>
      <c r="H160" s="836">
        <f t="shared" si="102"/>
        <v>7.1693999999999996</v>
      </c>
      <c r="N160" s="750">
        <f>ROUND($F160*$AA$2/Input!$E$4/10,2)</f>
        <v>0</v>
      </c>
      <c r="O160" s="750">
        <f>ROUND($F160*(100%-$AA$2)/Input!$E$4/10,2)</f>
        <v>0</v>
      </c>
      <c r="P160" s="751">
        <f t="shared" si="67"/>
        <v>0</v>
      </c>
      <c r="Q160" s="750">
        <f t="shared" si="103"/>
        <v>0</v>
      </c>
      <c r="R160" s="751">
        <f t="shared" si="68"/>
        <v>0</v>
      </c>
      <c r="S160" s="1139">
        <v>0.13800000000000001</v>
      </c>
      <c r="T160" s="779"/>
      <c r="U160" s="1140">
        <f t="shared" si="104"/>
        <v>5.3549999999999995</v>
      </c>
      <c r="V160" s="1140">
        <f t="shared" si="105"/>
        <v>0.75600000000000001</v>
      </c>
      <c r="W160" s="1140">
        <f t="shared" si="70"/>
        <v>6.1109999999999998</v>
      </c>
      <c r="X160" s="1140">
        <f t="shared" si="106"/>
        <v>0.86940000000000006</v>
      </c>
      <c r="Y160" s="1140">
        <f t="shared" si="107"/>
        <v>7.1693999999999996</v>
      </c>
    </row>
    <row r="161" spans="1:25" x14ac:dyDescent="0.35">
      <c r="A161" s="732">
        <v>6</v>
      </c>
      <c r="B161" s="577" t="s">
        <v>714</v>
      </c>
      <c r="C161" s="732" t="s">
        <v>387</v>
      </c>
      <c r="D161" s="1200">
        <v>206</v>
      </c>
      <c r="E161" s="1201">
        <v>480</v>
      </c>
      <c r="F161" s="836">
        <f t="shared" si="100"/>
        <v>0.98880000000000001</v>
      </c>
      <c r="G161" s="836">
        <f t="shared" si="101"/>
        <v>0.1364544</v>
      </c>
      <c r="H161" s="836">
        <f t="shared" si="102"/>
        <v>1.1252544</v>
      </c>
      <c r="N161" s="750">
        <f>ROUND($F161*$AA$2/Input!$E$4/10,2)</f>
        <v>0</v>
      </c>
      <c r="O161" s="750">
        <f>ROUND($F161*(100%-$AA$2)/Input!$E$4/10,2)</f>
        <v>0</v>
      </c>
      <c r="P161" s="751">
        <f t="shared" si="67"/>
        <v>0</v>
      </c>
      <c r="Q161" s="750">
        <f t="shared" si="103"/>
        <v>0</v>
      </c>
      <c r="R161" s="751">
        <f t="shared" si="68"/>
        <v>0</v>
      </c>
      <c r="S161" s="1139">
        <v>0.13800000000000001</v>
      </c>
      <c r="T161" s="779"/>
      <c r="U161" s="1140">
        <f t="shared" si="104"/>
        <v>0.84048</v>
      </c>
      <c r="V161" s="1140">
        <f t="shared" si="105"/>
        <v>0.118656</v>
      </c>
      <c r="W161" s="1140">
        <f t="shared" si="70"/>
        <v>0.95913599999999999</v>
      </c>
      <c r="X161" s="1140">
        <f t="shared" si="106"/>
        <v>0.1364544</v>
      </c>
      <c r="Y161" s="1140">
        <f t="shared" si="107"/>
        <v>1.1252544</v>
      </c>
    </row>
    <row r="162" spans="1:25" x14ac:dyDescent="0.35">
      <c r="A162" s="732">
        <v>7</v>
      </c>
      <c r="B162" s="577" t="s">
        <v>715</v>
      </c>
      <c r="C162" s="732" t="s">
        <v>387</v>
      </c>
      <c r="D162" s="1200">
        <v>206</v>
      </c>
      <c r="E162" s="1201">
        <v>2880</v>
      </c>
      <c r="F162" s="836">
        <f t="shared" si="100"/>
        <v>5.9328000000000003</v>
      </c>
      <c r="G162" s="836">
        <f t="shared" si="101"/>
        <v>0.81872640000000008</v>
      </c>
      <c r="H162" s="836">
        <f t="shared" si="102"/>
        <v>6.7515264000000004</v>
      </c>
      <c r="N162" s="750">
        <f>ROUND($F162*$AA$2/Input!$E$4/10,2)</f>
        <v>0</v>
      </c>
      <c r="O162" s="750">
        <f>ROUND($F162*(100%-$AA$2)/Input!$E$4/10,2)</f>
        <v>0</v>
      </c>
      <c r="P162" s="751">
        <f t="shared" si="67"/>
        <v>0</v>
      </c>
      <c r="Q162" s="750">
        <f t="shared" si="103"/>
        <v>0</v>
      </c>
      <c r="R162" s="751">
        <f t="shared" si="68"/>
        <v>0</v>
      </c>
      <c r="S162" s="1139">
        <v>0.13800000000000001</v>
      </c>
      <c r="T162" s="779"/>
      <c r="U162" s="1140">
        <f t="shared" si="104"/>
        <v>5.0428800000000003</v>
      </c>
      <c r="V162" s="1140">
        <f t="shared" si="105"/>
        <v>0.71193600000000001</v>
      </c>
      <c r="W162" s="1140">
        <f t="shared" si="70"/>
        <v>5.7548159999999999</v>
      </c>
      <c r="X162" s="1140">
        <f t="shared" si="106"/>
        <v>0.81872640000000008</v>
      </c>
      <c r="Y162" s="1140">
        <f t="shared" si="107"/>
        <v>6.7515264000000004</v>
      </c>
    </row>
    <row r="163" spans="1:25" x14ac:dyDescent="0.35">
      <c r="A163" s="732">
        <v>8</v>
      </c>
      <c r="B163" s="577" t="s">
        <v>716</v>
      </c>
      <c r="C163" s="732" t="s">
        <v>387</v>
      </c>
      <c r="D163" s="1200">
        <v>10</v>
      </c>
      <c r="E163" s="1201">
        <v>480</v>
      </c>
      <c r="F163" s="836">
        <f t="shared" si="100"/>
        <v>4.8000000000000001E-2</v>
      </c>
      <c r="G163" s="836">
        <f t="shared" si="101"/>
        <v>6.6240000000000005E-3</v>
      </c>
      <c r="H163" s="836">
        <f t="shared" si="102"/>
        <v>5.4623999999999999E-2</v>
      </c>
      <c r="N163" s="750">
        <f>ROUND($F163*$AA$2/Input!$E$4/10,2)</f>
        <v>0</v>
      </c>
      <c r="O163" s="750">
        <f>ROUND($F163*(100%-$AA$2)/Input!$E$4/10,2)</f>
        <v>0</v>
      </c>
      <c r="P163" s="751">
        <f t="shared" si="67"/>
        <v>0</v>
      </c>
      <c r="Q163" s="750">
        <f t="shared" si="103"/>
        <v>0</v>
      </c>
      <c r="R163" s="751">
        <f t="shared" si="68"/>
        <v>0</v>
      </c>
      <c r="S163" s="1139">
        <v>0.13800000000000001</v>
      </c>
      <c r="T163" s="779"/>
      <c r="U163" s="1140">
        <f t="shared" si="104"/>
        <v>4.0800000000000003E-2</v>
      </c>
      <c r="V163" s="1140">
        <f t="shared" si="105"/>
        <v>5.7599999999999995E-3</v>
      </c>
      <c r="W163" s="1140">
        <f t="shared" si="70"/>
        <v>4.6560000000000004E-2</v>
      </c>
      <c r="X163" s="1140">
        <f t="shared" si="106"/>
        <v>6.6240000000000005E-3</v>
      </c>
      <c r="Y163" s="1140">
        <f t="shared" si="107"/>
        <v>5.4623999999999999E-2</v>
      </c>
    </row>
    <row r="164" spans="1:25" x14ac:dyDescent="0.35">
      <c r="A164" s="732">
        <v>9</v>
      </c>
      <c r="B164" s="577" t="s">
        <v>717</v>
      </c>
      <c r="C164" s="732" t="s">
        <v>387</v>
      </c>
      <c r="D164" s="1200">
        <v>35</v>
      </c>
      <c r="E164" s="1201">
        <v>7660</v>
      </c>
      <c r="F164" s="836">
        <f t="shared" si="100"/>
        <v>2.681</v>
      </c>
      <c r="G164" s="836">
        <f t="shared" si="101"/>
        <v>0.36997800000000003</v>
      </c>
      <c r="H164" s="836">
        <f t="shared" si="102"/>
        <v>3.0509780000000002</v>
      </c>
      <c r="N164" s="750">
        <f>ROUND($F164*$AA$2/Input!$E$4/10,2)</f>
        <v>0</v>
      </c>
      <c r="O164" s="750">
        <f>ROUND($F164*(100%-$AA$2)/Input!$E$4/10,2)</f>
        <v>0</v>
      </c>
      <c r="P164" s="751">
        <f t="shared" si="67"/>
        <v>0</v>
      </c>
      <c r="Q164" s="750">
        <f t="shared" si="103"/>
        <v>0</v>
      </c>
      <c r="R164" s="751">
        <f t="shared" si="68"/>
        <v>0</v>
      </c>
      <c r="S164" s="1139">
        <v>0.13800000000000001</v>
      </c>
      <c r="T164" s="779"/>
      <c r="U164" s="1140">
        <f t="shared" si="104"/>
        <v>2.2788499999999998</v>
      </c>
      <c r="V164" s="1140">
        <f t="shared" si="105"/>
        <v>0.32172000000000001</v>
      </c>
      <c r="W164" s="1140">
        <f t="shared" si="70"/>
        <v>2.6005699999999998</v>
      </c>
      <c r="X164" s="1140">
        <f t="shared" si="106"/>
        <v>0.36997800000000003</v>
      </c>
      <c r="Y164" s="1140">
        <f t="shared" si="107"/>
        <v>3.0509780000000002</v>
      </c>
    </row>
    <row r="165" spans="1:25" x14ac:dyDescent="0.35">
      <c r="A165" s="831" t="s">
        <v>944</v>
      </c>
      <c r="B165" s="585" t="s">
        <v>880</v>
      </c>
      <c r="C165" s="733"/>
      <c r="D165" s="588"/>
      <c r="E165" s="722"/>
      <c r="F165" s="870"/>
      <c r="G165" s="722"/>
      <c r="H165" s="722"/>
      <c r="N165" s="484"/>
      <c r="O165" s="484"/>
      <c r="P165" s="484"/>
      <c r="Q165" s="484"/>
      <c r="R165" s="484"/>
      <c r="S165" s="484"/>
      <c r="T165" s="482"/>
      <c r="U165" s="484"/>
      <c r="V165" s="484"/>
      <c r="W165" s="484"/>
      <c r="X165" s="484"/>
      <c r="Y165" s="484"/>
    </row>
    <row r="166" spans="1:25" ht="36" x14ac:dyDescent="0.35">
      <c r="A166" s="417">
        <v>1</v>
      </c>
      <c r="B166" s="566" t="s">
        <v>641</v>
      </c>
      <c r="C166" s="415" t="s">
        <v>615</v>
      </c>
      <c r="D166" s="572">
        <v>1200</v>
      </c>
      <c r="E166" s="820">
        <v>16320</v>
      </c>
      <c r="F166" s="836">
        <f t="shared" ref="F166:F174" si="108">D166*E166/10^5</f>
        <v>195.84</v>
      </c>
      <c r="G166" s="836">
        <f t="shared" ref="G166:G174" si="109">$F166*$S166</f>
        <v>27.025920000000003</v>
      </c>
      <c r="H166" s="836">
        <f t="shared" ref="H166:H174" si="110">F166+G166</f>
        <v>222.86592000000002</v>
      </c>
      <c r="N166" s="750">
        <f>ROUND($F166*$AA$2/Input!$E$4/10,2)</f>
        <v>7.0000000000000007E-2</v>
      </c>
      <c r="O166" s="750">
        <f>ROUND($F166*(100%-$AA$2)/Input!$E$4/10,2)</f>
        <v>0.01</v>
      </c>
      <c r="P166" s="751">
        <f t="shared" si="67"/>
        <v>0.08</v>
      </c>
      <c r="Q166" s="750">
        <f t="shared" ref="Q166:Q193" si="111">N166*$AA$3+$O166*$AB$3</f>
        <v>1.0200000000000001E-2</v>
      </c>
      <c r="R166" s="751">
        <f t="shared" si="68"/>
        <v>9.0200000000000002E-2</v>
      </c>
      <c r="S166" s="1139">
        <v>0.13800000000000001</v>
      </c>
      <c r="T166" s="779"/>
      <c r="U166" s="1140">
        <f>F166*$AA$2</f>
        <v>166.464</v>
      </c>
      <c r="V166" s="1140">
        <f>F166*$AB$2</f>
        <v>23.500799999999998</v>
      </c>
      <c r="W166" s="1140">
        <f t="shared" si="70"/>
        <v>189.9648</v>
      </c>
      <c r="X166" s="1140">
        <f>G166</f>
        <v>27.025920000000003</v>
      </c>
      <c r="Y166" s="1140">
        <f>H166</f>
        <v>222.86592000000002</v>
      </c>
    </row>
    <row r="167" spans="1:25" x14ac:dyDescent="0.35">
      <c r="A167" s="417">
        <v>2</v>
      </c>
      <c r="B167" s="566" t="s">
        <v>642</v>
      </c>
      <c r="C167" s="415" t="s">
        <v>615</v>
      </c>
      <c r="D167" s="572">
        <v>1000</v>
      </c>
      <c r="E167" s="820">
        <v>24480</v>
      </c>
      <c r="F167" s="836">
        <f t="shared" si="108"/>
        <v>244.8</v>
      </c>
      <c r="G167" s="836">
        <f t="shared" si="109"/>
        <v>33.782400000000003</v>
      </c>
      <c r="H167" s="836">
        <f t="shared" si="110"/>
        <v>278.58240000000001</v>
      </c>
      <c r="N167" s="750">
        <f>ROUND($F167*$AA$2/Input!$E$4/10,2)</f>
        <v>0.09</v>
      </c>
      <c r="O167" s="750">
        <f>ROUND($F167*(100%-$AA$2)/Input!$E$4/10,2)</f>
        <v>0.02</v>
      </c>
      <c r="P167" s="751">
        <f t="shared" si="67"/>
        <v>0.11</v>
      </c>
      <c r="Q167" s="750">
        <f t="shared" si="111"/>
        <v>1.44E-2</v>
      </c>
      <c r="R167" s="751">
        <f t="shared" si="68"/>
        <v>0.1244</v>
      </c>
      <c r="S167" s="1139">
        <v>0.13800000000000001</v>
      </c>
      <c r="T167" s="779"/>
      <c r="U167" s="1140">
        <f t="shared" ref="U167:U193" si="112">F167*$AA$2</f>
        <v>208.08</v>
      </c>
      <c r="V167" s="1140">
        <f t="shared" ref="V167:V193" si="113">F167*$AB$2</f>
        <v>29.376000000000001</v>
      </c>
      <c r="W167" s="1140">
        <f t="shared" ref="W167:W193" si="114">U167+V167</f>
        <v>237.45600000000002</v>
      </c>
      <c r="X167" s="1140">
        <f t="shared" ref="X167:X193" si="115">G167</f>
        <v>33.782400000000003</v>
      </c>
      <c r="Y167" s="1140">
        <f t="shared" ref="Y167:Y193" si="116">H167</f>
        <v>278.58240000000001</v>
      </c>
    </row>
    <row r="168" spans="1:25" hidden="1" x14ac:dyDescent="0.35">
      <c r="A168" s="417">
        <v>3</v>
      </c>
      <c r="B168" s="566" t="s">
        <v>643</v>
      </c>
      <c r="C168" s="415" t="s">
        <v>615</v>
      </c>
      <c r="D168" s="572"/>
      <c r="E168" s="820">
        <v>7500</v>
      </c>
      <c r="F168" s="836">
        <f t="shared" si="108"/>
        <v>0</v>
      </c>
      <c r="G168" s="836">
        <f t="shared" si="109"/>
        <v>0</v>
      </c>
      <c r="H168" s="836">
        <f t="shared" si="110"/>
        <v>0</v>
      </c>
      <c r="N168" s="750">
        <f>ROUND($F168*$AA$2/Input!$E$4/10,2)</f>
        <v>0</v>
      </c>
      <c r="O168" s="750">
        <f>ROUND($F168*(100%-$AA$2)/Input!$E$4/10,2)</f>
        <v>0</v>
      </c>
      <c r="P168" s="751">
        <f t="shared" si="67"/>
        <v>0</v>
      </c>
      <c r="Q168" s="750">
        <f t="shared" si="111"/>
        <v>0</v>
      </c>
      <c r="R168" s="751">
        <f t="shared" si="68"/>
        <v>0</v>
      </c>
      <c r="S168" s="1139">
        <v>0.13800000000000001</v>
      </c>
      <c r="T168" s="779"/>
      <c r="U168" s="1140">
        <f t="shared" si="112"/>
        <v>0</v>
      </c>
      <c r="V168" s="1140">
        <f t="shared" si="113"/>
        <v>0</v>
      </c>
      <c r="W168" s="1140">
        <f t="shared" si="114"/>
        <v>0</v>
      </c>
      <c r="X168" s="1140">
        <f t="shared" si="115"/>
        <v>0</v>
      </c>
      <c r="Y168" s="1140">
        <f t="shared" si="116"/>
        <v>0</v>
      </c>
    </row>
    <row r="169" spans="1:25" hidden="1" x14ac:dyDescent="0.35">
      <c r="A169" s="417">
        <v>4</v>
      </c>
      <c r="B169" s="566" t="s">
        <v>644</v>
      </c>
      <c r="C169" s="415" t="s">
        <v>615</v>
      </c>
      <c r="D169" s="572"/>
      <c r="E169" s="820">
        <v>5000</v>
      </c>
      <c r="F169" s="836">
        <f t="shared" si="108"/>
        <v>0</v>
      </c>
      <c r="G169" s="836">
        <f t="shared" si="109"/>
        <v>0</v>
      </c>
      <c r="H169" s="836">
        <f t="shared" si="110"/>
        <v>0</v>
      </c>
      <c r="N169" s="750">
        <f>ROUND($F169*$AA$2/Input!$E$4/10,2)</f>
        <v>0</v>
      </c>
      <c r="O169" s="750">
        <f>ROUND($F169*(100%-$AA$2)/Input!$E$4/10,2)</f>
        <v>0</v>
      </c>
      <c r="P169" s="751">
        <f t="shared" si="67"/>
        <v>0</v>
      </c>
      <c r="Q169" s="750">
        <f t="shared" si="111"/>
        <v>0</v>
      </c>
      <c r="R169" s="751">
        <f t="shared" si="68"/>
        <v>0</v>
      </c>
      <c r="S169" s="1139">
        <v>0.13800000000000001</v>
      </c>
      <c r="T169" s="779"/>
      <c r="U169" s="1140">
        <f t="shared" si="112"/>
        <v>0</v>
      </c>
      <c r="V169" s="1140">
        <f t="shared" si="113"/>
        <v>0</v>
      </c>
      <c r="W169" s="1140">
        <f t="shared" si="114"/>
        <v>0</v>
      </c>
      <c r="X169" s="1140">
        <f t="shared" si="115"/>
        <v>0</v>
      </c>
      <c r="Y169" s="1140">
        <f t="shared" si="116"/>
        <v>0</v>
      </c>
    </row>
    <row r="170" spans="1:25" ht="24" hidden="1" x14ac:dyDescent="0.35">
      <c r="A170" s="417">
        <v>5</v>
      </c>
      <c r="B170" s="566" t="s">
        <v>769</v>
      </c>
      <c r="C170" s="415" t="s">
        <v>615</v>
      </c>
      <c r="D170" s="572"/>
      <c r="E170" s="820">
        <v>0</v>
      </c>
      <c r="F170" s="836">
        <f t="shared" si="108"/>
        <v>0</v>
      </c>
      <c r="G170" s="836">
        <f t="shared" si="109"/>
        <v>0</v>
      </c>
      <c r="H170" s="836">
        <f t="shared" si="110"/>
        <v>0</v>
      </c>
      <c r="N170" s="750">
        <f>ROUND($F170*$AA$2/Input!$E$4/10,2)</f>
        <v>0</v>
      </c>
      <c r="O170" s="750">
        <f>ROUND($F170*(100%-$AA$2)/Input!$E$4/10,2)</f>
        <v>0</v>
      </c>
      <c r="P170" s="751">
        <f t="shared" si="67"/>
        <v>0</v>
      </c>
      <c r="Q170" s="750">
        <f t="shared" si="111"/>
        <v>0</v>
      </c>
      <c r="R170" s="751">
        <f t="shared" si="68"/>
        <v>0</v>
      </c>
      <c r="S170" s="1139">
        <v>0.13800000000000001</v>
      </c>
      <c r="T170" s="779"/>
      <c r="U170" s="1140">
        <f t="shared" si="112"/>
        <v>0</v>
      </c>
      <c r="V170" s="1140">
        <f t="shared" si="113"/>
        <v>0</v>
      </c>
      <c r="W170" s="1140">
        <f t="shared" si="114"/>
        <v>0</v>
      </c>
      <c r="X170" s="1140">
        <f t="shared" si="115"/>
        <v>0</v>
      </c>
      <c r="Y170" s="1140">
        <f t="shared" si="116"/>
        <v>0</v>
      </c>
    </row>
    <row r="171" spans="1:25" ht="24" x14ac:dyDescent="0.35">
      <c r="A171" s="417">
        <v>3</v>
      </c>
      <c r="B171" s="566" t="s">
        <v>645</v>
      </c>
      <c r="C171" s="415" t="s">
        <v>387</v>
      </c>
      <c r="D171" s="572">
        <v>60</v>
      </c>
      <c r="E171" s="820">
        <v>122400</v>
      </c>
      <c r="F171" s="836">
        <f t="shared" si="108"/>
        <v>73.44</v>
      </c>
      <c r="G171" s="836">
        <f t="shared" si="109"/>
        <v>10.13472</v>
      </c>
      <c r="H171" s="836">
        <f t="shared" si="110"/>
        <v>83.574719999999999</v>
      </c>
      <c r="N171" s="750">
        <f>ROUND($F171*$AA$2/Input!$E$4/10,2)</f>
        <v>0.03</v>
      </c>
      <c r="O171" s="750">
        <f>ROUND($F171*(100%-$AA$2)/Input!$E$4/10,2)</f>
        <v>0</v>
      </c>
      <c r="P171" s="751">
        <f t="shared" si="67"/>
        <v>0.03</v>
      </c>
      <c r="Q171" s="750">
        <f t="shared" si="111"/>
        <v>3.5999999999999999E-3</v>
      </c>
      <c r="R171" s="751">
        <f t="shared" si="68"/>
        <v>3.3599999999999998E-2</v>
      </c>
      <c r="S171" s="1139">
        <v>0.13800000000000001</v>
      </c>
      <c r="T171" s="779"/>
      <c r="U171" s="1140">
        <f t="shared" si="112"/>
        <v>62.423999999999999</v>
      </c>
      <c r="V171" s="1140">
        <f t="shared" si="113"/>
        <v>8.8127999999999993</v>
      </c>
      <c r="W171" s="1140">
        <f t="shared" si="114"/>
        <v>71.236800000000002</v>
      </c>
      <c r="X171" s="1140">
        <f t="shared" si="115"/>
        <v>10.13472</v>
      </c>
      <c r="Y171" s="1140">
        <f t="shared" si="116"/>
        <v>83.574719999999999</v>
      </c>
    </row>
    <row r="172" spans="1:25" hidden="1" x14ac:dyDescent="0.35">
      <c r="A172" s="417">
        <v>4</v>
      </c>
      <c r="B172" s="566" t="s">
        <v>646</v>
      </c>
      <c r="C172" s="415" t="s">
        <v>822</v>
      </c>
      <c r="D172" s="572"/>
      <c r="E172" s="820"/>
      <c r="F172" s="836">
        <f t="shared" si="108"/>
        <v>0</v>
      </c>
      <c r="G172" s="836">
        <f t="shared" si="109"/>
        <v>0</v>
      </c>
      <c r="H172" s="836">
        <f t="shared" si="110"/>
        <v>0</v>
      </c>
      <c r="N172" s="750">
        <f>ROUND($F172*$AA$2/Input!$E$4/10,2)</f>
        <v>0</v>
      </c>
      <c r="O172" s="750">
        <f>ROUND($F172*(100%-$AA$2)/Input!$E$4/10,2)</f>
        <v>0</v>
      </c>
      <c r="P172" s="751">
        <f t="shared" ref="P172:P193" si="117">SUM(N172:O172)</f>
        <v>0</v>
      </c>
      <c r="Q172" s="750">
        <f t="shared" si="111"/>
        <v>0</v>
      </c>
      <c r="R172" s="751">
        <f t="shared" ref="R172:R193" si="118">P172+Q172</f>
        <v>0</v>
      </c>
      <c r="S172" s="1139">
        <v>0.13800000000000001</v>
      </c>
      <c r="T172" s="779"/>
      <c r="U172" s="1140">
        <f t="shared" si="112"/>
        <v>0</v>
      </c>
      <c r="V172" s="1140">
        <f t="shared" si="113"/>
        <v>0</v>
      </c>
      <c r="W172" s="1140">
        <f t="shared" si="114"/>
        <v>0</v>
      </c>
      <c r="X172" s="1140">
        <f t="shared" si="115"/>
        <v>0</v>
      </c>
      <c r="Y172" s="1140">
        <f t="shared" si="116"/>
        <v>0</v>
      </c>
    </row>
    <row r="173" spans="1:25" x14ac:dyDescent="0.35">
      <c r="A173" s="417">
        <v>5</v>
      </c>
      <c r="B173" s="486" t="s">
        <v>649</v>
      </c>
      <c r="C173" s="415" t="s">
        <v>387</v>
      </c>
      <c r="D173" s="572">
        <v>1200</v>
      </c>
      <c r="E173" s="820">
        <v>88</v>
      </c>
      <c r="F173" s="836">
        <f t="shared" si="108"/>
        <v>1.056</v>
      </c>
      <c r="G173" s="836">
        <f t="shared" si="109"/>
        <v>0.14572800000000002</v>
      </c>
      <c r="H173" s="836">
        <f t="shared" si="110"/>
        <v>1.2017280000000001</v>
      </c>
      <c r="N173" s="750">
        <f>ROUND($F173*$AA$2/Input!$E$4/10,2)</f>
        <v>0</v>
      </c>
      <c r="O173" s="750">
        <f>ROUND($F173*(100%-$AA$2)/Input!$E$4/10,2)</f>
        <v>0</v>
      </c>
      <c r="P173" s="751">
        <f t="shared" si="117"/>
        <v>0</v>
      </c>
      <c r="Q173" s="750">
        <f t="shared" si="111"/>
        <v>0</v>
      </c>
      <c r="R173" s="751">
        <f t="shared" si="118"/>
        <v>0</v>
      </c>
      <c r="S173" s="1139">
        <v>0.13800000000000001</v>
      </c>
      <c r="T173" s="779"/>
      <c r="U173" s="1140">
        <f t="shared" si="112"/>
        <v>0.89760000000000006</v>
      </c>
      <c r="V173" s="1140">
        <f t="shared" si="113"/>
        <v>0.12672</v>
      </c>
      <c r="W173" s="1140">
        <f t="shared" si="114"/>
        <v>1.0243200000000001</v>
      </c>
      <c r="X173" s="1140">
        <f t="shared" si="115"/>
        <v>0.14572800000000002</v>
      </c>
      <c r="Y173" s="1140">
        <f t="shared" si="116"/>
        <v>1.2017280000000001</v>
      </c>
    </row>
    <row r="174" spans="1:25" x14ac:dyDescent="0.35">
      <c r="A174" s="417">
        <v>6</v>
      </c>
      <c r="B174" s="566" t="s">
        <v>648</v>
      </c>
      <c r="C174" s="415" t="s">
        <v>647</v>
      </c>
      <c r="D174" s="572">
        <v>1000</v>
      </c>
      <c r="E174" s="820">
        <v>88</v>
      </c>
      <c r="F174" s="836">
        <f t="shared" si="108"/>
        <v>0.88</v>
      </c>
      <c r="G174" s="836">
        <f t="shared" si="109"/>
        <v>0.12144000000000001</v>
      </c>
      <c r="H174" s="836">
        <f t="shared" si="110"/>
        <v>1.0014400000000001</v>
      </c>
      <c r="N174" s="750">
        <f>ROUND($F174*$AA$2/Input!$E$4/10,2)</f>
        <v>0</v>
      </c>
      <c r="O174" s="750">
        <f>ROUND($F174*(100%-$AA$2)/Input!$E$4/10,2)</f>
        <v>0</v>
      </c>
      <c r="P174" s="751">
        <f t="shared" si="117"/>
        <v>0</v>
      </c>
      <c r="Q174" s="750">
        <f t="shared" si="111"/>
        <v>0</v>
      </c>
      <c r="R174" s="751">
        <f t="shared" si="118"/>
        <v>0</v>
      </c>
      <c r="S174" s="1139">
        <v>0.13800000000000001</v>
      </c>
      <c r="T174" s="779"/>
      <c r="U174" s="1140">
        <f t="shared" si="112"/>
        <v>0.748</v>
      </c>
      <c r="V174" s="1140">
        <f t="shared" si="113"/>
        <v>0.1056</v>
      </c>
      <c r="W174" s="1140">
        <f t="shared" si="114"/>
        <v>0.85360000000000003</v>
      </c>
      <c r="X174" s="1140">
        <f t="shared" si="115"/>
        <v>0.12144000000000001</v>
      </c>
      <c r="Y174" s="1140">
        <f t="shared" si="116"/>
        <v>1.0014400000000001</v>
      </c>
    </row>
    <row r="175" spans="1:25" x14ac:dyDescent="0.35">
      <c r="A175" s="831" t="s">
        <v>945</v>
      </c>
      <c r="B175" s="585" t="s">
        <v>951</v>
      </c>
      <c r="C175" s="733"/>
      <c r="D175" s="588"/>
      <c r="E175" s="722"/>
      <c r="F175" s="870"/>
      <c r="G175" s="722"/>
      <c r="H175" s="722"/>
      <c r="N175" s="750">
        <f>ROUND($F175*$AA$2/Input!$E$4/10,2)</f>
        <v>0</v>
      </c>
      <c r="O175" s="750">
        <f>ROUND($F175*(100%-$AA$2)/Input!$E$4/10,2)</f>
        <v>0</v>
      </c>
      <c r="P175" s="751">
        <f t="shared" si="117"/>
        <v>0</v>
      </c>
      <c r="Q175" s="750">
        <f t="shared" si="111"/>
        <v>0</v>
      </c>
      <c r="R175" s="751">
        <f t="shared" si="118"/>
        <v>0</v>
      </c>
      <c r="S175" s="1139">
        <v>0.13800000000000001</v>
      </c>
      <c r="T175" s="482"/>
      <c r="U175" s="1140">
        <f t="shared" si="112"/>
        <v>0</v>
      </c>
      <c r="V175" s="1140">
        <f t="shared" si="113"/>
        <v>0</v>
      </c>
      <c r="W175" s="1140">
        <f t="shared" si="114"/>
        <v>0</v>
      </c>
      <c r="X175" s="1140">
        <f t="shared" si="115"/>
        <v>0</v>
      </c>
      <c r="Y175" s="1140">
        <f t="shared" si="116"/>
        <v>0</v>
      </c>
    </row>
    <row r="176" spans="1:25" x14ac:dyDescent="0.35">
      <c r="A176" s="732">
        <v>1</v>
      </c>
      <c r="B176" s="577" t="s">
        <v>589</v>
      </c>
      <c r="C176" s="732" t="s">
        <v>359</v>
      </c>
      <c r="D176" s="835">
        <f>Input!D94</f>
        <v>3000</v>
      </c>
      <c r="E176" s="835">
        <f>Input!E94</f>
        <v>2000</v>
      </c>
      <c r="F176" s="836">
        <f>D176*E176/10^5</f>
        <v>60</v>
      </c>
      <c r="G176" s="836">
        <f>$F176*$S176</f>
        <v>8.2800000000000011</v>
      </c>
      <c r="H176" s="836">
        <f>F176+G176</f>
        <v>68.28</v>
      </c>
      <c r="N176" s="750">
        <f>ROUND($F176*$AA$2/Input!$E$4/10,2)</f>
        <v>0.02</v>
      </c>
      <c r="O176" s="750">
        <f>ROUND($F176*(100%-$AA$2)/Input!$E$4/10,2)</f>
        <v>0</v>
      </c>
      <c r="P176" s="751">
        <f t="shared" si="117"/>
        <v>0.02</v>
      </c>
      <c r="Q176" s="750">
        <f t="shared" si="111"/>
        <v>2.3999999999999998E-3</v>
      </c>
      <c r="R176" s="751">
        <f t="shared" si="118"/>
        <v>2.24E-2</v>
      </c>
      <c r="S176" s="1139">
        <v>0.13800000000000001</v>
      </c>
      <c r="T176" s="779"/>
      <c r="U176" s="1140">
        <f t="shared" si="112"/>
        <v>51</v>
      </c>
      <c r="V176" s="1140">
        <f t="shared" si="113"/>
        <v>7.1999999999999993</v>
      </c>
      <c r="W176" s="1140">
        <f t="shared" si="114"/>
        <v>58.2</v>
      </c>
      <c r="X176" s="1140">
        <f t="shared" si="115"/>
        <v>8.2800000000000011</v>
      </c>
      <c r="Y176" s="1140">
        <f t="shared" si="116"/>
        <v>68.28</v>
      </c>
    </row>
    <row r="177" spans="1:25" x14ac:dyDescent="0.35">
      <c r="A177" s="732">
        <v>2</v>
      </c>
      <c r="B177" s="577" t="s">
        <v>952</v>
      </c>
      <c r="C177" s="732" t="s">
        <v>359</v>
      </c>
      <c r="D177" s="835">
        <f>Input!D95</f>
        <v>5000</v>
      </c>
      <c r="E177" s="835">
        <f>Input!E95</f>
        <v>400</v>
      </c>
      <c r="F177" s="836">
        <f>D177*E177/10^5</f>
        <v>20</v>
      </c>
      <c r="G177" s="836">
        <f>$F177*$S177</f>
        <v>2.7600000000000002</v>
      </c>
      <c r="H177" s="836">
        <f>F177+G177</f>
        <v>22.76</v>
      </c>
      <c r="N177" s="750">
        <f>ROUND($F177*$AA$2/Input!$E$4/10,2)</f>
        <v>0.01</v>
      </c>
      <c r="O177" s="750">
        <f>ROUND($F177*(100%-$AA$2)/Input!$E$4/10,2)</f>
        <v>0</v>
      </c>
      <c r="P177" s="751">
        <f>SUM(N177:O177)</f>
        <v>0.01</v>
      </c>
      <c r="Q177" s="750">
        <f t="shared" si="111"/>
        <v>1.1999999999999999E-3</v>
      </c>
      <c r="R177" s="751">
        <f>P177+Q177</f>
        <v>1.12E-2</v>
      </c>
      <c r="S177" s="1139">
        <v>0.13800000000000001</v>
      </c>
      <c r="T177" s="779"/>
      <c r="U177" s="1140">
        <f t="shared" si="112"/>
        <v>17</v>
      </c>
      <c r="V177" s="1140">
        <f t="shared" si="113"/>
        <v>2.4</v>
      </c>
      <c r="W177" s="1140">
        <f t="shared" si="114"/>
        <v>19.399999999999999</v>
      </c>
      <c r="X177" s="1140">
        <f t="shared" si="115"/>
        <v>2.7600000000000002</v>
      </c>
      <c r="Y177" s="1140">
        <f t="shared" si="116"/>
        <v>22.76</v>
      </c>
    </row>
    <row r="178" spans="1:25" x14ac:dyDescent="0.35">
      <c r="A178" s="831" t="s">
        <v>946</v>
      </c>
      <c r="B178" s="585" t="s">
        <v>585</v>
      </c>
      <c r="C178" s="733"/>
      <c r="D178" s="588"/>
      <c r="E178" s="722"/>
      <c r="F178" s="870"/>
      <c r="G178" s="722"/>
      <c r="H178" s="722"/>
      <c r="N178" s="750">
        <f>ROUND($F178*$AA$2/Input!$E$4/10,2)</f>
        <v>0</v>
      </c>
      <c r="O178" s="750">
        <f>ROUND($F178*(100%-$AA$2)/Input!$E$4/10,2)</f>
        <v>0</v>
      </c>
      <c r="P178" s="751">
        <f t="shared" si="117"/>
        <v>0</v>
      </c>
      <c r="Q178" s="750">
        <f t="shared" si="111"/>
        <v>0</v>
      </c>
      <c r="R178" s="751">
        <f t="shared" si="118"/>
        <v>0</v>
      </c>
      <c r="S178" s="1139">
        <v>0.13800000000000001</v>
      </c>
      <c r="T178" s="482"/>
      <c r="U178" s="1140">
        <f t="shared" si="112"/>
        <v>0</v>
      </c>
      <c r="V178" s="1140">
        <f t="shared" si="113"/>
        <v>0</v>
      </c>
      <c r="W178" s="1140">
        <f t="shared" si="114"/>
        <v>0</v>
      </c>
      <c r="X178" s="1140">
        <f t="shared" si="115"/>
        <v>0</v>
      </c>
      <c r="Y178" s="1140">
        <f t="shared" si="116"/>
        <v>0</v>
      </c>
    </row>
    <row r="179" spans="1:25" x14ac:dyDescent="0.35">
      <c r="A179" s="417">
        <v>1</v>
      </c>
      <c r="B179" s="577" t="s">
        <v>1223</v>
      </c>
      <c r="C179" s="732" t="s">
        <v>615</v>
      </c>
      <c r="D179" s="835">
        <v>1000000</v>
      </c>
      <c r="E179" s="823">
        <f>Input!D15+Input!E15</f>
        <v>44</v>
      </c>
      <c r="F179" s="836">
        <f t="shared" ref="F179" si="119">D179*E179/10^5</f>
        <v>440</v>
      </c>
      <c r="G179" s="836">
        <f t="shared" ref="G179:G188" si="120">$F179*$S179</f>
        <v>60.720000000000006</v>
      </c>
      <c r="H179" s="836">
        <f t="shared" ref="H179" si="121">F179+G179</f>
        <v>500.72</v>
      </c>
      <c r="N179" s="750">
        <f>ROUND($F179*$AA$2/Input!$E$4/10,2)</f>
        <v>0.15</v>
      </c>
      <c r="O179" s="750">
        <f>ROUND($F179*(100%-$AA$2)/Input!$E$4/10,2)</f>
        <v>0.03</v>
      </c>
      <c r="P179" s="751">
        <f t="shared" si="117"/>
        <v>0.18</v>
      </c>
      <c r="Q179" s="750">
        <f t="shared" si="111"/>
        <v>2.3399999999999997E-2</v>
      </c>
      <c r="R179" s="751">
        <f t="shared" si="118"/>
        <v>0.2034</v>
      </c>
      <c r="S179" s="1139">
        <v>0.13800000000000001</v>
      </c>
      <c r="T179" s="779"/>
      <c r="U179" s="1140">
        <f t="shared" si="112"/>
        <v>374</v>
      </c>
      <c r="V179" s="1140">
        <f t="shared" si="113"/>
        <v>52.8</v>
      </c>
      <c r="W179" s="1140">
        <f t="shared" si="114"/>
        <v>426.8</v>
      </c>
      <c r="X179" s="1140">
        <f t="shared" si="115"/>
        <v>60.720000000000006</v>
      </c>
      <c r="Y179" s="1140">
        <f t="shared" si="116"/>
        <v>500.72</v>
      </c>
    </row>
    <row r="180" spans="1:25" hidden="1" x14ac:dyDescent="0.35">
      <c r="A180" s="417">
        <v>2</v>
      </c>
      <c r="B180" s="577" t="s">
        <v>719</v>
      </c>
      <c r="C180" s="732" t="s">
        <v>615</v>
      </c>
      <c r="D180" s="835"/>
      <c r="E180" s="823"/>
      <c r="F180" s="836"/>
      <c r="G180" s="836"/>
      <c r="H180" s="836"/>
      <c r="N180" s="750">
        <f>ROUND($F180*$AA$2/Input!$E$4/10,2)</f>
        <v>0</v>
      </c>
      <c r="O180" s="750">
        <f>ROUND($F180*(100%-$AA$2)/Input!$E$4/10,2)</f>
        <v>0</v>
      </c>
      <c r="P180" s="751">
        <f t="shared" si="117"/>
        <v>0</v>
      </c>
      <c r="Q180" s="750">
        <f t="shared" si="111"/>
        <v>0</v>
      </c>
      <c r="R180" s="751">
        <f t="shared" si="118"/>
        <v>0</v>
      </c>
      <c r="S180" s="1139">
        <f t="shared" ref="S180:S193" si="122">$AA$4</f>
        <v>0.12359999999999999</v>
      </c>
      <c r="T180" s="779"/>
      <c r="U180" s="1140">
        <f t="shared" si="112"/>
        <v>0</v>
      </c>
      <c r="V180" s="1140">
        <f t="shared" si="113"/>
        <v>0</v>
      </c>
      <c r="W180" s="1140">
        <f t="shared" si="114"/>
        <v>0</v>
      </c>
      <c r="X180" s="1140">
        <f t="shared" si="115"/>
        <v>0</v>
      </c>
      <c r="Y180" s="1140">
        <f t="shared" si="116"/>
        <v>0</v>
      </c>
    </row>
    <row r="181" spans="1:25" hidden="1" x14ac:dyDescent="0.35">
      <c r="A181" s="417">
        <v>3</v>
      </c>
      <c r="B181" s="577" t="s">
        <v>931</v>
      </c>
      <c r="C181" s="732" t="s">
        <v>615</v>
      </c>
      <c r="D181" s="835"/>
      <c r="E181" s="823"/>
      <c r="F181" s="836"/>
      <c r="G181" s="836"/>
      <c r="H181" s="836"/>
      <c r="N181" s="750">
        <f>ROUND($F181*$AA$2/Input!$E$4/10,2)</f>
        <v>0</v>
      </c>
      <c r="O181" s="750">
        <f>ROUND($F181*(100%-$AA$2)/Input!$E$4/10,2)</f>
        <v>0</v>
      </c>
      <c r="P181" s="751">
        <f t="shared" si="117"/>
        <v>0</v>
      </c>
      <c r="Q181" s="750">
        <f t="shared" si="111"/>
        <v>0</v>
      </c>
      <c r="R181" s="751">
        <f t="shared" si="118"/>
        <v>0</v>
      </c>
      <c r="S181" s="1139">
        <f t="shared" si="122"/>
        <v>0.12359999999999999</v>
      </c>
      <c r="T181" s="779"/>
      <c r="U181" s="1140">
        <f t="shared" si="112"/>
        <v>0</v>
      </c>
      <c r="V181" s="1140">
        <f t="shared" si="113"/>
        <v>0</v>
      </c>
      <c r="W181" s="1140">
        <f t="shared" si="114"/>
        <v>0</v>
      </c>
      <c r="X181" s="1140">
        <f t="shared" si="115"/>
        <v>0</v>
      </c>
      <c r="Y181" s="1140">
        <f t="shared" si="116"/>
        <v>0</v>
      </c>
    </row>
    <row r="182" spans="1:25" hidden="1" x14ac:dyDescent="0.35">
      <c r="A182" s="567">
        <v>4</v>
      </c>
      <c r="B182" s="577" t="s">
        <v>612</v>
      </c>
      <c r="C182" s="732" t="s">
        <v>616</v>
      </c>
      <c r="D182" s="835"/>
      <c r="E182" s="823"/>
      <c r="F182" s="836"/>
      <c r="G182" s="836"/>
      <c r="H182" s="836"/>
      <c r="N182" s="750">
        <f>ROUND($F182*$AA$2/Input!$E$4/10,2)</f>
        <v>0</v>
      </c>
      <c r="O182" s="750">
        <f>ROUND($F182*(100%-$AA$2)/Input!$E$4/10,2)</f>
        <v>0</v>
      </c>
      <c r="P182" s="751">
        <f t="shared" si="117"/>
        <v>0</v>
      </c>
      <c r="Q182" s="750">
        <f t="shared" si="111"/>
        <v>0</v>
      </c>
      <c r="R182" s="751">
        <f t="shared" si="118"/>
        <v>0</v>
      </c>
      <c r="S182" s="1139">
        <f t="shared" si="122"/>
        <v>0.12359999999999999</v>
      </c>
      <c r="T182" s="779"/>
      <c r="U182" s="1140">
        <f t="shared" si="112"/>
        <v>0</v>
      </c>
      <c r="V182" s="1140">
        <f t="shared" si="113"/>
        <v>0</v>
      </c>
      <c r="W182" s="1140">
        <f t="shared" si="114"/>
        <v>0</v>
      </c>
      <c r="X182" s="1140">
        <f t="shared" si="115"/>
        <v>0</v>
      </c>
      <c r="Y182" s="1140">
        <f t="shared" si="116"/>
        <v>0</v>
      </c>
    </row>
    <row r="183" spans="1:25" ht="24" hidden="1" x14ac:dyDescent="0.35">
      <c r="A183" s="567">
        <v>5</v>
      </c>
      <c r="B183" s="582" t="s">
        <v>613</v>
      </c>
      <c r="C183" s="732" t="s">
        <v>616</v>
      </c>
      <c r="D183" s="835"/>
      <c r="E183" s="823"/>
      <c r="F183" s="836"/>
      <c r="G183" s="836"/>
      <c r="H183" s="836"/>
      <c r="N183" s="750">
        <f>ROUND($F183*$AA$2/Input!$E$4/10,2)</f>
        <v>0</v>
      </c>
      <c r="O183" s="750">
        <f>ROUND($F183*(100%-$AA$2)/Input!$E$4/10,2)</f>
        <v>0</v>
      </c>
      <c r="P183" s="751">
        <f t="shared" si="117"/>
        <v>0</v>
      </c>
      <c r="Q183" s="750">
        <f t="shared" si="111"/>
        <v>0</v>
      </c>
      <c r="R183" s="751">
        <f t="shared" si="118"/>
        <v>0</v>
      </c>
      <c r="S183" s="1139">
        <f t="shared" si="122"/>
        <v>0.12359999999999999</v>
      </c>
      <c r="T183" s="779"/>
      <c r="U183" s="1140">
        <f t="shared" si="112"/>
        <v>0</v>
      </c>
      <c r="V183" s="1140">
        <f t="shared" si="113"/>
        <v>0</v>
      </c>
      <c r="W183" s="1140">
        <f t="shared" si="114"/>
        <v>0</v>
      </c>
      <c r="X183" s="1140">
        <f t="shared" si="115"/>
        <v>0</v>
      </c>
      <c r="Y183" s="1140">
        <f t="shared" si="116"/>
        <v>0</v>
      </c>
    </row>
    <row r="184" spans="1:25" ht="24" hidden="1" x14ac:dyDescent="0.35">
      <c r="A184" s="417">
        <v>6</v>
      </c>
      <c r="B184" s="582" t="s">
        <v>932</v>
      </c>
      <c r="C184" s="732" t="s">
        <v>616</v>
      </c>
      <c r="D184" s="835"/>
      <c r="E184" s="823"/>
      <c r="F184" s="836"/>
      <c r="G184" s="836"/>
      <c r="H184" s="836"/>
      <c r="N184" s="750">
        <f>ROUND($F184*$AA$2/Input!$E$4/10,2)</f>
        <v>0</v>
      </c>
      <c r="O184" s="750">
        <f>ROUND($F184*(100%-$AA$2)/Input!$E$4/10,2)</f>
        <v>0</v>
      </c>
      <c r="P184" s="751">
        <f t="shared" si="117"/>
        <v>0</v>
      </c>
      <c r="Q184" s="750">
        <f t="shared" si="111"/>
        <v>0</v>
      </c>
      <c r="R184" s="751">
        <f t="shared" si="118"/>
        <v>0</v>
      </c>
      <c r="S184" s="1139">
        <f t="shared" si="122"/>
        <v>0.12359999999999999</v>
      </c>
      <c r="T184" s="779"/>
      <c r="U184" s="1140">
        <f t="shared" si="112"/>
        <v>0</v>
      </c>
      <c r="V184" s="1140">
        <f t="shared" si="113"/>
        <v>0</v>
      </c>
      <c r="W184" s="1140">
        <f t="shared" si="114"/>
        <v>0</v>
      </c>
      <c r="X184" s="1140">
        <f t="shared" si="115"/>
        <v>0</v>
      </c>
      <c r="Y184" s="1140">
        <f t="shared" si="116"/>
        <v>0</v>
      </c>
    </row>
    <row r="185" spans="1:25" hidden="1" x14ac:dyDescent="0.35">
      <c r="A185" s="417">
        <v>7</v>
      </c>
      <c r="B185" s="577" t="s">
        <v>894</v>
      </c>
      <c r="C185" s="732" t="s">
        <v>616</v>
      </c>
      <c r="D185" s="835"/>
      <c r="E185" s="823"/>
      <c r="F185" s="836"/>
      <c r="G185" s="836"/>
      <c r="H185" s="836"/>
      <c r="N185" s="750">
        <f>ROUND($F185*$AA$2/Input!$E$4/10,2)</f>
        <v>0</v>
      </c>
      <c r="O185" s="750">
        <f>ROUND($F185*(100%-$AA$2)/Input!$E$4/10,2)</f>
        <v>0</v>
      </c>
      <c r="P185" s="751">
        <f t="shared" si="117"/>
        <v>0</v>
      </c>
      <c r="Q185" s="750">
        <f t="shared" si="111"/>
        <v>0</v>
      </c>
      <c r="R185" s="751">
        <f t="shared" si="118"/>
        <v>0</v>
      </c>
      <c r="S185" s="1139">
        <f t="shared" si="122"/>
        <v>0.12359999999999999</v>
      </c>
      <c r="T185" s="779"/>
      <c r="U185" s="1140">
        <f t="shared" si="112"/>
        <v>0</v>
      </c>
      <c r="V185" s="1140">
        <f t="shared" si="113"/>
        <v>0</v>
      </c>
      <c r="W185" s="1140">
        <f t="shared" si="114"/>
        <v>0</v>
      </c>
      <c r="X185" s="1140">
        <f t="shared" si="115"/>
        <v>0</v>
      </c>
      <c r="Y185" s="1140">
        <f t="shared" si="116"/>
        <v>0</v>
      </c>
    </row>
    <row r="186" spans="1:25" ht="24" hidden="1" x14ac:dyDescent="0.35">
      <c r="A186" s="417">
        <v>8</v>
      </c>
      <c r="B186" s="577" t="s">
        <v>614</v>
      </c>
      <c r="C186" s="732" t="s">
        <v>616</v>
      </c>
      <c r="D186" s="835"/>
      <c r="E186" s="823"/>
      <c r="F186" s="836"/>
      <c r="G186" s="836"/>
      <c r="H186" s="836"/>
      <c r="N186" s="750">
        <f>ROUND($F186*$AA$2/Input!$E$4/10,2)</f>
        <v>0</v>
      </c>
      <c r="O186" s="750">
        <f>ROUND($F186*(100%-$AA$2)/Input!$E$4/10,2)</f>
        <v>0</v>
      </c>
      <c r="P186" s="751">
        <f t="shared" si="117"/>
        <v>0</v>
      </c>
      <c r="Q186" s="750">
        <f t="shared" si="111"/>
        <v>0</v>
      </c>
      <c r="R186" s="751">
        <f t="shared" si="118"/>
        <v>0</v>
      </c>
      <c r="S186" s="1139">
        <f t="shared" si="122"/>
        <v>0.12359999999999999</v>
      </c>
      <c r="T186" s="779"/>
      <c r="U186" s="1140">
        <f t="shared" si="112"/>
        <v>0</v>
      </c>
      <c r="V186" s="1140">
        <f t="shared" si="113"/>
        <v>0</v>
      </c>
      <c r="W186" s="1140">
        <f t="shared" si="114"/>
        <v>0</v>
      </c>
      <c r="X186" s="1140">
        <f t="shared" si="115"/>
        <v>0</v>
      </c>
      <c r="Y186" s="1140">
        <f t="shared" si="116"/>
        <v>0</v>
      </c>
    </row>
    <row r="187" spans="1:25" ht="13" hidden="1" x14ac:dyDescent="0.35">
      <c r="A187" s="417">
        <v>9</v>
      </c>
      <c r="B187" s="862" t="s">
        <v>610</v>
      </c>
      <c r="C187" s="732" t="s">
        <v>28</v>
      </c>
      <c r="D187" s="581"/>
      <c r="E187" s="823">
        <v>1</v>
      </c>
      <c r="F187" s="836">
        <f>D187*E187/10^5</f>
        <v>0</v>
      </c>
      <c r="G187" s="836">
        <f t="shared" si="120"/>
        <v>0</v>
      </c>
      <c r="H187" s="836">
        <f>F187+G187</f>
        <v>0</v>
      </c>
      <c r="N187" s="750">
        <f>ROUND($F187*$AA$2/Input!$E$4/10,2)</f>
        <v>0</v>
      </c>
      <c r="O187" s="750">
        <f>ROUND($F187*(100%-$AA$2)/Input!$E$4/10,2)</f>
        <v>0</v>
      </c>
      <c r="P187" s="751">
        <f>SUM(N187:O187)</f>
        <v>0</v>
      </c>
      <c r="Q187" s="750">
        <f t="shared" si="111"/>
        <v>0</v>
      </c>
      <c r="R187" s="751">
        <f>P187+Q187</f>
        <v>0</v>
      </c>
      <c r="S187" s="1139">
        <f t="shared" si="122"/>
        <v>0.12359999999999999</v>
      </c>
      <c r="T187" s="779"/>
      <c r="U187" s="1140">
        <f t="shared" si="112"/>
        <v>0</v>
      </c>
      <c r="V187" s="1140">
        <f t="shared" si="113"/>
        <v>0</v>
      </c>
      <c r="W187" s="1140">
        <f t="shared" si="114"/>
        <v>0</v>
      </c>
      <c r="X187" s="1140">
        <f t="shared" si="115"/>
        <v>0</v>
      </c>
      <c r="Y187" s="1140">
        <f t="shared" si="116"/>
        <v>0</v>
      </c>
    </row>
    <row r="188" spans="1:25" ht="26" hidden="1" x14ac:dyDescent="0.35">
      <c r="A188" s="417">
        <v>10</v>
      </c>
      <c r="B188" s="862" t="s">
        <v>611</v>
      </c>
      <c r="C188" s="732" t="s">
        <v>28</v>
      </c>
      <c r="D188" s="581"/>
      <c r="E188" s="823">
        <v>1</v>
      </c>
      <c r="F188" s="836">
        <f>D188*E188/10^5</f>
        <v>0</v>
      </c>
      <c r="G188" s="836">
        <f t="shared" si="120"/>
        <v>0</v>
      </c>
      <c r="H188" s="836">
        <f>F188+G188</f>
        <v>0</v>
      </c>
      <c r="N188" s="750">
        <f>ROUND($F188*$AA$2/Input!$E$4/10,2)</f>
        <v>0</v>
      </c>
      <c r="O188" s="750">
        <f>ROUND($F188*(100%-$AA$2)/Input!$E$4/10,2)</f>
        <v>0</v>
      </c>
      <c r="P188" s="751">
        <f>SUM(N188:O188)</f>
        <v>0</v>
      </c>
      <c r="Q188" s="750">
        <f t="shared" si="111"/>
        <v>0</v>
      </c>
      <c r="R188" s="751">
        <f>P188+Q188</f>
        <v>0</v>
      </c>
      <c r="S188" s="1139">
        <f t="shared" si="122"/>
        <v>0.12359999999999999</v>
      </c>
      <c r="T188" s="779"/>
      <c r="U188" s="1140">
        <f t="shared" si="112"/>
        <v>0</v>
      </c>
      <c r="V188" s="1140">
        <f t="shared" si="113"/>
        <v>0</v>
      </c>
      <c r="W188" s="1140">
        <f t="shared" si="114"/>
        <v>0</v>
      </c>
      <c r="X188" s="1140">
        <f t="shared" si="115"/>
        <v>0</v>
      </c>
      <c r="Y188" s="1140">
        <f t="shared" si="116"/>
        <v>0</v>
      </c>
    </row>
    <row r="189" spans="1:25" hidden="1" x14ac:dyDescent="0.35">
      <c r="A189" s="831" t="s">
        <v>947</v>
      </c>
      <c r="B189" s="585" t="s">
        <v>718</v>
      </c>
      <c r="C189" s="733"/>
      <c r="D189" s="588"/>
      <c r="E189" s="722"/>
      <c r="F189" s="870"/>
      <c r="G189" s="722"/>
      <c r="H189" s="722"/>
      <c r="N189" s="750">
        <f>ROUND($F189*$AA$2/Input!$E$4/10,2)</f>
        <v>0</v>
      </c>
      <c r="O189" s="750">
        <f>ROUND($F189*(100%-$AA$2)/Input!$E$4/10,2)</f>
        <v>0</v>
      </c>
      <c r="P189" s="751">
        <f t="shared" si="117"/>
        <v>0</v>
      </c>
      <c r="Q189" s="750">
        <f t="shared" si="111"/>
        <v>0</v>
      </c>
      <c r="R189" s="751">
        <f t="shared" si="118"/>
        <v>0</v>
      </c>
      <c r="S189" s="1139">
        <f t="shared" si="122"/>
        <v>0.12359999999999999</v>
      </c>
      <c r="T189" s="482"/>
      <c r="U189" s="1140">
        <f t="shared" si="112"/>
        <v>0</v>
      </c>
      <c r="V189" s="1140">
        <f t="shared" si="113"/>
        <v>0</v>
      </c>
      <c r="W189" s="1140">
        <f t="shared" si="114"/>
        <v>0</v>
      </c>
      <c r="X189" s="1140">
        <f t="shared" si="115"/>
        <v>0</v>
      </c>
      <c r="Y189" s="1140">
        <f t="shared" si="116"/>
        <v>0</v>
      </c>
    </row>
    <row r="190" spans="1:25" hidden="1" x14ac:dyDescent="0.35">
      <c r="A190" s="417">
        <v>1</v>
      </c>
      <c r="B190" s="577" t="s">
        <v>720</v>
      </c>
      <c r="C190" s="732" t="s">
        <v>72</v>
      </c>
      <c r="D190" s="835"/>
      <c r="E190" s="823"/>
      <c r="F190" s="836"/>
      <c r="G190" s="836"/>
      <c r="H190" s="836"/>
      <c r="N190" s="750">
        <f>ROUND($F190*$AA$2/Input!$E$4/10,2)</f>
        <v>0</v>
      </c>
      <c r="O190" s="750">
        <f>ROUND($F190*(100%-$AA$2)/Input!$E$4/10,2)</f>
        <v>0</v>
      </c>
      <c r="P190" s="751">
        <f t="shared" si="117"/>
        <v>0</v>
      </c>
      <c r="Q190" s="750">
        <f t="shared" si="111"/>
        <v>0</v>
      </c>
      <c r="R190" s="751">
        <f t="shared" si="118"/>
        <v>0</v>
      </c>
      <c r="S190" s="1139">
        <f t="shared" si="122"/>
        <v>0.12359999999999999</v>
      </c>
      <c r="T190" s="779"/>
      <c r="U190" s="1140">
        <f t="shared" si="112"/>
        <v>0</v>
      </c>
      <c r="V190" s="1140">
        <f t="shared" si="113"/>
        <v>0</v>
      </c>
      <c r="W190" s="1140">
        <f t="shared" si="114"/>
        <v>0</v>
      </c>
      <c r="X190" s="1140">
        <f t="shared" si="115"/>
        <v>0</v>
      </c>
      <c r="Y190" s="1140">
        <f t="shared" si="116"/>
        <v>0</v>
      </c>
    </row>
    <row r="191" spans="1:25" hidden="1" x14ac:dyDescent="0.35">
      <c r="A191" s="567">
        <v>2</v>
      </c>
      <c r="B191" s="577" t="s">
        <v>721</v>
      </c>
      <c r="C191" s="732" t="s">
        <v>72</v>
      </c>
      <c r="D191" s="835"/>
      <c r="E191" s="823"/>
      <c r="F191" s="836"/>
      <c r="G191" s="836"/>
      <c r="H191" s="836"/>
      <c r="N191" s="750">
        <f>ROUND($F191*$AA$2/Input!$E$4/10,2)</f>
        <v>0</v>
      </c>
      <c r="O191" s="750">
        <f>ROUND($F191*(100%-$AA$2)/Input!$E$4/10,2)</f>
        <v>0</v>
      </c>
      <c r="P191" s="751">
        <f t="shared" si="117"/>
        <v>0</v>
      </c>
      <c r="Q191" s="750">
        <f t="shared" si="111"/>
        <v>0</v>
      </c>
      <c r="R191" s="751">
        <f t="shared" si="118"/>
        <v>0</v>
      </c>
      <c r="S191" s="1139">
        <f t="shared" si="122"/>
        <v>0.12359999999999999</v>
      </c>
      <c r="T191" s="779"/>
      <c r="U191" s="1140">
        <f t="shared" si="112"/>
        <v>0</v>
      </c>
      <c r="V191" s="1140">
        <f t="shared" si="113"/>
        <v>0</v>
      </c>
      <c r="W191" s="1140">
        <f t="shared" si="114"/>
        <v>0</v>
      </c>
      <c r="X191" s="1140">
        <f t="shared" si="115"/>
        <v>0</v>
      </c>
      <c r="Y191" s="1140">
        <f t="shared" si="116"/>
        <v>0</v>
      </c>
    </row>
    <row r="192" spans="1:25" hidden="1" x14ac:dyDescent="0.35">
      <c r="A192" s="567">
        <v>3</v>
      </c>
      <c r="B192" s="582" t="s">
        <v>895</v>
      </c>
      <c r="C192" s="732" t="s">
        <v>72</v>
      </c>
      <c r="D192" s="835"/>
      <c r="E192" s="823"/>
      <c r="F192" s="836"/>
      <c r="G192" s="836"/>
      <c r="H192" s="836"/>
      <c r="N192" s="750">
        <f>ROUND($F192*$AA$2/Input!$E$4/10,2)</f>
        <v>0</v>
      </c>
      <c r="O192" s="750">
        <f>ROUND($F192*(100%-$AA$2)/Input!$E$4/10,2)</f>
        <v>0</v>
      </c>
      <c r="P192" s="751">
        <f t="shared" si="117"/>
        <v>0</v>
      </c>
      <c r="Q192" s="750">
        <f t="shared" si="111"/>
        <v>0</v>
      </c>
      <c r="R192" s="751">
        <f t="shared" si="118"/>
        <v>0</v>
      </c>
      <c r="S192" s="1139">
        <f t="shared" si="122"/>
        <v>0.12359999999999999</v>
      </c>
      <c r="T192" s="779"/>
      <c r="U192" s="1140">
        <f t="shared" si="112"/>
        <v>0</v>
      </c>
      <c r="V192" s="1140">
        <f t="shared" si="113"/>
        <v>0</v>
      </c>
      <c r="W192" s="1140">
        <f t="shared" si="114"/>
        <v>0</v>
      </c>
      <c r="X192" s="1140">
        <f t="shared" si="115"/>
        <v>0</v>
      </c>
      <c r="Y192" s="1140">
        <f t="shared" si="116"/>
        <v>0</v>
      </c>
    </row>
    <row r="193" spans="1:82" hidden="1" x14ac:dyDescent="0.35">
      <c r="A193" s="567">
        <v>4</v>
      </c>
      <c r="B193" s="582" t="s">
        <v>722</v>
      </c>
      <c r="C193" s="732" t="s">
        <v>72</v>
      </c>
      <c r="D193" s="835"/>
      <c r="E193" s="823"/>
      <c r="F193" s="836"/>
      <c r="G193" s="836"/>
      <c r="H193" s="836"/>
      <c r="N193" s="750">
        <f>ROUND($F193*$AA$2/Input!$E$4/10,2)</f>
        <v>0</v>
      </c>
      <c r="O193" s="750">
        <f>ROUND($F193*(100%-$AA$2)/Input!$E$4/10,2)</f>
        <v>0</v>
      </c>
      <c r="P193" s="751">
        <f t="shared" si="117"/>
        <v>0</v>
      </c>
      <c r="Q193" s="750">
        <f t="shared" si="111"/>
        <v>0</v>
      </c>
      <c r="R193" s="751">
        <f t="shared" si="118"/>
        <v>0</v>
      </c>
      <c r="S193" s="1139">
        <f t="shared" si="122"/>
        <v>0.12359999999999999</v>
      </c>
      <c r="T193" s="779"/>
      <c r="U193" s="1140">
        <f t="shared" si="112"/>
        <v>0</v>
      </c>
      <c r="V193" s="1140">
        <f t="shared" si="113"/>
        <v>0</v>
      </c>
      <c r="W193" s="1140">
        <f t="shared" si="114"/>
        <v>0</v>
      </c>
      <c r="X193" s="1140">
        <f t="shared" si="115"/>
        <v>0</v>
      </c>
      <c r="Y193" s="1140">
        <f t="shared" si="116"/>
        <v>0</v>
      </c>
    </row>
    <row r="194" spans="1:82" s="80" customFormat="1" x14ac:dyDescent="0.3">
      <c r="A194" s="411" t="s">
        <v>577</v>
      </c>
      <c r="B194" s="493" t="s">
        <v>433</v>
      </c>
      <c r="C194" s="494"/>
      <c r="D194" s="494"/>
      <c r="E194" s="494"/>
      <c r="F194" s="494"/>
      <c r="G194" s="494"/>
      <c r="H194" s="494"/>
      <c r="I194" s="838"/>
      <c r="J194" s="838"/>
      <c r="K194" s="838"/>
      <c r="L194" s="838"/>
      <c r="M194" s="838"/>
      <c r="N194" s="484"/>
      <c r="O194" s="484"/>
      <c r="P194" s="484"/>
      <c r="Q194" s="484"/>
      <c r="R194" s="484"/>
      <c r="S194" s="484"/>
      <c r="T194" s="1138"/>
      <c r="U194" s="484"/>
      <c r="V194" s="484"/>
      <c r="W194" s="484"/>
      <c r="X194" s="484"/>
      <c r="Y194" s="484"/>
      <c r="AC194" s="183"/>
      <c r="AD194" s="183"/>
      <c r="AE194" s="183"/>
      <c r="AF194" s="183"/>
      <c r="AG194" s="183"/>
      <c r="AH194" s="183"/>
      <c r="AI194" s="183"/>
      <c r="AJ194" s="183"/>
      <c r="AK194" s="183"/>
      <c r="AL194" s="183"/>
      <c r="AM194" s="183"/>
      <c r="AN194" s="183"/>
      <c r="AO194" s="183"/>
      <c r="AP194" s="183"/>
      <c r="AQ194" s="183"/>
      <c r="AR194" s="183"/>
      <c r="AS194" s="183"/>
      <c r="AT194" s="183"/>
      <c r="AU194" s="183"/>
      <c r="AV194" s="183"/>
      <c r="BT194" s="183"/>
      <c r="BU194" s="183"/>
      <c r="BV194" s="183"/>
      <c r="BW194" s="183"/>
      <c r="BX194" s="183"/>
      <c r="BY194" s="183"/>
      <c r="BZ194" s="183"/>
      <c r="CA194" s="183"/>
      <c r="CB194" s="183"/>
      <c r="CC194" s="183"/>
      <c r="CD194" s="183"/>
    </row>
    <row r="195" spans="1:82" s="80" customFormat="1" x14ac:dyDescent="0.3">
      <c r="A195" s="411" t="s">
        <v>948</v>
      </c>
      <c r="B195" s="493" t="s">
        <v>928</v>
      </c>
      <c r="C195" s="494"/>
      <c r="D195" s="494"/>
      <c r="E195" s="494"/>
      <c r="F195" s="871"/>
      <c r="G195" s="494"/>
      <c r="H195" s="494"/>
      <c r="I195" s="838"/>
      <c r="J195" s="838"/>
      <c r="K195" s="838"/>
      <c r="L195" s="838"/>
      <c r="M195" s="838"/>
      <c r="N195" s="484"/>
      <c r="O195" s="484"/>
      <c r="P195" s="484"/>
      <c r="Q195" s="484"/>
      <c r="R195" s="484"/>
      <c r="S195" s="484"/>
      <c r="T195" s="1138"/>
      <c r="U195" s="484"/>
      <c r="V195" s="484"/>
      <c r="W195" s="484"/>
      <c r="X195" s="484"/>
      <c r="Y195" s="484"/>
      <c r="AC195" s="183"/>
      <c r="AD195" s="183"/>
      <c r="AE195" s="183"/>
      <c r="AF195" s="183"/>
      <c r="AG195" s="183"/>
      <c r="AH195" s="183"/>
      <c r="AI195" s="183"/>
      <c r="AJ195" s="183"/>
      <c r="AK195" s="183"/>
      <c r="AL195" s="183"/>
      <c r="AM195" s="183"/>
      <c r="AN195" s="183"/>
      <c r="AO195" s="183"/>
      <c r="AP195" s="183"/>
      <c r="AQ195" s="183"/>
      <c r="AR195" s="183"/>
      <c r="AS195" s="183"/>
      <c r="AT195" s="183"/>
      <c r="AU195" s="183"/>
      <c r="AV195" s="183"/>
      <c r="BT195" s="183"/>
      <c r="BU195" s="183"/>
      <c r="BV195" s="183"/>
      <c r="BW195" s="183"/>
      <c r="BX195" s="183"/>
      <c r="BY195" s="183"/>
      <c r="BZ195" s="183"/>
      <c r="CA195" s="183"/>
      <c r="CB195" s="183"/>
      <c r="CC195" s="183"/>
      <c r="CD195" s="183"/>
    </row>
    <row r="196" spans="1:82" s="80" customFormat="1" x14ac:dyDescent="0.3">
      <c r="A196" s="13">
        <v>1</v>
      </c>
      <c r="B196" s="345" t="s">
        <v>602</v>
      </c>
      <c r="C196" s="410" t="s">
        <v>202</v>
      </c>
      <c r="D196" s="189">
        <f>Input!D88</f>
        <v>676</v>
      </c>
      <c r="E196" s="189">
        <f>Input!E88</f>
        <v>15582</v>
      </c>
      <c r="F196" s="491">
        <f>D196*E196/10^5</f>
        <v>105.33432000000001</v>
      </c>
      <c r="G196" s="837">
        <f>F196*$S196</f>
        <v>14.536136160000002</v>
      </c>
      <c r="H196" s="837">
        <f>F196+G196</f>
        <v>119.87045616</v>
      </c>
      <c r="I196" s="188"/>
      <c r="J196" s="188"/>
      <c r="K196" s="188"/>
      <c r="L196" s="188"/>
      <c r="M196" s="188"/>
      <c r="N196" s="750">
        <f>ROUND($F196*$AA$2/Input!$E$4/10,2)</f>
        <v>0.04</v>
      </c>
      <c r="O196" s="750">
        <f>ROUND($F196*(100%-$AA$2)/Input!$E$4/10,2)</f>
        <v>0.01</v>
      </c>
      <c r="P196" s="751">
        <f>SUM(N196:O196)</f>
        <v>0.05</v>
      </c>
      <c r="Q196" s="750">
        <f>N196*$AA$3+$O196*$AB$3</f>
        <v>6.6E-3</v>
      </c>
      <c r="R196" s="751">
        <f>P196+Q196</f>
        <v>5.6600000000000004E-2</v>
      </c>
      <c r="S196" s="1139">
        <v>0.13800000000000001</v>
      </c>
      <c r="T196" s="779"/>
      <c r="U196" s="1140">
        <f>F196*$AA$2</f>
        <v>89.534171999999998</v>
      </c>
      <c r="V196" s="1140">
        <f>F196*$AB$2</f>
        <v>12.6401184</v>
      </c>
      <c r="W196" s="1140">
        <f>U196+V196</f>
        <v>102.1742904</v>
      </c>
      <c r="X196" s="1140">
        <f t="shared" ref="X196:Y200" si="123">G196</f>
        <v>14.536136160000002</v>
      </c>
      <c r="Y196" s="1140">
        <f t="shared" si="123"/>
        <v>119.87045616</v>
      </c>
      <c r="AC196" s="183"/>
      <c r="AD196" s="183"/>
      <c r="AE196" s="183"/>
      <c r="AF196" s="183"/>
      <c r="AG196" s="183"/>
      <c r="AH196" s="183"/>
      <c r="AI196" s="183"/>
      <c r="AJ196" s="183"/>
      <c r="AK196" s="183"/>
      <c r="AL196" s="183"/>
      <c r="AM196" s="183"/>
      <c r="AN196" s="183"/>
      <c r="AO196" s="183"/>
      <c r="AP196" s="183"/>
      <c r="AQ196" s="183"/>
      <c r="AR196" s="183"/>
      <c r="AS196" s="183"/>
      <c r="AT196" s="183"/>
      <c r="AU196" s="183"/>
      <c r="AV196" s="183"/>
      <c r="BT196" s="183"/>
      <c r="BU196" s="183"/>
      <c r="BV196" s="183"/>
      <c r="BW196" s="183"/>
      <c r="BX196" s="183"/>
      <c r="BY196" s="183"/>
      <c r="BZ196" s="183"/>
      <c r="CA196" s="183"/>
      <c r="CB196" s="183"/>
      <c r="CC196" s="183"/>
      <c r="CD196" s="183"/>
    </row>
    <row r="197" spans="1:82" s="80" customFormat="1" x14ac:dyDescent="0.3">
      <c r="A197" s="13">
        <v>2</v>
      </c>
      <c r="B197" s="345" t="s">
        <v>598</v>
      </c>
      <c r="C197" s="410" t="s">
        <v>202</v>
      </c>
      <c r="D197" s="189">
        <f>Input!D89</f>
        <v>676</v>
      </c>
      <c r="E197" s="189">
        <f>Input!E89</f>
        <v>20000</v>
      </c>
      <c r="F197" s="491">
        <f>D197*E197/10^5</f>
        <v>135.19999999999999</v>
      </c>
      <c r="G197" s="837">
        <f>F197*$S197</f>
        <v>18.657599999999999</v>
      </c>
      <c r="H197" s="837">
        <f>F197+G197</f>
        <v>153.85759999999999</v>
      </c>
      <c r="I197" s="188"/>
      <c r="J197" s="188"/>
      <c r="K197" s="188"/>
      <c r="L197" s="188"/>
      <c r="M197" s="188"/>
      <c r="N197" s="750">
        <f>ROUND($F197*$AA$2/Input!$E$4/10,2)</f>
        <v>0.05</v>
      </c>
      <c r="O197" s="750">
        <f>ROUND($F197*(100%-$AA$2)/Input!$E$4/10,2)</f>
        <v>0.01</v>
      </c>
      <c r="P197" s="751">
        <f>SUM(N197:O197)</f>
        <v>6.0000000000000005E-2</v>
      </c>
      <c r="Q197" s="750">
        <f>N197*$AA$3+$O197*$AB$3</f>
        <v>7.7999999999999996E-3</v>
      </c>
      <c r="R197" s="751">
        <f>P197+Q197</f>
        <v>6.7799999999999999E-2</v>
      </c>
      <c r="S197" s="1139">
        <v>0.13800000000000001</v>
      </c>
      <c r="T197" s="779"/>
      <c r="U197" s="1140">
        <f>F197*$AA$2</f>
        <v>114.91999999999999</v>
      </c>
      <c r="V197" s="1140">
        <f>F197*$AB$2</f>
        <v>16.223999999999997</v>
      </c>
      <c r="W197" s="1140">
        <f>U197+V197</f>
        <v>131.14399999999998</v>
      </c>
      <c r="X197" s="1140">
        <f t="shared" si="123"/>
        <v>18.657599999999999</v>
      </c>
      <c r="Y197" s="1140">
        <f t="shared" si="123"/>
        <v>153.85759999999999</v>
      </c>
      <c r="AC197" s="183"/>
      <c r="AD197" s="183"/>
      <c r="AE197" s="183"/>
      <c r="AF197" s="183"/>
      <c r="AG197" s="183"/>
      <c r="AH197" s="183"/>
      <c r="AI197" s="183"/>
      <c r="AJ197" s="183"/>
      <c r="AK197" s="183"/>
      <c r="AL197" s="183"/>
      <c r="AM197" s="183"/>
      <c r="AN197" s="183"/>
      <c r="AO197" s="183"/>
      <c r="AP197" s="183"/>
      <c r="AQ197" s="183"/>
      <c r="AR197" s="183"/>
      <c r="AS197" s="183"/>
      <c r="AT197" s="183"/>
      <c r="AU197" s="183"/>
      <c r="AV197" s="183"/>
      <c r="BT197" s="183"/>
      <c r="BU197" s="183"/>
      <c r="BV197" s="183"/>
      <c r="BW197" s="183"/>
      <c r="BX197" s="183"/>
      <c r="BY197" s="183"/>
      <c r="BZ197" s="183"/>
      <c r="CA197" s="183"/>
      <c r="CB197" s="183"/>
      <c r="CC197" s="183"/>
      <c r="CD197" s="183"/>
    </row>
    <row r="198" spans="1:82" s="80" customFormat="1" x14ac:dyDescent="0.3">
      <c r="A198" s="13">
        <v>3</v>
      </c>
      <c r="B198" s="345" t="s">
        <v>599</v>
      </c>
      <c r="C198" s="410" t="s">
        <v>202</v>
      </c>
      <c r="D198" s="189">
        <f>Input!D90</f>
        <v>0</v>
      </c>
      <c r="E198" s="189">
        <f>Input!E90</f>
        <v>0</v>
      </c>
      <c r="F198" s="491">
        <f>D198*E198/10^5</f>
        <v>0</v>
      </c>
      <c r="G198" s="837">
        <f>F198*$S198</f>
        <v>0</v>
      </c>
      <c r="H198" s="837">
        <f>F198+G198</f>
        <v>0</v>
      </c>
      <c r="I198" s="188"/>
      <c r="J198" s="188"/>
      <c r="K198" s="188"/>
      <c r="L198" s="188"/>
      <c r="M198" s="188"/>
      <c r="N198" s="750">
        <f>ROUND($F198*$AA$2/Input!$E$4/10,2)</f>
        <v>0</v>
      </c>
      <c r="O198" s="750">
        <f>ROUND($F198*(100%-$AA$2)/Input!$E$4/10,2)</f>
        <v>0</v>
      </c>
      <c r="P198" s="751">
        <f>SUM(N198:O198)</f>
        <v>0</v>
      </c>
      <c r="Q198" s="750">
        <f>N198*$AA$3+$O198*$AB$3</f>
        <v>0</v>
      </c>
      <c r="R198" s="751">
        <f>P198+Q198</f>
        <v>0</v>
      </c>
      <c r="S198" s="1139">
        <v>0.13800000000000001</v>
      </c>
      <c r="T198" s="779"/>
      <c r="U198" s="1140">
        <f>F198*$AA$2</f>
        <v>0</v>
      </c>
      <c r="V198" s="1140">
        <f>F198*$AB$2</f>
        <v>0</v>
      </c>
      <c r="W198" s="1140">
        <f>U198+V198</f>
        <v>0</v>
      </c>
      <c r="X198" s="1140">
        <f t="shared" si="123"/>
        <v>0</v>
      </c>
      <c r="Y198" s="1140">
        <f t="shared" si="123"/>
        <v>0</v>
      </c>
      <c r="AC198" s="183"/>
      <c r="AD198" s="183"/>
      <c r="AE198" s="183"/>
      <c r="AF198" s="183"/>
      <c r="AG198" s="183"/>
      <c r="AH198" s="183"/>
      <c r="AI198" s="183"/>
      <c r="AJ198" s="183"/>
      <c r="AK198" s="183"/>
      <c r="AL198" s="183"/>
      <c r="AM198" s="183"/>
      <c r="AN198" s="183"/>
      <c r="AO198" s="183"/>
      <c r="AP198" s="183"/>
      <c r="AQ198" s="183"/>
      <c r="AR198" s="183"/>
      <c r="AS198" s="183"/>
      <c r="AT198" s="183"/>
      <c r="AU198" s="183"/>
      <c r="AV198" s="183"/>
      <c r="BT198" s="183"/>
      <c r="BU198" s="183"/>
      <c r="BV198" s="183"/>
      <c r="BW198" s="183"/>
      <c r="BX198" s="183"/>
      <c r="BY198" s="183"/>
      <c r="BZ198" s="183"/>
      <c r="CA198" s="183"/>
      <c r="CB198" s="183"/>
      <c r="CC198" s="183"/>
      <c r="CD198" s="183"/>
    </row>
    <row r="199" spans="1:82" s="80" customFormat="1" x14ac:dyDescent="0.3">
      <c r="A199" s="13">
        <v>4</v>
      </c>
      <c r="B199" s="345" t="s">
        <v>600</v>
      </c>
      <c r="C199" s="410" t="s">
        <v>202</v>
      </c>
      <c r="D199" s="189">
        <f>Input!D91</f>
        <v>676</v>
      </c>
      <c r="E199" s="189">
        <f>Input!E91</f>
        <v>10000</v>
      </c>
      <c r="F199" s="491">
        <f>D199*E199/10^5</f>
        <v>67.599999999999994</v>
      </c>
      <c r="G199" s="837">
        <f>F199*$S199</f>
        <v>9.3287999999999993</v>
      </c>
      <c r="H199" s="837">
        <f>F199+G199</f>
        <v>76.928799999999995</v>
      </c>
      <c r="I199" s="188"/>
      <c r="J199" s="188"/>
      <c r="K199" s="188"/>
      <c r="L199" s="188"/>
      <c r="M199" s="188"/>
      <c r="N199" s="750">
        <f>ROUND($F199*$AA$2/Input!$E$4/10,2)</f>
        <v>0.02</v>
      </c>
      <c r="O199" s="750">
        <f>ROUND($F199*(100%-$AA$2)/Input!$E$4/10,2)</f>
        <v>0</v>
      </c>
      <c r="P199" s="751">
        <f>SUM(N199:O199)</f>
        <v>0.02</v>
      </c>
      <c r="Q199" s="750">
        <f>N199*$AA$3+$O199*$AB$3</f>
        <v>2.3999999999999998E-3</v>
      </c>
      <c r="R199" s="751">
        <f>P199+Q199</f>
        <v>2.24E-2</v>
      </c>
      <c r="S199" s="1139">
        <v>0.13800000000000001</v>
      </c>
      <c r="T199" s="779"/>
      <c r="U199" s="1140">
        <f>F199*$AA$2</f>
        <v>57.459999999999994</v>
      </c>
      <c r="V199" s="1140">
        <f>F199*$AB$2</f>
        <v>8.1119999999999983</v>
      </c>
      <c r="W199" s="1140">
        <f>U199+V199</f>
        <v>65.571999999999989</v>
      </c>
      <c r="X199" s="1140">
        <f t="shared" si="123"/>
        <v>9.3287999999999993</v>
      </c>
      <c r="Y199" s="1140">
        <f t="shared" si="123"/>
        <v>76.928799999999995</v>
      </c>
      <c r="AC199" s="183"/>
      <c r="AD199" s="183"/>
      <c r="AE199" s="183"/>
      <c r="AF199" s="183"/>
      <c r="AG199" s="183"/>
      <c r="AH199" s="183"/>
      <c r="AI199" s="183"/>
      <c r="AJ199" s="183"/>
      <c r="AK199" s="183"/>
      <c r="AL199" s="183"/>
      <c r="AM199" s="183"/>
      <c r="AN199" s="183"/>
      <c r="AO199" s="183"/>
      <c r="AP199" s="183"/>
      <c r="AQ199" s="183"/>
      <c r="AR199" s="183"/>
      <c r="AS199" s="183"/>
      <c r="AT199" s="183"/>
      <c r="AU199" s="183"/>
      <c r="AV199" s="183"/>
      <c r="BT199" s="183"/>
      <c r="BU199" s="183"/>
      <c r="BV199" s="183"/>
      <c r="BW199" s="183"/>
      <c r="BX199" s="183"/>
      <c r="BY199" s="183"/>
      <c r="BZ199" s="183"/>
      <c r="CA199" s="183"/>
      <c r="CB199" s="183"/>
      <c r="CC199" s="183"/>
      <c r="CD199" s="183"/>
    </row>
    <row r="200" spans="1:82" s="80" customFormat="1" x14ac:dyDescent="0.3">
      <c r="A200" s="13">
        <v>5</v>
      </c>
      <c r="B200" s="345" t="s">
        <v>559</v>
      </c>
      <c r="C200" s="410" t="s">
        <v>202</v>
      </c>
      <c r="D200" s="189">
        <f>Input!D92</f>
        <v>0</v>
      </c>
      <c r="E200" s="189">
        <f>Input!E92</f>
        <v>0</v>
      </c>
      <c r="F200" s="491">
        <f>D200*E200/10^5</f>
        <v>0</v>
      </c>
      <c r="G200" s="837">
        <f>F200*$S200</f>
        <v>0</v>
      </c>
      <c r="H200" s="837">
        <f>F200+G200</f>
        <v>0</v>
      </c>
      <c r="I200" s="188"/>
      <c r="J200" s="188"/>
      <c r="K200" s="188"/>
      <c r="L200" s="188"/>
      <c r="M200" s="188"/>
      <c r="N200" s="750">
        <f>ROUND($F200*$AA$2/Input!$E$4/10,2)</f>
        <v>0</v>
      </c>
      <c r="O200" s="750">
        <f>ROUND($F200*(100%-$AA$2)/Input!$E$4/10,2)</f>
        <v>0</v>
      </c>
      <c r="P200" s="751">
        <f>SUM(N200:O200)</f>
        <v>0</v>
      </c>
      <c r="Q200" s="750">
        <f>N200*$AA$3+$O200*$AB$3</f>
        <v>0</v>
      </c>
      <c r="R200" s="751">
        <f>P200+Q200</f>
        <v>0</v>
      </c>
      <c r="S200" s="1139">
        <v>0.13800000000000001</v>
      </c>
      <c r="T200" s="779"/>
      <c r="U200" s="1140">
        <f>F200*$AA$2</f>
        <v>0</v>
      </c>
      <c r="V200" s="1140">
        <f>F200*$AB$2</f>
        <v>0</v>
      </c>
      <c r="W200" s="1140">
        <f>U200+V200</f>
        <v>0</v>
      </c>
      <c r="X200" s="1140">
        <f t="shared" si="123"/>
        <v>0</v>
      </c>
      <c r="Y200" s="1140">
        <f t="shared" si="123"/>
        <v>0</v>
      </c>
      <c r="AC200" s="183"/>
      <c r="AD200" s="183"/>
      <c r="AE200" s="183"/>
      <c r="AF200" s="183"/>
      <c r="AG200" s="183"/>
      <c r="AH200" s="183"/>
      <c r="AI200" s="183"/>
      <c r="AJ200" s="183"/>
      <c r="AK200" s="183"/>
      <c r="AL200" s="183"/>
      <c r="AM200" s="183"/>
      <c r="AN200" s="183"/>
      <c r="AO200" s="183"/>
      <c r="AP200" s="183"/>
      <c r="AQ200" s="183"/>
      <c r="AR200" s="183"/>
      <c r="AS200" s="183"/>
      <c r="AT200" s="183"/>
      <c r="AU200" s="183"/>
      <c r="AV200" s="183"/>
      <c r="BT200" s="183"/>
      <c r="BU200" s="183"/>
      <c r="BV200" s="183"/>
      <c r="BW200" s="183"/>
      <c r="BX200" s="183"/>
      <c r="BY200" s="183"/>
      <c r="BZ200" s="183"/>
      <c r="CA200" s="183"/>
      <c r="CB200" s="183"/>
      <c r="CC200" s="183"/>
      <c r="CD200" s="183"/>
    </row>
    <row r="201" spans="1:82" s="80" customFormat="1" x14ac:dyDescent="0.3">
      <c r="A201" s="411" t="s">
        <v>949</v>
      </c>
      <c r="B201" s="493" t="s">
        <v>933</v>
      </c>
      <c r="C201" s="494"/>
      <c r="D201" s="494"/>
      <c r="E201" s="494"/>
      <c r="F201" s="871"/>
      <c r="G201" s="494"/>
      <c r="H201" s="494"/>
      <c r="I201" s="838"/>
      <c r="J201" s="838"/>
      <c r="K201" s="838"/>
      <c r="L201" s="838"/>
      <c r="M201" s="838"/>
      <c r="N201" s="484"/>
      <c r="O201" s="484"/>
      <c r="P201" s="484"/>
      <c r="Q201" s="484"/>
      <c r="R201" s="484"/>
      <c r="S201" s="484"/>
      <c r="T201" s="1138"/>
      <c r="U201" s="484"/>
      <c r="V201" s="484"/>
      <c r="W201" s="484"/>
      <c r="X201" s="484"/>
      <c r="Y201" s="484"/>
      <c r="AC201" s="183"/>
      <c r="AD201" s="183"/>
      <c r="AE201" s="183"/>
      <c r="AF201" s="183"/>
      <c r="AG201" s="183"/>
      <c r="AH201" s="183"/>
      <c r="AI201" s="183"/>
      <c r="AJ201" s="183"/>
      <c r="AK201" s="183"/>
      <c r="AL201" s="183"/>
      <c r="AM201" s="183"/>
      <c r="AN201" s="183"/>
      <c r="AO201" s="183"/>
      <c r="AP201" s="183"/>
      <c r="AQ201" s="183"/>
      <c r="AR201" s="183"/>
      <c r="AS201" s="183"/>
      <c r="AT201" s="183"/>
      <c r="AU201" s="183"/>
      <c r="AV201" s="183"/>
      <c r="BT201" s="183"/>
      <c r="BU201" s="183"/>
      <c r="BV201" s="183"/>
      <c r="BW201" s="183"/>
      <c r="BX201" s="183"/>
      <c r="BY201" s="183"/>
      <c r="BZ201" s="183"/>
      <c r="CA201" s="183"/>
      <c r="CB201" s="183"/>
      <c r="CC201" s="183"/>
      <c r="CD201" s="183"/>
    </row>
    <row r="202" spans="1:82" s="80" customFormat="1" x14ac:dyDescent="0.3">
      <c r="A202" s="13">
        <v>1</v>
      </c>
      <c r="B202" s="345" t="s">
        <v>934</v>
      </c>
      <c r="C202" s="410" t="s">
        <v>202</v>
      </c>
      <c r="D202" s="835">
        <v>2000000</v>
      </c>
      <c r="E202" s="189">
        <v>1</v>
      </c>
      <c r="F202" s="491">
        <f>D202*E202/10^5</f>
        <v>20</v>
      </c>
      <c r="G202" s="837">
        <f>F202*$S202</f>
        <v>2.7600000000000002</v>
      </c>
      <c r="H202" s="837">
        <f>F202+G202</f>
        <v>22.76</v>
      </c>
      <c r="I202" s="188"/>
      <c r="J202" s="188"/>
      <c r="K202" s="188"/>
      <c r="L202" s="188"/>
      <c r="M202" s="188"/>
      <c r="N202" s="750">
        <f>ROUND($F202*$AA$2/Input!$E$4/10,2)</f>
        <v>0.01</v>
      </c>
      <c r="O202" s="750">
        <f>ROUND($F202*(100%-$AA$2)/Input!$E$4/10,2)</f>
        <v>0</v>
      </c>
      <c r="P202" s="751">
        <f>SUM(N202:O202)</f>
        <v>0.01</v>
      </c>
      <c r="Q202" s="750">
        <f>N202*$AA$3+$O202*$AB$3</f>
        <v>1.1999999999999999E-3</v>
      </c>
      <c r="R202" s="751">
        <f>P202+Q202</f>
        <v>1.12E-2</v>
      </c>
      <c r="S202" s="1139">
        <v>0.13800000000000001</v>
      </c>
      <c r="T202" s="779"/>
      <c r="U202" s="1140">
        <f>F202*$AA$2</f>
        <v>17</v>
      </c>
      <c r="V202" s="1140">
        <f>F202*$AB$2</f>
        <v>2.4</v>
      </c>
      <c r="W202" s="1140">
        <f>U202+V202</f>
        <v>19.399999999999999</v>
      </c>
      <c r="X202" s="1140">
        <f t="shared" ref="X202:Y204" si="124">G202</f>
        <v>2.7600000000000002</v>
      </c>
      <c r="Y202" s="1140">
        <f t="shared" si="124"/>
        <v>22.76</v>
      </c>
      <c r="AC202" s="183"/>
      <c r="AD202" s="183"/>
      <c r="AE202" s="183"/>
      <c r="AF202" s="183"/>
      <c r="AG202" s="183"/>
      <c r="AH202" s="183"/>
      <c r="AI202" s="183"/>
      <c r="AJ202" s="183"/>
      <c r="AK202" s="183"/>
      <c r="AL202" s="183"/>
      <c r="AM202" s="183"/>
      <c r="AN202" s="183"/>
      <c r="AO202" s="183"/>
      <c r="AP202" s="183"/>
      <c r="AQ202" s="183"/>
      <c r="AR202" s="183"/>
      <c r="AS202" s="183"/>
      <c r="AT202" s="183"/>
      <c r="AU202" s="183"/>
      <c r="AV202" s="183"/>
      <c r="BT202" s="183"/>
      <c r="BU202" s="183"/>
      <c r="BV202" s="183"/>
      <c r="BW202" s="183"/>
      <c r="BX202" s="183"/>
      <c r="BY202" s="183"/>
      <c r="BZ202" s="183"/>
      <c r="CA202" s="183"/>
      <c r="CB202" s="183"/>
      <c r="CC202" s="183"/>
      <c r="CD202" s="183"/>
    </row>
    <row r="203" spans="1:82" s="80" customFormat="1" x14ac:dyDescent="0.3">
      <c r="A203" s="13">
        <v>2</v>
      </c>
      <c r="B203" s="345" t="s">
        <v>1242</v>
      </c>
      <c r="C203" s="410" t="s">
        <v>202</v>
      </c>
      <c r="D203" s="835">
        <v>5000000</v>
      </c>
      <c r="E203" s="189">
        <v>4</v>
      </c>
      <c r="F203" s="491">
        <f>D203*E203/10^5</f>
        <v>200</v>
      </c>
      <c r="G203" s="837">
        <f>F203*$S203</f>
        <v>27.6</v>
      </c>
      <c r="H203" s="837">
        <f>F203+G203</f>
        <v>227.6</v>
      </c>
      <c r="I203" s="188"/>
      <c r="J203" s="188"/>
      <c r="K203" s="188"/>
      <c r="L203" s="188"/>
      <c r="M203" s="188"/>
      <c r="N203" s="750">
        <f>ROUND($F203*$AA$2/Input!$E$4/10,2)</f>
        <v>7.0000000000000007E-2</v>
      </c>
      <c r="O203" s="750">
        <f>ROUND($F203*(100%-$AA$2)/Input!$E$4/10,2)</f>
        <v>0.01</v>
      </c>
      <c r="P203" s="751">
        <f>SUM(N203:O203)</f>
        <v>0.08</v>
      </c>
      <c r="Q203" s="750">
        <f>N203*$AA$3+$O203*$AB$3</f>
        <v>1.0200000000000001E-2</v>
      </c>
      <c r="R203" s="751">
        <f>P203+Q203</f>
        <v>9.0200000000000002E-2</v>
      </c>
      <c r="S203" s="1139">
        <v>0.13800000000000001</v>
      </c>
      <c r="T203" s="779"/>
      <c r="U203" s="1140">
        <f>F203*$AA$2</f>
        <v>170</v>
      </c>
      <c r="V203" s="1140">
        <f>F203*$AB$2</f>
        <v>24</v>
      </c>
      <c r="W203" s="1140">
        <f>U203+V203</f>
        <v>194</v>
      </c>
      <c r="X203" s="1140">
        <f t="shared" si="124"/>
        <v>27.6</v>
      </c>
      <c r="Y203" s="1140">
        <f t="shared" si="124"/>
        <v>227.6</v>
      </c>
      <c r="AC203" s="183"/>
      <c r="AD203" s="183"/>
      <c r="AE203" s="183"/>
      <c r="AF203" s="183"/>
      <c r="AG203" s="183"/>
      <c r="AH203" s="183"/>
      <c r="AI203" s="183"/>
      <c r="AJ203" s="183"/>
      <c r="AK203" s="183"/>
      <c r="AL203" s="183"/>
      <c r="AM203" s="183"/>
      <c r="AN203" s="183"/>
      <c r="AO203" s="183"/>
      <c r="AP203" s="183"/>
      <c r="AQ203" s="183"/>
      <c r="AR203" s="183"/>
      <c r="AS203" s="183"/>
      <c r="AT203" s="183"/>
      <c r="AU203" s="183"/>
      <c r="AV203" s="183"/>
      <c r="BT203" s="183"/>
      <c r="BU203" s="183"/>
      <c r="BV203" s="183"/>
      <c r="BW203" s="183"/>
      <c r="BX203" s="183"/>
      <c r="BY203" s="183"/>
      <c r="BZ203" s="183"/>
      <c r="CA203" s="183"/>
      <c r="CB203" s="183"/>
      <c r="CC203" s="183"/>
      <c r="CD203" s="183"/>
    </row>
    <row r="204" spans="1:82" s="80" customFormat="1" x14ac:dyDescent="0.3">
      <c r="A204" s="13">
        <v>2</v>
      </c>
      <c r="B204" s="345" t="s">
        <v>935</v>
      </c>
      <c r="C204" s="410" t="s">
        <v>202</v>
      </c>
      <c r="D204" s="835">
        <v>1000000</v>
      </c>
      <c r="E204" s="189">
        <v>6</v>
      </c>
      <c r="F204" s="491">
        <f>D204*E204/10^5</f>
        <v>60</v>
      </c>
      <c r="G204" s="837">
        <f>F204*$S204</f>
        <v>8.2800000000000011</v>
      </c>
      <c r="H204" s="837">
        <f>F204+G204</f>
        <v>68.28</v>
      </c>
      <c r="I204" s="188"/>
      <c r="J204" s="188"/>
      <c r="K204" s="188"/>
      <c r="L204" s="188"/>
      <c r="M204" s="188"/>
      <c r="N204" s="750">
        <f>ROUND($F204*$AA$2/Input!$E$4/10,2)</f>
        <v>0.02</v>
      </c>
      <c r="O204" s="750">
        <f>ROUND($F204*(100%-$AA$2)/Input!$E$4/10,2)</f>
        <v>0</v>
      </c>
      <c r="P204" s="751">
        <f>SUM(N204:O204)</f>
        <v>0.02</v>
      </c>
      <c r="Q204" s="750">
        <f>N204*$AA$3+$O204*$AB$3</f>
        <v>2.3999999999999998E-3</v>
      </c>
      <c r="R204" s="751">
        <f>P204+Q204</f>
        <v>2.24E-2</v>
      </c>
      <c r="S204" s="1139">
        <v>0.13800000000000001</v>
      </c>
      <c r="T204" s="779"/>
      <c r="U204" s="1140">
        <f>F204*$AA$2</f>
        <v>51</v>
      </c>
      <c r="V204" s="1140">
        <f>F204*$AB$2</f>
        <v>7.1999999999999993</v>
      </c>
      <c r="W204" s="1140">
        <f>U204+V204</f>
        <v>58.2</v>
      </c>
      <c r="X204" s="1140">
        <f t="shared" si="124"/>
        <v>8.2800000000000011</v>
      </c>
      <c r="Y204" s="1140">
        <f t="shared" si="124"/>
        <v>68.28</v>
      </c>
      <c r="AC204" s="183"/>
      <c r="AD204" s="183"/>
      <c r="AE204" s="183"/>
      <c r="AF204" s="183"/>
      <c r="AG204" s="183"/>
      <c r="AH204" s="183"/>
      <c r="AI204" s="183"/>
      <c r="AJ204" s="183"/>
      <c r="AK204" s="183"/>
      <c r="AL204" s="183"/>
      <c r="AM204" s="183"/>
      <c r="AN204" s="183"/>
      <c r="AO204" s="183"/>
      <c r="AP204" s="183"/>
      <c r="AQ204" s="183"/>
      <c r="AR204" s="183"/>
      <c r="AS204" s="183"/>
      <c r="AT204" s="183"/>
      <c r="AU204" s="183"/>
      <c r="AV204" s="183"/>
      <c r="BT204" s="183"/>
      <c r="BU204" s="183"/>
      <c r="BV204" s="183"/>
      <c r="BW204" s="183"/>
      <c r="BX204" s="183"/>
      <c r="BY204" s="183"/>
      <c r="BZ204" s="183"/>
      <c r="CA204" s="183"/>
      <c r="CB204" s="183"/>
      <c r="CC204" s="183"/>
      <c r="CD204" s="183"/>
    </row>
    <row r="205" spans="1:82" s="80" customFormat="1" x14ac:dyDescent="0.3">
      <c r="A205" s="411" t="s">
        <v>950</v>
      </c>
      <c r="B205" s="493" t="s">
        <v>596</v>
      </c>
      <c r="C205" s="494"/>
      <c r="D205" s="494"/>
      <c r="E205" s="494"/>
      <c r="F205" s="871"/>
      <c r="G205" s="494"/>
      <c r="H205" s="494"/>
      <c r="I205" s="838"/>
      <c r="J205" s="838"/>
      <c r="K205" s="838"/>
      <c r="L205" s="838"/>
      <c r="M205" s="838"/>
      <c r="N205" s="484"/>
      <c r="O205" s="484"/>
      <c r="P205" s="484"/>
      <c r="Q205" s="484"/>
      <c r="R205" s="484"/>
      <c r="S205" s="484"/>
      <c r="T205" s="1138"/>
      <c r="U205" s="484"/>
      <c r="V205" s="484"/>
      <c r="W205" s="484"/>
      <c r="X205" s="484"/>
      <c r="Y205" s="484"/>
      <c r="AC205" s="183"/>
      <c r="AD205" s="183"/>
      <c r="AE205" s="183"/>
      <c r="AF205" s="183"/>
      <c r="AG205" s="183"/>
      <c r="AH205" s="183"/>
      <c r="AI205" s="183"/>
      <c r="AJ205" s="183"/>
      <c r="AK205" s="183"/>
      <c r="AL205" s="183"/>
      <c r="AM205" s="183"/>
      <c r="AN205" s="183"/>
      <c r="AO205" s="183"/>
      <c r="AP205" s="183"/>
      <c r="AQ205" s="183"/>
      <c r="AR205" s="183"/>
      <c r="AS205" s="183"/>
      <c r="AT205" s="183"/>
      <c r="AU205" s="183"/>
      <c r="AV205" s="183"/>
      <c r="BT205" s="183"/>
      <c r="BU205" s="183"/>
      <c r="BV205" s="183"/>
      <c r="BW205" s="183"/>
      <c r="BX205" s="183"/>
      <c r="BY205" s="183"/>
      <c r="BZ205" s="183"/>
      <c r="CA205" s="183"/>
      <c r="CB205" s="183"/>
      <c r="CC205" s="183"/>
      <c r="CD205" s="183"/>
    </row>
    <row r="206" spans="1:82" s="80" customFormat="1" x14ac:dyDescent="0.3">
      <c r="A206" s="13">
        <v>1</v>
      </c>
      <c r="B206" s="345" t="s">
        <v>557</v>
      </c>
      <c r="C206" s="410" t="s">
        <v>202</v>
      </c>
      <c r="D206" s="8">
        <f>Input!D94</f>
        <v>3000</v>
      </c>
      <c r="E206" s="82">
        <f>Input!E94</f>
        <v>2000</v>
      </c>
      <c r="F206" s="89">
        <f>D206*E206/10^5</f>
        <v>60</v>
      </c>
      <c r="G206" s="409">
        <f t="shared" ref="G206:G214" si="125">F206*$S206</f>
        <v>8.2800000000000011</v>
      </c>
      <c r="H206" s="409">
        <f t="shared" ref="H206:H214" si="126">F206+G206</f>
        <v>68.28</v>
      </c>
      <c r="N206" s="750">
        <f>ROUND($F206*$AA$2/Input!$E$4/10,2)</f>
        <v>0.02</v>
      </c>
      <c r="O206" s="750">
        <f>ROUND($F206*(100%-$AA$2)/Input!$E$4/10,2)</f>
        <v>0</v>
      </c>
      <c r="P206" s="751">
        <f t="shared" ref="P206:P212" si="127">SUM(N206:O206)</f>
        <v>0.02</v>
      </c>
      <c r="Q206" s="750">
        <f t="shared" ref="Q206:Q212" si="128">N206*$AA$3+$O206*$AB$3</f>
        <v>2.3999999999999998E-3</v>
      </c>
      <c r="R206" s="751">
        <f t="shared" ref="R206:R212" si="129">P206+Q206</f>
        <v>2.24E-2</v>
      </c>
      <c r="S206" s="1139">
        <v>0.13800000000000001</v>
      </c>
      <c r="T206" s="779"/>
      <c r="U206" s="1140">
        <f t="shared" ref="U206:U212" si="130">F206*$AA$2</f>
        <v>51</v>
      </c>
      <c r="V206" s="1140">
        <f t="shared" ref="V206:V212" si="131">F206*$AB$2</f>
        <v>7.1999999999999993</v>
      </c>
      <c r="W206" s="1140">
        <f t="shared" ref="W206:W212" si="132">U206+V206</f>
        <v>58.2</v>
      </c>
      <c r="X206" s="1140">
        <f t="shared" ref="X206:Y212" si="133">G206</f>
        <v>8.2800000000000011</v>
      </c>
      <c r="Y206" s="1140">
        <f t="shared" si="133"/>
        <v>68.28</v>
      </c>
      <c r="AC206" s="183"/>
      <c r="AD206" s="183"/>
      <c r="AE206" s="183"/>
      <c r="AF206" s="183"/>
      <c r="AG206" s="183"/>
      <c r="AH206" s="183"/>
      <c r="AI206" s="183"/>
      <c r="AJ206" s="183"/>
      <c r="AK206" s="183"/>
      <c r="AL206" s="183"/>
      <c r="AM206" s="183"/>
      <c r="AN206" s="183"/>
      <c r="AO206" s="183"/>
      <c r="AP206" s="183"/>
      <c r="AQ206" s="183"/>
      <c r="AR206" s="183"/>
      <c r="AS206" s="183"/>
      <c r="AT206" s="183"/>
      <c r="AU206" s="183"/>
      <c r="AV206" s="183"/>
      <c r="BT206" s="183"/>
      <c r="BU206" s="183"/>
      <c r="BV206" s="183"/>
      <c r="BW206" s="183"/>
      <c r="BX206" s="183"/>
      <c r="BY206" s="183"/>
      <c r="BZ206" s="183"/>
      <c r="CA206" s="183"/>
      <c r="CB206" s="183"/>
      <c r="CC206" s="183"/>
      <c r="CD206" s="183"/>
    </row>
    <row r="207" spans="1:82" s="80" customFormat="1" ht="17.5" hidden="1" customHeight="1" x14ac:dyDescent="0.3">
      <c r="A207" s="13">
        <v>2</v>
      </c>
      <c r="B207" s="345" t="s">
        <v>558</v>
      </c>
      <c r="C207" s="410" t="s">
        <v>202</v>
      </c>
      <c r="D207" s="82">
        <f>Input!D96</f>
        <v>0</v>
      </c>
      <c r="E207" s="82">
        <f>Input!E96</f>
        <v>0</v>
      </c>
      <c r="F207" s="89">
        <f t="shared" ref="F207:F212" si="134">D207*E207/10^5</f>
        <v>0</v>
      </c>
      <c r="G207" s="409">
        <f t="shared" si="125"/>
        <v>0</v>
      </c>
      <c r="H207" s="409">
        <f t="shared" si="126"/>
        <v>0</v>
      </c>
      <c r="N207" s="750">
        <f>ROUND($F207*$AA$2/Input!$E$4/10,2)</f>
        <v>0</v>
      </c>
      <c r="O207" s="750">
        <f>ROUND($F207*(100%-$AA$2)/Input!$E$4/10,2)</f>
        <v>0</v>
      </c>
      <c r="P207" s="751">
        <f t="shared" si="127"/>
        <v>0</v>
      </c>
      <c r="Q207" s="750">
        <f t="shared" si="128"/>
        <v>0</v>
      </c>
      <c r="R207" s="751">
        <f t="shared" si="129"/>
        <v>0</v>
      </c>
      <c r="S207" s="1139">
        <v>0.13800000000000001</v>
      </c>
      <c r="T207" s="779"/>
      <c r="U207" s="1140">
        <f t="shared" si="130"/>
        <v>0</v>
      </c>
      <c r="V207" s="1140">
        <f t="shared" si="131"/>
        <v>0</v>
      </c>
      <c r="W207" s="1140">
        <f t="shared" si="132"/>
        <v>0</v>
      </c>
      <c r="X207" s="1140">
        <f t="shared" si="133"/>
        <v>0</v>
      </c>
      <c r="Y207" s="1140">
        <f t="shared" si="133"/>
        <v>0</v>
      </c>
      <c r="AC207" s="183"/>
      <c r="AD207" s="183"/>
      <c r="AE207" s="183"/>
      <c r="AF207" s="183"/>
      <c r="AG207" s="183"/>
      <c r="AH207" s="183"/>
      <c r="AI207" s="183"/>
      <c r="AJ207" s="183"/>
      <c r="AK207" s="183"/>
      <c r="AL207" s="183"/>
      <c r="AM207" s="183"/>
      <c r="AN207" s="183"/>
      <c r="AO207" s="183"/>
      <c r="AP207" s="183"/>
      <c r="AQ207" s="183"/>
      <c r="AR207" s="183"/>
      <c r="AS207" s="183"/>
      <c r="AT207" s="183"/>
      <c r="AU207" s="183"/>
      <c r="AV207" s="183"/>
      <c r="BT207" s="183"/>
      <c r="BU207" s="183"/>
      <c r="BV207" s="183"/>
      <c r="BW207" s="183"/>
      <c r="BX207" s="183"/>
      <c r="BY207" s="183"/>
      <c r="BZ207" s="183"/>
      <c r="CA207" s="183"/>
      <c r="CB207" s="183"/>
      <c r="CC207" s="183"/>
      <c r="CD207" s="183"/>
    </row>
    <row r="208" spans="1:82" s="80" customFormat="1" hidden="1" x14ac:dyDescent="0.3">
      <c r="A208" s="13">
        <v>3</v>
      </c>
      <c r="B208" s="345" t="s">
        <v>597</v>
      </c>
      <c r="C208" s="410" t="s">
        <v>202</v>
      </c>
      <c r="D208" s="82">
        <f>Input!D97</f>
        <v>0</v>
      </c>
      <c r="E208" s="82">
        <f>Input!E97</f>
        <v>0</v>
      </c>
      <c r="F208" s="89">
        <f t="shared" si="134"/>
        <v>0</v>
      </c>
      <c r="G208" s="409">
        <f t="shared" si="125"/>
        <v>0</v>
      </c>
      <c r="H208" s="409">
        <f t="shared" si="126"/>
        <v>0</v>
      </c>
      <c r="N208" s="750">
        <f>ROUND($F208*$AA$2/Input!$E$4/10,2)</f>
        <v>0</v>
      </c>
      <c r="O208" s="750">
        <f>ROUND($F208*(100%-$AA$2)/Input!$E$4/10,2)</f>
        <v>0</v>
      </c>
      <c r="P208" s="751">
        <f t="shared" si="127"/>
        <v>0</v>
      </c>
      <c r="Q208" s="750">
        <f t="shared" si="128"/>
        <v>0</v>
      </c>
      <c r="R208" s="751">
        <f t="shared" si="129"/>
        <v>0</v>
      </c>
      <c r="S208" s="1139">
        <v>0.13800000000000001</v>
      </c>
      <c r="T208" s="779"/>
      <c r="U208" s="1140">
        <f t="shared" si="130"/>
        <v>0</v>
      </c>
      <c r="V208" s="1140">
        <f t="shared" si="131"/>
        <v>0</v>
      </c>
      <c r="W208" s="1140">
        <f t="shared" si="132"/>
        <v>0</v>
      </c>
      <c r="X208" s="1140">
        <f t="shared" si="133"/>
        <v>0</v>
      </c>
      <c r="Y208" s="1140">
        <f t="shared" si="133"/>
        <v>0</v>
      </c>
      <c r="AC208" s="183"/>
      <c r="AD208" s="183"/>
      <c r="AE208" s="183"/>
      <c r="AF208" s="183"/>
      <c r="AG208" s="183"/>
      <c r="AH208" s="183"/>
      <c r="AI208" s="183"/>
      <c r="AJ208" s="183"/>
      <c r="AK208" s="183"/>
      <c r="AL208" s="183"/>
      <c r="AM208" s="183"/>
      <c r="AN208" s="183"/>
      <c r="AO208" s="183"/>
      <c r="AP208" s="183"/>
      <c r="AQ208" s="183"/>
      <c r="AR208" s="183"/>
      <c r="AS208" s="183"/>
      <c r="AT208" s="183"/>
      <c r="AU208" s="183"/>
      <c r="AV208" s="183"/>
      <c r="BT208" s="183"/>
      <c r="BU208" s="183"/>
      <c r="BV208" s="183"/>
      <c r="BW208" s="183"/>
      <c r="BX208" s="183"/>
      <c r="BY208" s="183"/>
      <c r="BZ208" s="183"/>
      <c r="CA208" s="183"/>
      <c r="CB208" s="183"/>
      <c r="CC208" s="183"/>
      <c r="CD208" s="183"/>
    </row>
    <row r="209" spans="1:89" s="80" customFormat="1" x14ac:dyDescent="0.3">
      <c r="A209" s="13">
        <v>2</v>
      </c>
      <c r="B209" s="345" t="s">
        <v>593</v>
      </c>
      <c r="C209" s="410" t="s">
        <v>202</v>
      </c>
      <c r="D209" s="82">
        <v>500000</v>
      </c>
      <c r="E209" s="82">
        <v>1</v>
      </c>
      <c r="F209" s="89">
        <f t="shared" si="134"/>
        <v>5</v>
      </c>
      <c r="G209" s="409">
        <f t="shared" si="125"/>
        <v>0.69000000000000006</v>
      </c>
      <c r="H209" s="409">
        <f t="shared" si="126"/>
        <v>5.69</v>
      </c>
      <c r="N209" s="750">
        <f>ROUND($F209*$AA$2/Input!$E$4/10,2)</f>
        <v>0</v>
      </c>
      <c r="O209" s="750">
        <f>ROUND($F209*(100%-$AA$2)/Input!$E$4/10,2)</f>
        <v>0</v>
      </c>
      <c r="P209" s="751">
        <f t="shared" si="127"/>
        <v>0</v>
      </c>
      <c r="Q209" s="750">
        <f t="shared" si="128"/>
        <v>0</v>
      </c>
      <c r="R209" s="751">
        <f t="shared" si="129"/>
        <v>0</v>
      </c>
      <c r="S209" s="1139">
        <v>0.13800000000000001</v>
      </c>
      <c r="T209" s="779"/>
      <c r="U209" s="1140">
        <f t="shared" si="130"/>
        <v>4.25</v>
      </c>
      <c r="V209" s="1140">
        <f t="shared" si="131"/>
        <v>0.6</v>
      </c>
      <c r="W209" s="1140">
        <f t="shared" si="132"/>
        <v>4.8499999999999996</v>
      </c>
      <c r="X209" s="1140">
        <f t="shared" si="133"/>
        <v>0.69000000000000006</v>
      </c>
      <c r="Y209" s="1140">
        <f t="shared" si="133"/>
        <v>5.69</v>
      </c>
      <c r="AC209" s="183"/>
      <c r="AD209" s="183"/>
      <c r="AE209" s="183"/>
      <c r="AF209" s="183"/>
      <c r="AG209" s="183"/>
      <c r="AH209" s="183"/>
      <c r="AI209" s="183"/>
      <c r="AJ209" s="183"/>
      <c r="AK209" s="183"/>
      <c r="AL209" s="183"/>
      <c r="AM209" s="183"/>
      <c r="AN209" s="183"/>
      <c r="AO209" s="183"/>
      <c r="AP209" s="183"/>
      <c r="AQ209" s="183"/>
      <c r="AR209" s="183"/>
      <c r="AS209" s="183"/>
      <c r="AT209" s="183"/>
      <c r="AU209" s="183"/>
      <c r="AV209" s="183"/>
      <c r="BT209" s="183"/>
      <c r="BU209" s="183"/>
      <c r="BV209" s="183"/>
      <c r="BW209" s="183"/>
      <c r="BX209" s="183"/>
      <c r="BY209" s="183"/>
      <c r="BZ209" s="183"/>
      <c r="CA209" s="183"/>
      <c r="CB209" s="183"/>
      <c r="CC209" s="183"/>
      <c r="CD209" s="183"/>
    </row>
    <row r="210" spans="1:89" s="80" customFormat="1" hidden="1" x14ac:dyDescent="0.3">
      <c r="A210" s="13">
        <v>5</v>
      </c>
      <c r="B210" s="345" t="s">
        <v>601</v>
      </c>
      <c r="C210" s="410" t="s">
        <v>202</v>
      </c>
      <c r="D210" s="82">
        <f>Input!D99</f>
        <v>0</v>
      </c>
      <c r="E210" s="82">
        <f>Input!E99</f>
        <v>0</v>
      </c>
      <c r="F210" s="89">
        <f t="shared" si="134"/>
        <v>0</v>
      </c>
      <c r="G210" s="409">
        <f t="shared" si="125"/>
        <v>0</v>
      </c>
      <c r="H210" s="409">
        <f t="shared" si="126"/>
        <v>0</v>
      </c>
      <c r="N210" s="750">
        <f>ROUND($F210*$AA$2/Input!$E$4/10,2)</f>
        <v>0</v>
      </c>
      <c r="O210" s="750">
        <f>ROUND($F210*(100%-$AA$2)/Input!$E$4/10,2)</f>
        <v>0</v>
      </c>
      <c r="P210" s="751">
        <f t="shared" si="127"/>
        <v>0</v>
      </c>
      <c r="Q210" s="750">
        <f t="shared" si="128"/>
        <v>0</v>
      </c>
      <c r="R210" s="751">
        <f t="shared" si="129"/>
        <v>0</v>
      </c>
      <c r="S210" s="1139">
        <v>0.13800000000000001</v>
      </c>
      <c r="T210" s="779"/>
      <c r="U210" s="1140">
        <f t="shared" si="130"/>
        <v>0</v>
      </c>
      <c r="V210" s="1140">
        <f t="shared" si="131"/>
        <v>0</v>
      </c>
      <c r="W210" s="1140">
        <f t="shared" si="132"/>
        <v>0</v>
      </c>
      <c r="X210" s="1140">
        <f t="shared" si="133"/>
        <v>0</v>
      </c>
      <c r="Y210" s="1140">
        <f t="shared" si="133"/>
        <v>0</v>
      </c>
      <c r="AC210" s="183"/>
      <c r="AD210" s="183"/>
      <c r="AE210" s="183"/>
      <c r="AF210" s="183"/>
      <c r="AG210" s="183"/>
      <c r="AH210" s="183"/>
      <c r="AI210" s="183"/>
      <c r="AJ210" s="183"/>
      <c r="AK210" s="183"/>
      <c r="AL210" s="183"/>
      <c r="AM210" s="183"/>
      <c r="AN210" s="183"/>
      <c r="AO210" s="183"/>
      <c r="AP210" s="183"/>
      <c r="AQ210" s="183"/>
      <c r="AR210" s="183"/>
      <c r="AS210" s="183"/>
      <c r="AT210" s="183"/>
      <c r="AU210" s="183"/>
      <c r="AV210" s="183"/>
      <c r="BT210" s="183"/>
      <c r="BU210" s="183"/>
      <c r="BV210" s="183"/>
      <c r="BW210" s="183"/>
      <c r="BX210" s="183"/>
      <c r="BY210" s="183"/>
      <c r="BZ210" s="183"/>
      <c r="CA210" s="183"/>
      <c r="CB210" s="183"/>
      <c r="CC210" s="183"/>
      <c r="CD210" s="183"/>
    </row>
    <row r="211" spans="1:89" s="80" customFormat="1" hidden="1" x14ac:dyDescent="0.3">
      <c r="A211" s="13">
        <v>6</v>
      </c>
      <c r="B211" s="377" t="s">
        <v>560</v>
      </c>
      <c r="C211" s="410" t="s">
        <v>202</v>
      </c>
      <c r="D211" s="82">
        <f>Input!D100</f>
        <v>0</v>
      </c>
      <c r="E211" s="82">
        <f>Input!E100</f>
        <v>0</v>
      </c>
      <c r="F211" s="89">
        <f t="shared" si="134"/>
        <v>0</v>
      </c>
      <c r="G211" s="409">
        <f t="shared" si="125"/>
        <v>0</v>
      </c>
      <c r="H211" s="409">
        <f t="shared" si="126"/>
        <v>0</v>
      </c>
      <c r="N211" s="750">
        <f>ROUND($F211*$AA$2/Input!$E$4/10,2)</f>
        <v>0</v>
      </c>
      <c r="O211" s="750">
        <f>ROUND($F211*(100%-$AA$2)/Input!$E$4/10,2)</f>
        <v>0</v>
      </c>
      <c r="P211" s="751">
        <f t="shared" si="127"/>
        <v>0</v>
      </c>
      <c r="Q211" s="750">
        <f t="shared" si="128"/>
        <v>0</v>
      </c>
      <c r="R211" s="751">
        <f t="shared" si="129"/>
        <v>0</v>
      </c>
      <c r="S211" s="1139">
        <v>0.13800000000000001</v>
      </c>
      <c r="T211" s="779"/>
      <c r="U211" s="1140">
        <f t="shared" si="130"/>
        <v>0</v>
      </c>
      <c r="V211" s="1140">
        <f t="shared" si="131"/>
        <v>0</v>
      </c>
      <c r="W211" s="1140">
        <f t="shared" si="132"/>
        <v>0</v>
      </c>
      <c r="X211" s="1140">
        <f t="shared" si="133"/>
        <v>0</v>
      </c>
      <c r="Y211" s="1140">
        <f t="shared" si="133"/>
        <v>0</v>
      </c>
      <c r="AC211" s="183"/>
      <c r="AD211" s="183"/>
      <c r="AE211" s="183"/>
      <c r="AF211" s="183"/>
      <c r="AG211" s="183"/>
      <c r="AH211" s="183"/>
      <c r="AI211" s="183"/>
      <c r="AJ211" s="183"/>
      <c r="AK211" s="183"/>
      <c r="AL211" s="183"/>
      <c r="AM211" s="183"/>
      <c r="AN211" s="183"/>
      <c r="AO211" s="183"/>
      <c r="AP211" s="183"/>
      <c r="AQ211" s="183"/>
      <c r="AR211" s="183"/>
      <c r="AS211" s="183"/>
      <c r="AT211" s="183"/>
      <c r="AU211" s="183"/>
      <c r="AV211" s="183"/>
      <c r="BT211" s="183"/>
      <c r="BU211" s="183"/>
      <c r="BV211" s="183"/>
      <c r="BW211" s="183"/>
      <c r="BX211" s="183"/>
      <c r="BY211" s="183"/>
      <c r="BZ211" s="183"/>
      <c r="CA211" s="183"/>
      <c r="CB211" s="183"/>
      <c r="CC211" s="183"/>
      <c r="CD211" s="183"/>
    </row>
    <row r="212" spans="1:89" s="80" customFormat="1" x14ac:dyDescent="0.3">
      <c r="A212" s="13">
        <v>3</v>
      </c>
      <c r="B212" s="377" t="s">
        <v>859</v>
      </c>
      <c r="C212" s="410" t="s">
        <v>202</v>
      </c>
      <c r="D212" s="82">
        <v>1000000</v>
      </c>
      <c r="E212" s="82">
        <v>1</v>
      </c>
      <c r="F212" s="89">
        <f t="shared" si="134"/>
        <v>10</v>
      </c>
      <c r="G212" s="409">
        <f t="shared" si="125"/>
        <v>1.3800000000000001</v>
      </c>
      <c r="H212" s="409">
        <f t="shared" si="126"/>
        <v>11.38</v>
      </c>
      <c r="N212" s="750">
        <f>ROUND($F212*$AA$2/Input!$E$4/10,2)</f>
        <v>0</v>
      </c>
      <c r="O212" s="750">
        <f>ROUND($F212*(100%-$AA$2)/Input!$E$4/10,2)</f>
        <v>0</v>
      </c>
      <c r="P212" s="751">
        <f t="shared" si="127"/>
        <v>0</v>
      </c>
      <c r="Q212" s="750">
        <f t="shared" si="128"/>
        <v>0</v>
      </c>
      <c r="R212" s="751">
        <f t="shared" si="129"/>
        <v>0</v>
      </c>
      <c r="S212" s="1139">
        <v>0.13800000000000001</v>
      </c>
      <c r="T212" s="779"/>
      <c r="U212" s="1140">
        <f t="shared" si="130"/>
        <v>8.5</v>
      </c>
      <c r="V212" s="1140">
        <f t="shared" si="131"/>
        <v>1.2</v>
      </c>
      <c r="W212" s="1140">
        <f t="shared" si="132"/>
        <v>9.6999999999999993</v>
      </c>
      <c r="X212" s="1140">
        <f t="shared" si="133"/>
        <v>1.3800000000000001</v>
      </c>
      <c r="Y212" s="1140">
        <f t="shared" si="133"/>
        <v>11.38</v>
      </c>
      <c r="AC212" s="183"/>
      <c r="AD212" s="183"/>
      <c r="AE212" s="183"/>
      <c r="AF212" s="183"/>
      <c r="AG212" s="183"/>
      <c r="AH212" s="183"/>
      <c r="AI212" s="183"/>
      <c r="AJ212" s="183"/>
      <c r="AK212" s="183"/>
      <c r="AL212" s="183"/>
      <c r="AM212" s="183"/>
      <c r="AN212" s="183"/>
      <c r="AO212" s="183"/>
      <c r="AP212" s="183"/>
      <c r="AQ212" s="183"/>
      <c r="AR212" s="183"/>
      <c r="AS212" s="183"/>
      <c r="AT212" s="183"/>
      <c r="AU212" s="183"/>
      <c r="AV212" s="183"/>
      <c r="BT212" s="183"/>
      <c r="BU212" s="183"/>
      <c r="BV212" s="183"/>
      <c r="BW212" s="183"/>
      <c r="BX212" s="183"/>
      <c r="BY212" s="183"/>
      <c r="BZ212" s="183"/>
      <c r="CA212" s="183"/>
      <c r="CB212" s="183"/>
      <c r="CC212" s="183"/>
      <c r="CD212" s="183"/>
    </row>
    <row r="213" spans="1:89" s="80" customFormat="1" x14ac:dyDescent="0.3">
      <c r="A213" s="411" t="s">
        <v>1202</v>
      </c>
      <c r="B213" s="493" t="s">
        <v>1200</v>
      </c>
      <c r="C213" s="494"/>
      <c r="D213" s="494"/>
      <c r="E213" s="494"/>
      <c r="F213" s="871"/>
      <c r="G213" s="494"/>
      <c r="H213" s="494"/>
      <c r="O213" s="705"/>
      <c r="P213" s="705"/>
      <c r="Q213" s="183"/>
      <c r="R213" s="183"/>
      <c r="S213" s="183"/>
      <c r="T213" s="1138"/>
      <c r="U213" s="868"/>
      <c r="V213" s="868"/>
      <c r="W213" s="868"/>
      <c r="X213" s="868"/>
      <c r="Y213" s="868"/>
      <c r="AC213" s="183"/>
      <c r="AD213" s="183"/>
      <c r="AE213" s="183"/>
      <c r="AF213" s="183"/>
      <c r="AG213" s="183"/>
      <c r="AH213" s="183"/>
      <c r="AI213" s="183"/>
      <c r="AJ213" s="183"/>
      <c r="AK213" s="183"/>
      <c r="AL213" s="183"/>
      <c r="AM213" s="183"/>
      <c r="AN213" s="183"/>
      <c r="AO213" s="183"/>
      <c r="AP213" s="183"/>
      <c r="AQ213" s="183"/>
      <c r="AR213" s="183"/>
      <c r="AS213" s="183"/>
      <c r="AT213" s="183"/>
      <c r="AU213" s="183"/>
      <c r="AV213" s="183"/>
      <c r="BT213" s="183"/>
      <c r="BU213" s="183"/>
      <c r="BV213" s="183"/>
      <c r="BW213" s="183"/>
      <c r="BX213" s="183"/>
      <c r="BY213" s="183"/>
      <c r="BZ213" s="183"/>
      <c r="CA213" s="183"/>
      <c r="CB213" s="183"/>
      <c r="CC213" s="183"/>
      <c r="CD213" s="183"/>
    </row>
    <row r="214" spans="1:89" s="80" customFormat="1" x14ac:dyDescent="0.3">
      <c r="A214" s="202"/>
      <c r="B214" s="80" t="s">
        <v>1221</v>
      </c>
      <c r="C214" s="410" t="s">
        <v>202</v>
      </c>
      <c r="F214" s="80">
        <f>Input!E104</f>
        <v>1000</v>
      </c>
      <c r="G214" s="409">
        <f t="shared" si="125"/>
        <v>138</v>
      </c>
      <c r="H214" s="409">
        <f t="shared" si="126"/>
        <v>1138</v>
      </c>
      <c r="J214" s="80">
        <v>14</v>
      </c>
      <c r="N214" s="750">
        <f>ROUND($F214*$AA$2/Input!$E$4/10,2)</f>
        <v>0.35</v>
      </c>
      <c r="O214" s="750">
        <f>ROUND($F214*(100%-$AA$2)/Input!$E$4/10,2)</f>
        <v>0.06</v>
      </c>
      <c r="P214" s="751">
        <f t="shared" ref="P214" si="135">SUM(N214:O214)</f>
        <v>0.41</v>
      </c>
      <c r="Q214" s="750">
        <f t="shared" ref="Q214" si="136">N214*$AA$3+$O214*$AB$3</f>
        <v>5.2799999999999993E-2</v>
      </c>
      <c r="R214" s="751">
        <f t="shared" ref="R214" si="137">P214+Q214</f>
        <v>0.46279999999999999</v>
      </c>
      <c r="S214" s="1139">
        <v>0.13800000000000001</v>
      </c>
      <c r="T214" s="1138"/>
      <c r="U214" s="750">
        <f>ROUND($F214*$AA$2/Input!$E$4/10,2)</f>
        <v>0.35</v>
      </c>
      <c r="V214" s="750">
        <f>ROUND($F214*(100%-$AA$2)/Input!$E$4/10,2)</f>
        <v>0.06</v>
      </c>
      <c r="W214" s="751">
        <f t="shared" ref="W214" si="138">SUM(U214:V214)</f>
        <v>0.41</v>
      </c>
      <c r="X214" s="750">
        <f t="shared" ref="X214" si="139">U214*$AA$3+$O214*$AB$3</f>
        <v>5.2799999999999993E-2</v>
      </c>
      <c r="Y214" s="751">
        <f t="shared" ref="Y214" si="140">W214+X214</f>
        <v>0.46279999999999999</v>
      </c>
      <c r="Z214" s="1139"/>
      <c r="AC214" s="183"/>
      <c r="AD214" s="183"/>
      <c r="AE214" s="183"/>
      <c r="AF214" s="183"/>
      <c r="AG214" s="183"/>
      <c r="AH214" s="183"/>
      <c r="AI214" s="183"/>
      <c r="AJ214" s="183"/>
      <c r="AK214" s="183"/>
      <c r="AL214" s="183"/>
      <c r="AM214" s="183"/>
      <c r="AN214" s="183"/>
      <c r="AO214" s="183"/>
      <c r="AP214" s="183"/>
      <c r="AQ214" s="183"/>
      <c r="AR214" s="183"/>
      <c r="AS214" s="183"/>
      <c r="AT214" s="183"/>
      <c r="AU214" s="183"/>
      <c r="AV214" s="183"/>
      <c r="BT214" s="183"/>
      <c r="BU214" s="183"/>
      <c r="BV214" s="183"/>
      <c r="BW214" s="183"/>
      <c r="BX214" s="183"/>
      <c r="BY214" s="183"/>
      <c r="BZ214" s="183"/>
      <c r="CA214" s="183"/>
      <c r="CB214" s="183"/>
      <c r="CC214" s="183"/>
      <c r="CD214" s="183"/>
    </row>
    <row r="215" spans="1:89" x14ac:dyDescent="0.35">
      <c r="A215" s="828" t="s">
        <v>789</v>
      </c>
      <c r="B215" s="483" t="s">
        <v>918</v>
      </c>
      <c r="C215" s="730"/>
      <c r="D215" s="485"/>
      <c r="E215" s="575"/>
      <c r="F215" s="575"/>
      <c r="G215" s="575"/>
      <c r="H215" s="575"/>
      <c r="I215" s="423"/>
      <c r="J215" s="423"/>
      <c r="K215" s="423"/>
      <c r="L215" s="423"/>
      <c r="M215" s="423"/>
      <c r="N215" s="484"/>
      <c r="O215" s="484"/>
      <c r="P215" s="484"/>
      <c r="Q215" s="484"/>
      <c r="R215" s="484"/>
      <c r="S215" s="484"/>
      <c r="T215" s="955"/>
      <c r="U215" s="484"/>
      <c r="V215" s="484"/>
      <c r="W215" s="484"/>
      <c r="X215" s="484"/>
      <c r="Y215" s="484"/>
    </row>
    <row r="216" spans="1:89" x14ac:dyDescent="0.35">
      <c r="A216" s="415">
        <v>1</v>
      </c>
      <c r="B216" s="482" t="s">
        <v>919</v>
      </c>
      <c r="C216" s="739" t="s">
        <v>0</v>
      </c>
      <c r="D216" s="608">
        <v>1.5E-3</v>
      </c>
      <c r="E216" s="609">
        <f>SUM($F$2+$F$4+$F$8)*10^5</f>
        <v>8135252676.879859</v>
      </c>
      <c r="F216" s="836">
        <f t="shared" ref="F216:F221" si="141">D216*E216/10^5</f>
        <v>122.02879015319789</v>
      </c>
      <c r="G216" s="836">
        <f t="shared" ref="G216:G221" si="142">$F216*$S216</f>
        <v>16.83997304114131</v>
      </c>
      <c r="H216" s="836">
        <f t="shared" ref="H216:H221" si="143">F216+G216</f>
        <v>138.86876319433921</v>
      </c>
      <c r="N216" s="750">
        <f>ROUND($F216*$AA$2/Input!$E$4/10,2)</f>
        <v>0.04</v>
      </c>
      <c r="O216" s="750">
        <f>ROUND($F216*(100%-$AA$2)/Input!$E$4/10,2)</f>
        <v>0.01</v>
      </c>
      <c r="P216" s="751">
        <f t="shared" ref="P216:P221" si="144">SUM(N216:O216)</f>
        <v>0.05</v>
      </c>
      <c r="Q216" s="750">
        <f t="shared" ref="Q216:Q221" si="145">N216*$AA$3+$O216*$AB$3</f>
        <v>6.6E-3</v>
      </c>
      <c r="R216" s="751">
        <f t="shared" ref="R216:R221" si="146">P216+Q216</f>
        <v>5.6600000000000004E-2</v>
      </c>
      <c r="S216" s="1139">
        <v>0.13800000000000001</v>
      </c>
      <c r="T216" s="779"/>
      <c r="U216" s="1140">
        <f t="shared" ref="U216:U221" si="147">F216*$AA$2</f>
        <v>103.7244716302182</v>
      </c>
      <c r="V216" s="1140">
        <f t="shared" ref="V216:V221" si="148">F216*$AB$2</f>
        <v>14.643454818383747</v>
      </c>
      <c r="W216" s="1140">
        <f t="shared" ref="W216:W221" si="149">U216+V216</f>
        <v>118.36792644860195</v>
      </c>
      <c r="X216" s="1140">
        <f t="shared" ref="X216:Y221" si="150">G216</f>
        <v>16.83997304114131</v>
      </c>
      <c r="Y216" s="1140">
        <f t="shared" si="150"/>
        <v>138.86876319433921</v>
      </c>
    </row>
    <row r="217" spans="1:89" hidden="1" x14ac:dyDescent="0.35">
      <c r="A217" s="415">
        <v>2</v>
      </c>
      <c r="B217" s="482" t="s">
        <v>937</v>
      </c>
      <c r="C217" s="739" t="s">
        <v>0</v>
      </c>
      <c r="D217" s="608">
        <v>1.5E-3</v>
      </c>
      <c r="E217" s="609">
        <f t="shared" ref="E217" si="151">SUM($F$2:$F$8)*10^5</f>
        <v>11693288751.85972</v>
      </c>
      <c r="F217" s="836">
        <f t="shared" si="141"/>
        <v>175.39933127789578</v>
      </c>
      <c r="G217" s="836">
        <f t="shared" si="142"/>
        <v>24.20510771634962</v>
      </c>
      <c r="H217" s="836">
        <f t="shared" si="143"/>
        <v>199.60443899424541</v>
      </c>
      <c r="N217" s="750">
        <f>ROUND($F217*$AA$2/Input!$E$4/10,2)</f>
        <v>0.06</v>
      </c>
      <c r="O217" s="750">
        <f>ROUND($F217*(100%-$AA$2)/Input!$E$4/10,2)</f>
        <v>0.01</v>
      </c>
      <c r="P217" s="751">
        <f t="shared" si="144"/>
        <v>6.9999999999999993E-2</v>
      </c>
      <c r="Q217" s="750">
        <f t="shared" si="145"/>
        <v>8.9999999999999993E-3</v>
      </c>
      <c r="R217" s="751">
        <f t="shared" si="146"/>
        <v>7.8999999999999987E-2</v>
      </c>
      <c r="S217" s="1139">
        <v>0.13800000000000001</v>
      </c>
      <c r="T217" s="779"/>
      <c r="U217" s="1140">
        <f t="shared" si="147"/>
        <v>149.08943158621142</v>
      </c>
      <c r="V217" s="1140">
        <f t="shared" si="148"/>
        <v>21.047919753347493</v>
      </c>
      <c r="W217" s="1140">
        <f t="shared" si="149"/>
        <v>170.1373513395589</v>
      </c>
      <c r="X217" s="1140">
        <f t="shared" si="150"/>
        <v>24.20510771634962</v>
      </c>
      <c r="Y217" s="1140">
        <f t="shared" si="150"/>
        <v>199.60443899424541</v>
      </c>
    </row>
    <row r="218" spans="1:89" hidden="1" x14ac:dyDescent="0.35">
      <c r="A218" s="415">
        <v>2</v>
      </c>
      <c r="B218" s="482" t="s">
        <v>650</v>
      </c>
      <c r="C218" s="739" t="s">
        <v>0</v>
      </c>
      <c r="D218" s="608"/>
      <c r="E218" s="609">
        <f t="shared" ref="E218:E221" si="152">SUM($F$2+$F$4+$F$8)*10^5</f>
        <v>8135252676.879859</v>
      </c>
      <c r="F218" s="836">
        <f t="shared" si="141"/>
        <v>0</v>
      </c>
      <c r="G218" s="836">
        <f t="shared" si="142"/>
        <v>0</v>
      </c>
      <c r="H218" s="836">
        <f t="shared" si="143"/>
        <v>0</v>
      </c>
      <c r="N218" s="750">
        <f>ROUND($F218*$AA$2/Input!$E$4/10,2)</f>
        <v>0</v>
      </c>
      <c r="O218" s="750">
        <f>ROUND($F218*(100%-$AA$2)/Input!$E$4/10,2)</f>
        <v>0</v>
      </c>
      <c r="P218" s="751">
        <f t="shared" si="144"/>
        <v>0</v>
      </c>
      <c r="Q218" s="750">
        <f t="shared" si="145"/>
        <v>0</v>
      </c>
      <c r="R218" s="751">
        <f t="shared" si="146"/>
        <v>0</v>
      </c>
      <c r="S218" s="1139">
        <v>0.13800000000000001</v>
      </c>
      <c r="T218" s="779"/>
      <c r="U218" s="1140">
        <f t="shared" si="147"/>
        <v>0</v>
      </c>
      <c r="V218" s="1140">
        <f t="shared" si="148"/>
        <v>0</v>
      </c>
      <c r="W218" s="1140">
        <f t="shared" si="149"/>
        <v>0</v>
      </c>
      <c r="X218" s="1140">
        <f t="shared" si="150"/>
        <v>0</v>
      </c>
      <c r="Y218" s="1140">
        <f t="shared" si="150"/>
        <v>0</v>
      </c>
    </row>
    <row r="219" spans="1:89" s="578" customFormat="1" x14ac:dyDescent="0.35">
      <c r="A219" s="415">
        <v>2</v>
      </c>
      <c r="B219" s="482" t="s">
        <v>66</v>
      </c>
      <c r="C219" s="739" t="s">
        <v>0</v>
      </c>
      <c r="D219" s="608">
        <v>2.5000000000000001E-3</v>
      </c>
      <c r="E219" s="609">
        <f t="shared" si="152"/>
        <v>8135252676.879859</v>
      </c>
      <c r="F219" s="836">
        <f t="shared" si="141"/>
        <v>203.38131692199647</v>
      </c>
      <c r="G219" s="836">
        <f t="shared" si="142"/>
        <v>28.066621735235515</v>
      </c>
      <c r="H219" s="836">
        <f t="shared" si="143"/>
        <v>231.44793865723199</v>
      </c>
      <c r="I219" s="414"/>
      <c r="J219" s="414"/>
      <c r="K219" s="414"/>
      <c r="L219" s="414"/>
      <c r="M219" s="414"/>
      <c r="N219" s="750">
        <f>ROUND($F219*$AA$2/Input!$E$4/10,2)</f>
        <v>7.0000000000000007E-2</v>
      </c>
      <c r="O219" s="750">
        <f>ROUND($F219*(100%-$AA$2)/Input!$E$4/10,2)</f>
        <v>0.01</v>
      </c>
      <c r="P219" s="751">
        <f t="shared" si="144"/>
        <v>0.08</v>
      </c>
      <c r="Q219" s="750">
        <f t="shared" si="145"/>
        <v>1.0200000000000001E-2</v>
      </c>
      <c r="R219" s="751">
        <f t="shared" si="146"/>
        <v>9.0200000000000002E-2</v>
      </c>
      <c r="S219" s="1139">
        <v>0.13800000000000001</v>
      </c>
      <c r="T219" s="779"/>
      <c r="U219" s="1140">
        <f t="shared" si="147"/>
        <v>172.87411938369701</v>
      </c>
      <c r="V219" s="1140">
        <f t="shared" si="148"/>
        <v>24.405758030639575</v>
      </c>
      <c r="W219" s="1140">
        <f t="shared" si="149"/>
        <v>197.27987741433657</v>
      </c>
      <c r="X219" s="1140">
        <f t="shared" si="150"/>
        <v>28.066621735235515</v>
      </c>
      <c r="Y219" s="1140">
        <f t="shared" si="150"/>
        <v>231.44793865723199</v>
      </c>
      <c r="AC219" s="414"/>
      <c r="AD219" s="414"/>
      <c r="AE219" s="414"/>
      <c r="AF219" s="414"/>
      <c r="AG219" s="414"/>
      <c r="AH219" s="414"/>
      <c r="AI219" s="414"/>
      <c r="AJ219" s="414"/>
      <c r="AK219" s="414"/>
      <c r="AL219" s="414"/>
      <c r="AM219" s="414"/>
      <c r="AN219" s="414"/>
      <c r="AO219" s="414"/>
      <c r="AP219" s="414"/>
      <c r="AQ219" s="414"/>
      <c r="AR219" s="414"/>
      <c r="AS219" s="414"/>
      <c r="AT219" s="414"/>
      <c r="AU219" s="414"/>
      <c r="AV219" s="414"/>
      <c r="AW219" s="414"/>
      <c r="AX219" s="414"/>
      <c r="AY219" s="414"/>
      <c r="AZ219" s="414"/>
      <c r="BA219" s="414"/>
      <c r="BB219" s="414"/>
      <c r="BC219" s="414"/>
      <c r="BD219" s="414"/>
      <c r="BE219" s="414"/>
      <c r="BF219" s="414"/>
      <c r="BG219" s="414"/>
      <c r="BH219" s="414"/>
      <c r="BI219" s="414"/>
      <c r="BJ219" s="414"/>
      <c r="BK219" s="414"/>
      <c r="BL219" s="414"/>
      <c r="BM219" s="414"/>
      <c r="BN219" s="414"/>
      <c r="BO219" s="414"/>
      <c r="BP219" s="414"/>
      <c r="BQ219" s="414"/>
      <c r="BR219" s="414"/>
      <c r="BS219" s="414"/>
      <c r="BT219" s="414"/>
      <c r="BU219" s="414"/>
      <c r="BV219" s="414"/>
      <c r="BW219" s="414"/>
      <c r="BX219" s="414"/>
      <c r="BY219" s="414"/>
      <c r="BZ219" s="414"/>
      <c r="CA219" s="414"/>
      <c r="CB219" s="414"/>
      <c r="CC219" s="414"/>
      <c r="CD219" s="414"/>
      <c r="CE219" s="414"/>
      <c r="CF219" s="414"/>
      <c r="CG219" s="414"/>
      <c r="CH219" s="414"/>
      <c r="CI219" s="414"/>
      <c r="CJ219" s="414"/>
      <c r="CK219" s="414"/>
    </row>
    <row r="220" spans="1:89" s="578" customFormat="1" x14ac:dyDescent="0.35">
      <c r="A220" s="415">
        <v>3</v>
      </c>
      <c r="B220" s="482" t="s">
        <v>64</v>
      </c>
      <c r="C220" s="739" t="s">
        <v>0</v>
      </c>
      <c r="D220" s="608">
        <v>0.03</v>
      </c>
      <c r="E220" s="609">
        <f t="shared" si="152"/>
        <v>8135252676.879859</v>
      </c>
      <c r="F220" s="836">
        <f t="shared" si="141"/>
        <v>2440.5758030639577</v>
      </c>
      <c r="G220" s="836">
        <f t="shared" si="142"/>
        <v>336.79946082282618</v>
      </c>
      <c r="H220" s="836">
        <f t="shared" si="143"/>
        <v>2777.3752638867836</v>
      </c>
      <c r="L220" s="414"/>
      <c r="M220" s="414"/>
      <c r="N220" s="750">
        <f>ROUND($F220*$AA$2/Input!$E$4/10,2)</f>
        <v>0.85</v>
      </c>
      <c r="O220" s="750">
        <f>ROUND($F220*(100%-$AA$2)/Input!$E$4/10,2)</f>
        <v>0.15</v>
      </c>
      <c r="P220" s="751">
        <f t="shared" si="144"/>
        <v>1</v>
      </c>
      <c r="Q220" s="750">
        <f t="shared" si="145"/>
        <v>0.129</v>
      </c>
      <c r="R220" s="751">
        <f t="shared" si="146"/>
        <v>1.129</v>
      </c>
      <c r="S220" s="1139">
        <v>0.13800000000000001</v>
      </c>
      <c r="T220" s="779"/>
      <c r="U220" s="1140">
        <f t="shared" si="147"/>
        <v>2074.4894326043641</v>
      </c>
      <c r="V220" s="1140">
        <f t="shared" si="148"/>
        <v>292.8690963676749</v>
      </c>
      <c r="W220" s="1140">
        <f t="shared" si="149"/>
        <v>2367.358528972039</v>
      </c>
      <c r="X220" s="1140">
        <f t="shared" si="150"/>
        <v>336.79946082282618</v>
      </c>
      <c r="Y220" s="1140">
        <f t="shared" si="150"/>
        <v>2777.3752638867836</v>
      </c>
      <c r="AC220" s="414"/>
      <c r="AD220" s="414"/>
      <c r="AE220" s="414"/>
      <c r="AF220" s="414"/>
      <c r="AG220" s="414"/>
      <c r="AH220" s="414"/>
      <c r="AI220" s="414"/>
      <c r="AJ220" s="414"/>
      <c r="AK220" s="414"/>
      <c r="AL220" s="414"/>
      <c r="AM220" s="414"/>
      <c r="AN220" s="414"/>
      <c r="AO220" s="414"/>
      <c r="AP220" s="414"/>
      <c r="AQ220" s="414"/>
      <c r="AR220" s="414"/>
      <c r="AS220" s="414"/>
      <c r="AT220" s="414"/>
      <c r="AU220" s="414"/>
      <c r="AV220" s="414"/>
      <c r="AW220" s="414"/>
      <c r="AX220" s="414"/>
      <c r="AY220" s="414"/>
      <c r="AZ220" s="414"/>
      <c r="BA220" s="414"/>
      <c r="BB220" s="414"/>
      <c r="BC220" s="414"/>
      <c r="BD220" s="414"/>
      <c r="BE220" s="414"/>
      <c r="BF220" s="414"/>
      <c r="BG220" s="414"/>
      <c r="BH220" s="414"/>
      <c r="BI220" s="414"/>
      <c r="BJ220" s="414"/>
      <c r="BK220" s="414"/>
      <c r="BL220" s="414"/>
      <c r="BM220" s="414"/>
      <c r="BN220" s="414"/>
      <c r="BO220" s="414"/>
      <c r="BP220" s="414"/>
      <c r="BQ220" s="414"/>
      <c r="BR220" s="414"/>
      <c r="BS220" s="414"/>
      <c r="BT220" s="414"/>
      <c r="BU220" s="414"/>
      <c r="BV220" s="414"/>
      <c r="BW220" s="414"/>
      <c r="BX220" s="414"/>
      <c r="BY220" s="414"/>
      <c r="BZ220" s="414"/>
      <c r="CA220" s="414"/>
      <c r="CB220" s="414"/>
      <c r="CC220" s="414"/>
      <c r="CD220" s="414"/>
      <c r="CE220" s="414"/>
      <c r="CF220" s="414"/>
      <c r="CG220" s="414"/>
      <c r="CH220" s="414"/>
      <c r="CI220" s="414"/>
      <c r="CJ220" s="414"/>
      <c r="CK220" s="414"/>
    </row>
    <row r="221" spans="1:89" x14ac:dyDescent="0.35">
      <c r="A221" s="415">
        <v>4</v>
      </c>
      <c r="B221" s="482" t="s">
        <v>917</v>
      </c>
      <c r="C221" s="739" t="s">
        <v>0</v>
      </c>
      <c r="D221" s="608">
        <v>0.08</v>
      </c>
      <c r="E221" s="609">
        <f t="shared" si="152"/>
        <v>8135252676.879859</v>
      </c>
      <c r="F221" s="836">
        <f t="shared" si="141"/>
        <v>6508.2021415038871</v>
      </c>
      <c r="G221" s="836">
        <f t="shared" si="142"/>
        <v>898.13189552753647</v>
      </c>
      <c r="H221" s="836">
        <f t="shared" si="143"/>
        <v>7406.3340370314236</v>
      </c>
      <c r="N221" s="750">
        <f>ROUND($F221*$AA$2/Input!$E$4/10,2)</f>
        <v>2.27</v>
      </c>
      <c r="O221" s="750">
        <f>ROUND($F221*(100%-$AA$2)/Input!$E$4/10,2)</f>
        <v>0.4</v>
      </c>
      <c r="P221" s="751">
        <f t="shared" si="144"/>
        <v>2.67</v>
      </c>
      <c r="Q221" s="750">
        <f t="shared" si="145"/>
        <v>0.34439999999999998</v>
      </c>
      <c r="R221" s="751">
        <f t="shared" si="146"/>
        <v>3.0143999999999997</v>
      </c>
      <c r="S221" s="1139">
        <v>0.13800000000000001</v>
      </c>
      <c r="T221" s="779"/>
      <c r="U221" s="1140">
        <f t="shared" si="147"/>
        <v>5531.9718202783042</v>
      </c>
      <c r="V221" s="1140">
        <f t="shared" si="148"/>
        <v>780.9842569804664</v>
      </c>
      <c r="W221" s="1140">
        <f t="shared" si="149"/>
        <v>6312.9560772587702</v>
      </c>
      <c r="X221" s="1140">
        <f t="shared" si="150"/>
        <v>898.13189552753647</v>
      </c>
      <c r="Y221" s="1140">
        <f t="shared" si="150"/>
        <v>7406.3340370314236</v>
      </c>
    </row>
    <row r="222" spans="1:89" hidden="1" x14ac:dyDescent="0.35">
      <c r="A222" s="834" t="s">
        <v>576</v>
      </c>
      <c r="B222" s="610" t="s">
        <v>561</v>
      </c>
      <c r="C222" s="740"/>
      <c r="D222" s="611"/>
      <c r="E222" s="612"/>
      <c r="F222" s="612"/>
      <c r="G222" s="612"/>
      <c r="H222" s="612"/>
      <c r="I222" s="423"/>
      <c r="J222" s="423"/>
      <c r="K222" s="423"/>
      <c r="L222" s="423"/>
      <c r="M222" s="423"/>
      <c r="N222" s="423"/>
      <c r="O222" s="423"/>
      <c r="P222" s="423"/>
      <c r="Q222" s="423"/>
      <c r="R222" s="423"/>
      <c r="S222" s="423"/>
      <c r="T222" s="612"/>
      <c r="U222" s="612"/>
      <c r="V222" s="612"/>
      <c r="X222" s="868">
        <f t="shared" ref="X222:X227" si="153">F222*$AA$2</f>
        <v>0</v>
      </c>
      <c r="Y222" s="868">
        <f t="shared" ref="Y222:Y227" si="154">F222*$AB$2</f>
        <v>0</v>
      </c>
      <c r="Z222" s="868">
        <f t="shared" ref="Z222:Z227" si="155">X222+Y222</f>
        <v>0</v>
      </c>
      <c r="AA222" s="868">
        <f t="shared" ref="AA222:AA227" si="156">G222</f>
        <v>0</v>
      </c>
      <c r="AB222" s="868">
        <f t="shared" ref="AB222:AB227" si="157">H222</f>
        <v>0</v>
      </c>
    </row>
    <row r="223" spans="1:89" ht="24" hidden="1" x14ac:dyDescent="0.35">
      <c r="A223" s="567">
        <v>1</v>
      </c>
      <c r="B223" s="582" t="s">
        <v>707</v>
      </c>
      <c r="C223" s="732" t="s">
        <v>267</v>
      </c>
      <c r="D223" s="835">
        <v>40000</v>
      </c>
      <c r="E223" s="823">
        <v>22</v>
      </c>
      <c r="F223" s="836">
        <f>D223*E223/10^5</f>
        <v>8.8000000000000007</v>
      </c>
      <c r="G223" s="836">
        <f>$F223*$V223</f>
        <v>1.2144000000000001</v>
      </c>
      <c r="H223" s="836">
        <f>F223+G223</f>
        <v>10.0144</v>
      </c>
      <c r="N223" s="750">
        <f>ROUND($F223*$AA$2/Input!$E$4/10,2)</f>
        <v>0</v>
      </c>
      <c r="O223" s="750">
        <f>ROUND($F223*(100%-$AA$2)/Input!$E$4/10,2)</f>
        <v>0</v>
      </c>
      <c r="P223" s="751">
        <f>SUM(N223:O223)</f>
        <v>0</v>
      </c>
      <c r="Q223" s="750">
        <f>N223*$AA$3+$O223*$AB$3</f>
        <v>0</v>
      </c>
      <c r="R223" s="751">
        <f>P223+Q223</f>
        <v>0</v>
      </c>
      <c r="T223" s="419">
        <f>F223/$E$26/10^5</f>
        <v>3.6082136062454903E-7</v>
      </c>
      <c r="U223" s="419">
        <f>H223/$E$26/10^5</f>
        <v>4.106147083907368E-7</v>
      </c>
      <c r="V223" s="599">
        <v>0.13800000000000001</v>
      </c>
      <c r="X223" s="868">
        <f t="shared" si="153"/>
        <v>7.48</v>
      </c>
      <c r="Y223" s="868">
        <f t="shared" si="154"/>
        <v>1.056</v>
      </c>
      <c r="Z223" s="868">
        <f t="shared" si="155"/>
        <v>8.5360000000000014</v>
      </c>
      <c r="AA223" s="868">
        <f t="shared" si="156"/>
        <v>1.2144000000000001</v>
      </c>
      <c r="AB223" s="868">
        <f t="shared" si="157"/>
        <v>10.0144</v>
      </c>
    </row>
    <row r="224" spans="1:89" hidden="1" x14ac:dyDescent="0.35">
      <c r="A224" s="567">
        <v>2</v>
      </c>
      <c r="B224" s="582" t="s">
        <v>720</v>
      </c>
      <c r="C224" s="732" t="s">
        <v>72</v>
      </c>
      <c r="D224" s="835">
        <v>20000000</v>
      </c>
      <c r="E224" s="823">
        <v>2</v>
      </c>
      <c r="F224" s="836">
        <f>D224*E224/10^5</f>
        <v>400</v>
      </c>
      <c r="G224" s="836">
        <f>$F224*$V224</f>
        <v>55.2</v>
      </c>
      <c r="H224" s="836">
        <f>F224+G224</f>
        <v>455.2</v>
      </c>
      <c r="N224" s="750">
        <f>ROUND($F224*$AA$2/Input!$E$4/10,2)</f>
        <v>0.14000000000000001</v>
      </c>
      <c r="O224" s="750">
        <f>ROUND($F224*(100%-$AA$2)/Input!$E$4/10,2)</f>
        <v>0.02</v>
      </c>
      <c r="P224" s="751">
        <f>SUM(N224:O224)</f>
        <v>0.16</v>
      </c>
      <c r="Q224" s="750">
        <f>N224*$AA$3+$O224*$AB$3</f>
        <v>2.0400000000000001E-2</v>
      </c>
      <c r="R224" s="751">
        <f>P224+Q224</f>
        <v>0.1804</v>
      </c>
      <c r="T224" s="419">
        <f>F224/$E$26/10^5</f>
        <v>1.64009709374795E-5</v>
      </c>
      <c r="U224" s="419">
        <f>H224/$E$26/10^5</f>
        <v>1.8664304926851672E-5</v>
      </c>
      <c r="V224" s="599">
        <v>0.13800000000000001</v>
      </c>
      <c r="X224" s="868">
        <f t="shared" si="153"/>
        <v>340</v>
      </c>
      <c r="Y224" s="868">
        <f t="shared" si="154"/>
        <v>48</v>
      </c>
      <c r="Z224" s="868">
        <f t="shared" si="155"/>
        <v>388</v>
      </c>
      <c r="AA224" s="868">
        <f t="shared" si="156"/>
        <v>55.2</v>
      </c>
      <c r="AB224" s="868">
        <f t="shared" si="157"/>
        <v>455.2</v>
      </c>
    </row>
    <row r="225" spans="1:28" ht="24" hidden="1" x14ac:dyDescent="0.35">
      <c r="A225" s="567">
        <v>3</v>
      </c>
      <c r="B225" s="582" t="s">
        <v>823</v>
      </c>
      <c r="C225" s="732" t="s">
        <v>802</v>
      </c>
      <c r="D225" s="835">
        <v>20000000</v>
      </c>
      <c r="E225" s="823">
        <v>1</v>
      </c>
      <c r="F225" s="836">
        <f>D225*E225/10^5</f>
        <v>200</v>
      </c>
      <c r="G225" s="836">
        <f>$F225*$V225</f>
        <v>27.6</v>
      </c>
      <c r="H225" s="836">
        <f>F225+G225</f>
        <v>227.6</v>
      </c>
      <c r="N225" s="750">
        <f>ROUND($F225*$AA$2/Input!$E$4/10,2)</f>
        <v>7.0000000000000007E-2</v>
      </c>
      <c r="O225" s="750">
        <f>ROUND($F225*(100%-$AA$2)/Input!$E$4/10,2)</f>
        <v>0.01</v>
      </c>
      <c r="P225" s="751">
        <f>SUM(N225:O225)</f>
        <v>0.08</v>
      </c>
      <c r="Q225" s="750">
        <f>N225*$AA$3+$O225*$AB$3</f>
        <v>1.0200000000000001E-2</v>
      </c>
      <c r="R225" s="751">
        <f>P225+Q225</f>
        <v>9.0200000000000002E-2</v>
      </c>
      <c r="T225" s="419">
        <f>F225/$E$26/10^5</f>
        <v>8.2004854687397502E-6</v>
      </c>
      <c r="U225" s="419">
        <f>H225/$E$26/10^5</f>
        <v>9.3321524634258359E-6</v>
      </c>
      <c r="V225" s="599">
        <v>0.13800000000000001</v>
      </c>
      <c r="X225" s="868">
        <f t="shared" si="153"/>
        <v>170</v>
      </c>
      <c r="Y225" s="868">
        <f t="shared" si="154"/>
        <v>24</v>
      </c>
      <c r="Z225" s="868">
        <f t="shared" si="155"/>
        <v>194</v>
      </c>
      <c r="AA225" s="868">
        <f t="shared" si="156"/>
        <v>27.6</v>
      </c>
      <c r="AB225" s="868">
        <f t="shared" si="157"/>
        <v>227.6</v>
      </c>
    </row>
    <row r="226" spans="1:28" ht="24" hidden="1" x14ac:dyDescent="0.35">
      <c r="A226" s="567">
        <v>4</v>
      </c>
      <c r="B226" s="582" t="s">
        <v>824</v>
      </c>
      <c r="C226" s="732" t="s">
        <v>802</v>
      </c>
      <c r="D226" s="835">
        <v>2000000</v>
      </c>
      <c r="E226" s="823">
        <v>1</v>
      </c>
      <c r="F226" s="836">
        <f>D226*E226/10^5</f>
        <v>20</v>
      </c>
      <c r="G226" s="836">
        <f>$F226*$V226</f>
        <v>2.7600000000000002</v>
      </c>
      <c r="H226" s="836">
        <f>F226+G226</f>
        <v>22.76</v>
      </c>
      <c r="N226" s="750">
        <f>ROUND($F226*$AA$2/Input!$E$4/10,2)</f>
        <v>0.01</v>
      </c>
      <c r="O226" s="750">
        <f>ROUND($F226*(100%-$AA$2)/Input!$E$4/10,2)</f>
        <v>0</v>
      </c>
      <c r="P226" s="751">
        <f>SUM(N226:O226)</f>
        <v>0.01</v>
      </c>
      <c r="Q226" s="750">
        <f>N226*$AA$3+$O226*$AB$3</f>
        <v>1.1999999999999999E-3</v>
      </c>
      <c r="R226" s="751">
        <f>P226+Q226</f>
        <v>1.12E-2</v>
      </c>
      <c r="T226" s="419">
        <f>F226/$E$26/10^5</f>
        <v>8.2004854687397506E-7</v>
      </c>
      <c r="U226" s="419">
        <f>H226/$E$26/10^5</f>
        <v>9.3321524634258359E-7</v>
      </c>
      <c r="V226" s="599">
        <v>0.13800000000000001</v>
      </c>
      <c r="X226" s="868">
        <f t="shared" si="153"/>
        <v>17</v>
      </c>
      <c r="Y226" s="868">
        <f t="shared" si="154"/>
        <v>2.4</v>
      </c>
      <c r="Z226" s="868">
        <f t="shared" si="155"/>
        <v>19.399999999999999</v>
      </c>
      <c r="AA226" s="868">
        <f t="shared" si="156"/>
        <v>2.7600000000000002</v>
      </c>
      <c r="AB226" s="868">
        <f t="shared" si="157"/>
        <v>22.76</v>
      </c>
    </row>
    <row r="227" spans="1:28" ht="24" hidden="1" x14ac:dyDescent="0.35">
      <c r="A227" s="567">
        <v>5</v>
      </c>
      <c r="B227" s="582" t="s">
        <v>825</v>
      </c>
      <c r="C227" s="732" t="s">
        <v>626</v>
      </c>
      <c r="D227" s="835">
        <v>1000000</v>
      </c>
      <c r="E227" s="823">
        <v>1</v>
      </c>
      <c r="F227" s="836">
        <f>D227*E227/10^5</f>
        <v>10</v>
      </c>
      <c r="G227" s="836">
        <f>$F227*$V227</f>
        <v>1.3800000000000001</v>
      </c>
      <c r="H227" s="836">
        <f>F227+G227</f>
        <v>11.38</v>
      </c>
      <c r="N227" s="750">
        <f>ROUND($F227*$AA$2/Input!$E$4/10,2)</f>
        <v>0</v>
      </c>
      <c r="O227" s="750">
        <f>ROUND($F227*(100%-$AA$2)/Input!$E$4/10,2)</f>
        <v>0</v>
      </c>
      <c r="P227" s="751">
        <f>SUM(N227:O227)</f>
        <v>0</v>
      </c>
      <c r="Q227" s="750">
        <f>N227*$AA$3+$O227*$AB$3</f>
        <v>0</v>
      </c>
      <c r="R227" s="751">
        <f>P227+Q227</f>
        <v>0</v>
      </c>
      <c r="T227" s="419">
        <f>F227/$E$26/10^5</f>
        <v>4.1002427343698753E-7</v>
      </c>
      <c r="U227" s="419">
        <f>H227/$E$26/10^5</f>
        <v>4.6660762317129179E-7</v>
      </c>
      <c r="V227" s="599">
        <v>0.13800000000000001</v>
      </c>
      <c r="X227" s="868">
        <f t="shared" si="153"/>
        <v>8.5</v>
      </c>
      <c r="Y227" s="868">
        <f t="shared" si="154"/>
        <v>1.2</v>
      </c>
      <c r="Z227" s="868">
        <f t="shared" si="155"/>
        <v>9.6999999999999993</v>
      </c>
      <c r="AA227" s="868">
        <f t="shared" si="156"/>
        <v>1.3800000000000001</v>
      </c>
      <c r="AB227" s="868">
        <f t="shared" si="157"/>
        <v>11.38</v>
      </c>
    </row>
  </sheetData>
  <dataConsolidate link="1"/>
  <phoneticPr fontId="56" type="noConversion"/>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D4790-690F-403C-B1ED-6EF22ABC2D6E}">
  <dimension ref="A1:P206"/>
  <sheetViews>
    <sheetView showGridLines="0" zoomScale="80" zoomScaleNormal="110" workbookViewId="0">
      <selection activeCell="B18" sqref="B18"/>
    </sheetView>
  </sheetViews>
  <sheetFormatPr defaultColWidth="27" defaultRowHeight="12" outlineLevelRow="1" x14ac:dyDescent="0.35"/>
  <cols>
    <col min="1" max="1" width="7.453125" style="69" customWidth="1"/>
    <col min="2" max="2" width="61.6328125" style="69" customWidth="1"/>
    <col min="3" max="3" width="24.81640625" style="69" bestFit="1" customWidth="1"/>
    <col min="4" max="7" width="15.81640625" style="69" customWidth="1"/>
    <col min="8" max="8" width="21.54296875" style="69" bestFit="1" customWidth="1"/>
    <col min="9" max="9" width="8.26953125" style="69" customWidth="1"/>
    <col min="10" max="16384" width="27" style="69"/>
  </cols>
  <sheetData>
    <row r="1" spans="1:12" x14ac:dyDescent="0.35">
      <c r="A1" s="517" t="s">
        <v>773</v>
      </c>
      <c r="B1" s="93"/>
      <c r="C1" s="518"/>
      <c r="D1" s="93"/>
      <c r="E1" s="93"/>
      <c r="F1" s="93"/>
      <c r="G1" s="93"/>
      <c r="H1" s="93"/>
    </row>
    <row r="2" spans="1:12" x14ac:dyDescent="0.35">
      <c r="A2" s="519" t="s">
        <v>448</v>
      </c>
      <c r="B2" s="519" t="s">
        <v>15</v>
      </c>
      <c r="C2" s="520" t="s">
        <v>865</v>
      </c>
      <c r="D2" s="520" t="s">
        <v>290</v>
      </c>
      <c r="E2" s="520" t="s">
        <v>864</v>
      </c>
      <c r="F2" s="520" t="s">
        <v>807</v>
      </c>
      <c r="G2" s="520" t="s">
        <v>120</v>
      </c>
      <c r="H2" s="520" t="s">
        <v>798</v>
      </c>
    </row>
    <row r="3" spans="1:12" s="455" customFormat="1" outlineLevel="1" x14ac:dyDescent="0.35">
      <c r="A3" s="521"/>
      <c r="B3" s="522" t="s">
        <v>808</v>
      </c>
      <c r="C3" s="523"/>
      <c r="D3" s="523"/>
      <c r="E3" s="523"/>
      <c r="F3" s="521" t="s">
        <v>743</v>
      </c>
      <c r="G3" s="521" t="s">
        <v>743</v>
      </c>
      <c r="H3" s="521" t="s">
        <v>743</v>
      </c>
      <c r="J3" s="519" t="s">
        <v>923</v>
      </c>
      <c r="K3" s="519" t="s">
        <v>583</v>
      </c>
      <c r="L3" s="520" t="s">
        <v>807</v>
      </c>
    </row>
    <row r="4" spans="1:12" s="455" customFormat="1" outlineLevel="1" x14ac:dyDescent="0.35">
      <c r="A4" s="333">
        <v>1</v>
      </c>
      <c r="B4" s="512" t="s">
        <v>738</v>
      </c>
      <c r="C4" s="333" t="s">
        <v>863</v>
      </c>
      <c r="D4" s="333">
        <f>Input!D151</f>
        <v>4</v>
      </c>
      <c r="E4" s="393">
        <f>$F114/$D4</f>
        <v>1321.9839999999999</v>
      </c>
      <c r="F4" s="393">
        <f t="shared" ref="F4:F12" si="0">D4*E4</f>
        <v>5287.9359999999997</v>
      </c>
      <c r="G4" s="513">
        <f>F4*Input!$D$167</f>
        <v>951.8284799999999</v>
      </c>
      <c r="H4" s="912">
        <f t="shared" ref="H4:H12" si="1">F4+G4</f>
        <v>6239.7644799999998</v>
      </c>
      <c r="I4" s="511"/>
      <c r="J4" s="879">
        <f>F4*BOQ_G!$AA$2</f>
        <v>4494.7455999999993</v>
      </c>
      <c r="K4" s="879">
        <f>F4*BOQ_G!$AB$2</f>
        <v>634.5523199999999</v>
      </c>
      <c r="L4" s="879">
        <f>SUM(J4:K4)</f>
        <v>5129.2979199999991</v>
      </c>
    </row>
    <row r="5" spans="1:12" s="455" customFormat="1" outlineLevel="1" x14ac:dyDescent="0.35">
      <c r="A5" s="333">
        <v>2</v>
      </c>
      <c r="B5" s="512" t="s">
        <v>282</v>
      </c>
      <c r="C5" s="333" t="s">
        <v>863</v>
      </c>
      <c r="D5" s="333">
        <f>Input!D152</f>
        <v>12</v>
      </c>
      <c r="E5" s="393">
        <f>SUM($F116:$F127)/$D5</f>
        <v>20.534000000000002</v>
      </c>
      <c r="F5" s="364">
        <f t="shared" si="0"/>
        <v>246.40800000000002</v>
      </c>
      <c r="G5" s="513">
        <f>F5*Input!$D$167</f>
        <v>44.353439999999999</v>
      </c>
      <c r="H5" s="550">
        <f t="shared" si="1"/>
        <v>290.76143999999999</v>
      </c>
      <c r="J5" s="879">
        <f>F5*BOQ_G!$AA$2</f>
        <v>209.4468</v>
      </c>
      <c r="K5" s="879">
        <f>F5*BOQ_G!$AB$2</f>
        <v>29.568960000000001</v>
      </c>
      <c r="L5" s="879">
        <f t="shared" ref="L5:L40" si="2">SUM(J5:K5)</f>
        <v>239.01576</v>
      </c>
    </row>
    <row r="6" spans="1:12" s="455" customFormat="1" outlineLevel="1" x14ac:dyDescent="0.35">
      <c r="A6" s="333">
        <v>3</v>
      </c>
      <c r="B6" s="512" t="s">
        <v>742</v>
      </c>
      <c r="C6" s="333" t="s">
        <v>863</v>
      </c>
      <c r="D6" s="333">
        <f>Input!D153</f>
        <v>8</v>
      </c>
      <c r="E6" s="393">
        <f>SUM($F130:$F136)/$D6</f>
        <v>13.023125</v>
      </c>
      <c r="F6" s="364">
        <f t="shared" si="0"/>
        <v>104.185</v>
      </c>
      <c r="G6" s="513">
        <f>F6*Input!$D$167</f>
        <v>18.753299999999999</v>
      </c>
      <c r="H6" s="550">
        <f t="shared" si="1"/>
        <v>122.9383</v>
      </c>
      <c r="J6" s="879">
        <f>F6*BOQ_G!$AA$2</f>
        <v>88.557249999999996</v>
      </c>
      <c r="K6" s="879">
        <f>F6*BOQ_G!$AB$2</f>
        <v>12.5022</v>
      </c>
      <c r="L6" s="879">
        <f t="shared" si="2"/>
        <v>101.05945</v>
      </c>
    </row>
    <row r="7" spans="1:12" s="455" customFormat="1" outlineLevel="1" x14ac:dyDescent="0.35">
      <c r="A7" s="333">
        <v>4</v>
      </c>
      <c r="B7" s="512" t="s">
        <v>283</v>
      </c>
      <c r="C7" s="333" t="s">
        <v>863</v>
      </c>
      <c r="D7" s="333">
        <f>Input!D154</f>
        <v>4</v>
      </c>
      <c r="E7" s="393">
        <f>SUM(F139,F141,F143,F145)/$D7</f>
        <v>19.829999999999998</v>
      </c>
      <c r="F7" s="364">
        <f t="shared" si="0"/>
        <v>79.319999999999993</v>
      </c>
      <c r="G7" s="513">
        <f>F7*Input!$D$167</f>
        <v>14.277599999999998</v>
      </c>
      <c r="H7" s="550">
        <f t="shared" si="1"/>
        <v>93.597599999999986</v>
      </c>
      <c r="J7" s="879">
        <f>F7*BOQ_G!$AA$2</f>
        <v>67.421999999999997</v>
      </c>
      <c r="K7" s="879">
        <f>F7*BOQ_G!$AB$2</f>
        <v>9.518399999999998</v>
      </c>
      <c r="L7" s="879">
        <f t="shared" si="2"/>
        <v>76.940399999999997</v>
      </c>
    </row>
    <row r="8" spans="1:12" s="455" customFormat="1" outlineLevel="1" x14ac:dyDescent="0.35">
      <c r="A8" s="333">
        <v>5</v>
      </c>
      <c r="B8" s="512" t="s">
        <v>741</v>
      </c>
      <c r="C8" s="333" t="s">
        <v>866</v>
      </c>
      <c r="D8" s="333">
        <f>Input!D155</f>
        <v>60</v>
      </c>
      <c r="E8" s="393">
        <f>SUM(F149,F151,F153,F155,F157)/$D8</f>
        <v>20.5915</v>
      </c>
      <c r="F8" s="393">
        <f t="shared" si="0"/>
        <v>1235.49</v>
      </c>
      <c r="G8" s="513">
        <f>F8*Input!$D$167</f>
        <v>222.38819999999998</v>
      </c>
      <c r="H8" s="912">
        <f t="shared" si="1"/>
        <v>1457.8782000000001</v>
      </c>
      <c r="J8" s="879">
        <f>F8*BOQ_G!$AA$2</f>
        <v>1050.1665</v>
      </c>
      <c r="K8" s="879">
        <f>F8*BOQ_G!$AB$2</f>
        <v>148.25880000000001</v>
      </c>
      <c r="L8" s="879">
        <f t="shared" si="2"/>
        <v>1198.4253000000001</v>
      </c>
    </row>
    <row r="9" spans="1:12" s="455" customFormat="1" outlineLevel="1" x14ac:dyDescent="0.35">
      <c r="A9" s="333">
        <v>6</v>
      </c>
      <c r="B9" s="512" t="s">
        <v>284</v>
      </c>
      <c r="C9" s="333" t="s">
        <v>863</v>
      </c>
      <c r="D9" s="333">
        <f>Input!D156</f>
        <v>4</v>
      </c>
      <c r="E9" s="393">
        <f>SUM(F160,F162,F164,F166,F168)/SUM($D$9:$D$11)</f>
        <v>41.547999999999995</v>
      </c>
      <c r="F9" s="364">
        <f t="shared" si="0"/>
        <v>166.19199999999998</v>
      </c>
      <c r="G9" s="513">
        <f>F9*Input!$D$167</f>
        <v>29.914559999999994</v>
      </c>
      <c r="H9" s="550">
        <f t="shared" si="1"/>
        <v>196.10655999999997</v>
      </c>
      <c r="J9" s="879">
        <f>F9*BOQ_G!$AA$2</f>
        <v>141.26319999999998</v>
      </c>
      <c r="K9" s="879">
        <f>F9*BOQ_G!$AB$2</f>
        <v>19.943039999999996</v>
      </c>
      <c r="L9" s="879">
        <f t="shared" si="2"/>
        <v>161.20623999999998</v>
      </c>
    </row>
    <row r="10" spans="1:12" s="455" customFormat="1" outlineLevel="1" x14ac:dyDescent="0.35">
      <c r="A10" s="333">
        <v>7</v>
      </c>
      <c r="B10" s="512" t="s">
        <v>740</v>
      </c>
      <c r="C10" s="333" t="s">
        <v>863</v>
      </c>
      <c r="D10" s="333">
        <f>Input!D157</f>
        <v>3</v>
      </c>
      <c r="E10" s="393">
        <f>SUM(F160,F162,F164,F166,F168)/SUM($D$9:$D$11)</f>
        <v>41.547999999999995</v>
      </c>
      <c r="F10" s="364">
        <f t="shared" si="0"/>
        <v>124.64399999999998</v>
      </c>
      <c r="G10" s="513">
        <f>F10*Input!$D$167</f>
        <v>22.435919999999996</v>
      </c>
      <c r="H10" s="550">
        <f t="shared" si="1"/>
        <v>147.07991999999996</v>
      </c>
      <c r="J10" s="879">
        <f>F10*BOQ_G!$AA$2</f>
        <v>105.94739999999997</v>
      </c>
      <c r="K10" s="879">
        <f>F10*BOQ_G!$AB$2</f>
        <v>14.957279999999997</v>
      </c>
      <c r="L10" s="879">
        <f t="shared" si="2"/>
        <v>120.90467999999997</v>
      </c>
    </row>
    <row r="11" spans="1:12" s="455" customFormat="1" outlineLevel="1" x14ac:dyDescent="0.35">
      <c r="A11" s="333">
        <v>8</v>
      </c>
      <c r="B11" s="512" t="s">
        <v>739</v>
      </c>
      <c r="C11" s="333" t="s">
        <v>863</v>
      </c>
      <c r="D11" s="333">
        <f>Input!D158</f>
        <v>1</v>
      </c>
      <c r="E11" s="393">
        <f>SUM(F160,F162,F164,F166,F168)/SUM($D$9:$D$11)</f>
        <v>41.547999999999995</v>
      </c>
      <c r="F11" s="364">
        <f t="shared" si="0"/>
        <v>41.547999999999995</v>
      </c>
      <c r="G11" s="513">
        <f>F11*Input!$D$167</f>
        <v>7.4786399999999986</v>
      </c>
      <c r="H11" s="550">
        <f t="shared" si="1"/>
        <v>49.026639999999993</v>
      </c>
      <c r="J11" s="879">
        <f>F11*BOQ_G!$AA$2</f>
        <v>35.315799999999996</v>
      </c>
      <c r="K11" s="879">
        <f>F11*BOQ_G!$AB$2</f>
        <v>4.9857599999999991</v>
      </c>
      <c r="L11" s="879">
        <f t="shared" si="2"/>
        <v>40.301559999999995</v>
      </c>
    </row>
    <row r="12" spans="1:12" s="455" customFormat="1" outlineLevel="1" x14ac:dyDescent="0.35">
      <c r="A12" s="333">
        <v>9</v>
      </c>
      <c r="B12" s="512" t="s">
        <v>286</v>
      </c>
      <c r="C12" s="333" t="s">
        <v>863</v>
      </c>
      <c r="D12" s="333">
        <f>Input!D159</f>
        <v>1</v>
      </c>
      <c r="E12" s="393">
        <f>SUM(F171,F173,F175,F177:F181,F183:F184)/$D12</f>
        <v>408.00999999999993</v>
      </c>
      <c r="F12" s="364">
        <f t="shared" si="0"/>
        <v>408.00999999999993</v>
      </c>
      <c r="G12" s="513">
        <f>F12*Input!$D$167</f>
        <v>73.441799999999986</v>
      </c>
      <c r="H12" s="550">
        <f t="shared" si="1"/>
        <v>481.45179999999993</v>
      </c>
      <c r="J12" s="879">
        <f>F12*BOQ_G!$AA$2</f>
        <v>346.80849999999992</v>
      </c>
      <c r="K12" s="879">
        <f>F12*BOQ_G!$AB$2</f>
        <v>48.961199999999991</v>
      </c>
      <c r="L12" s="879">
        <f t="shared" si="2"/>
        <v>395.76969999999994</v>
      </c>
    </row>
    <row r="13" spans="1:12" s="70" customFormat="1" x14ac:dyDescent="0.35">
      <c r="A13" s="524" t="s">
        <v>268</v>
      </c>
      <c r="B13" s="525" t="s">
        <v>445</v>
      </c>
      <c r="C13" s="526" t="s">
        <v>964</v>
      </c>
      <c r="D13" s="538">
        <v>320</v>
      </c>
      <c r="E13" s="551">
        <f>IF(Input!$E$8="Yes",F13/D13,0)</f>
        <v>24.042915624999999</v>
      </c>
      <c r="F13" s="539">
        <f>IF(Input!$E$8="Yes",SUM(F4:F12),"")</f>
        <v>7693.7330000000002</v>
      </c>
      <c r="G13" s="538">
        <f>IF(Input!$E$8="Yes",SUM(G4:G12),"")</f>
        <v>1384.8719399999995</v>
      </c>
      <c r="H13" s="538">
        <f>IF(Input!$E$8="Yes",SUM(H4:H12),"")</f>
        <v>9078.6049400000011</v>
      </c>
      <c r="J13" s="1152">
        <f>SUM(J4:J12)</f>
        <v>6539.6730499999994</v>
      </c>
      <c r="K13" s="1152">
        <f>SUM(K4:K12)</f>
        <v>923.24795999999992</v>
      </c>
      <c r="L13" s="1152">
        <f t="shared" si="2"/>
        <v>7462.9210099999991</v>
      </c>
    </row>
    <row r="14" spans="1:12" s="455" customFormat="1" outlineLevel="1" x14ac:dyDescent="0.35">
      <c r="A14" s="521"/>
      <c r="B14" s="522" t="s">
        <v>271</v>
      </c>
      <c r="C14" s="523"/>
      <c r="D14" s="533"/>
      <c r="E14" s="533"/>
      <c r="F14" s="533"/>
      <c r="G14" s="533"/>
      <c r="H14" s="533"/>
      <c r="J14" s="1155"/>
      <c r="K14" s="1154"/>
      <c r="L14" s="1155"/>
    </row>
    <row r="15" spans="1:12" s="455" customFormat="1" outlineLevel="1" x14ac:dyDescent="0.35">
      <c r="A15" s="435"/>
      <c r="B15" s="529" t="s">
        <v>338</v>
      </c>
      <c r="C15" s="529"/>
      <c r="D15" s="436"/>
      <c r="E15" s="540"/>
      <c r="F15" s="540"/>
      <c r="G15" s="540"/>
      <c r="H15" s="540"/>
      <c r="J15" s="1156"/>
      <c r="K15" s="1157"/>
      <c r="L15" s="1156"/>
    </row>
    <row r="16" spans="1:12" s="455" customFormat="1" outlineLevel="1" x14ac:dyDescent="0.35">
      <c r="A16" s="333">
        <v>1</v>
      </c>
      <c r="B16" s="460" t="s">
        <v>339</v>
      </c>
      <c r="C16" s="41" t="s">
        <v>867</v>
      </c>
      <c r="D16" s="96">
        <f>Input!$D$118</f>
        <v>4</v>
      </c>
      <c r="E16" s="541"/>
      <c r="F16" s="534">
        <f>SUM(F45:F48)</f>
        <v>165.3279264</v>
      </c>
      <c r="G16" s="392">
        <f>F16*Input!$E$167</f>
        <v>29.759026751999997</v>
      </c>
      <c r="H16" s="463">
        <f>F16+G16</f>
        <v>195.08695315199998</v>
      </c>
      <c r="J16" s="879">
        <f>F16*BOQ_G!$AA$2</f>
        <v>140.52873743999999</v>
      </c>
      <c r="K16" s="879">
        <f>F16*BOQ_G!$AB$2</f>
        <v>19.839351168</v>
      </c>
      <c r="L16" s="879">
        <f t="shared" si="2"/>
        <v>160.36808860799999</v>
      </c>
    </row>
    <row r="17" spans="1:16" s="455" customFormat="1" outlineLevel="1" x14ac:dyDescent="0.35">
      <c r="A17" s="333">
        <v>2</v>
      </c>
      <c r="B17" s="460" t="s">
        <v>340</v>
      </c>
      <c r="C17" s="41" t="s">
        <v>867</v>
      </c>
      <c r="D17" s="96">
        <f>Input!$D$118</f>
        <v>4</v>
      </c>
      <c r="E17" s="541"/>
      <c r="F17" s="534">
        <f>SUM(F51,F53,F56:F65)</f>
        <v>481.45850000000007</v>
      </c>
      <c r="G17" s="392">
        <f>F17*Input!$E$167</f>
        <v>86.662530000000004</v>
      </c>
      <c r="H17" s="463">
        <f>F17+G17</f>
        <v>568.12103000000002</v>
      </c>
      <c r="J17" s="879">
        <f>F17*BOQ_G!$AA$2</f>
        <v>409.23972500000008</v>
      </c>
      <c r="K17" s="879">
        <f>F17*BOQ_G!$AB$2</f>
        <v>57.775020000000005</v>
      </c>
      <c r="L17" s="879">
        <f t="shared" si="2"/>
        <v>467.01474500000006</v>
      </c>
    </row>
    <row r="18" spans="1:16" s="455" customFormat="1" outlineLevel="1" x14ac:dyDescent="0.35">
      <c r="A18" s="333">
        <v>3</v>
      </c>
      <c r="B18" s="460" t="s">
        <v>356</v>
      </c>
      <c r="C18" s="41" t="s">
        <v>867</v>
      </c>
      <c r="D18" s="96">
        <f>Input!$D$118</f>
        <v>4</v>
      </c>
      <c r="E18" s="541"/>
      <c r="F18" s="534">
        <f>SUM(F68)</f>
        <v>15.8712</v>
      </c>
      <c r="G18" s="392">
        <f>F18*Input!$E$167</f>
        <v>2.8568159999999998</v>
      </c>
      <c r="H18" s="463">
        <f>F18+G18</f>
        <v>18.728016</v>
      </c>
      <c r="J18" s="879">
        <f>F18*BOQ_G!$AA$2</f>
        <v>13.49052</v>
      </c>
      <c r="K18" s="879">
        <f>F18*BOQ_G!$AB$2</f>
        <v>1.904544</v>
      </c>
      <c r="L18" s="879">
        <f t="shared" si="2"/>
        <v>15.395064</v>
      </c>
    </row>
    <row r="19" spans="1:16" s="455" customFormat="1" outlineLevel="1" x14ac:dyDescent="0.35">
      <c r="A19" s="333">
        <v>4</v>
      </c>
      <c r="B19" s="460" t="s">
        <v>360</v>
      </c>
      <c r="C19" s="41" t="s">
        <v>867</v>
      </c>
      <c r="D19" s="96">
        <f>Input!$D$118</f>
        <v>4</v>
      </c>
      <c r="E19" s="541"/>
      <c r="F19" s="534">
        <f>F70</f>
        <v>1.6128</v>
      </c>
      <c r="G19" s="392">
        <f>F19*Input!$E$167</f>
        <v>0.29030400000000001</v>
      </c>
      <c r="H19" s="463">
        <f>F19+G19</f>
        <v>1.9031039999999999</v>
      </c>
      <c r="J19" s="879">
        <f>F19*BOQ_G!$AA$2</f>
        <v>1.3708799999999999</v>
      </c>
      <c r="K19" s="879">
        <f>F19*BOQ_G!$AB$2</f>
        <v>0.19353599999999999</v>
      </c>
      <c r="L19" s="879">
        <f t="shared" si="2"/>
        <v>1.5644159999999998</v>
      </c>
    </row>
    <row r="20" spans="1:16" s="455" customFormat="1" outlineLevel="1" x14ac:dyDescent="0.35">
      <c r="A20" s="333">
        <v>5</v>
      </c>
      <c r="B20" s="460" t="s">
        <v>362</v>
      </c>
      <c r="C20" s="41" t="s">
        <v>867</v>
      </c>
      <c r="D20" s="96">
        <f>Input!$D$118</f>
        <v>4</v>
      </c>
      <c r="E20" s="541"/>
      <c r="F20" s="534">
        <f>SUM(F72:F81)</f>
        <v>1.5394285000000001</v>
      </c>
      <c r="G20" s="392">
        <f>F20*Input!$E$167</f>
        <v>0.27709713000000002</v>
      </c>
      <c r="H20" s="463">
        <f>F20+G20</f>
        <v>1.8165256300000001</v>
      </c>
      <c r="J20" s="879">
        <f>F20*BOQ_G!$AA$2</f>
        <v>1.3085142250000001</v>
      </c>
      <c r="K20" s="879">
        <f>F20*BOQ_G!$AB$2</f>
        <v>0.18473142000000001</v>
      </c>
      <c r="L20" s="879">
        <f t="shared" si="2"/>
        <v>1.4932456450000002</v>
      </c>
    </row>
    <row r="21" spans="1:16" s="455" customFormat="1" outlineLevel="1" x14ac:dyDescent="0.35">
      <c r="A21" s="527"/>
      <c r="B21" s="528" t="s">
        <v>799</v>
      </c>
      <c r="C21" s="528"/>
      <c r="D21" s="536"/>
      <c r="E21" s="559"/>
      <c r="F21" s="543"/>
      <c r="G21" s="559"/>
      <c r="H21" s="559"/>
      <c r="J21" s="1153"/>
      <c r="K21" s="1153"/>
      <c r="L21" s="1153"/>
    </row>
    <row r="22" spans="1:16" s="455" customFormat="1" outlineLevel="1" x14ac:dyDescent="0.35">
      <c r="A22" s="333">
        <v>1</v>
      </c>
      <c r="B22" s="460" t="s">
        <v>367</v>
      </c>
      <c r="C22" s="41" t="s">
        <v>867</v>
      </c>
      <c r="D22" s="96"/>
      <c r="E22" s="541"/>
      <c r="F22" s="534">
        <f>SUM(F84:F86)</f>
        <v>2.2320000000000002</v>
      </c>
      <c r="G22" s="392">
        <f>F22*Input!$E$167</f>
        <v>0.40176000000000001</v>
      </c>
      <c r="H22" s="463">
        <f t="shared" ref="H22:H28" si="3">F22+G22</f>
        <v>2.6337600000000001</v>
      </c>
      <c r="J22" s="879">
        <f>F22*BOQ_G!$AA$2</f>
        <v>1.8972000000000002</v>
      </c>
      <c r="K22" s="879">
        <f>F22*BOQ_G!$AB$2</f>
        <v>0.26784000000000002</v>
      </c>
      <c r="L22" s="879">
        <f t="shared" si="2"/>
        <v>2.1650400000000003</v>
      </c>
    </row>
    <row r="23" spans="1:16" s="455" customFormat="1" outlineLevel="1" x14ac:dyDescent="0.35">
      <c r="A23" s="333">
        <v>2</v>
      </c>
      <c r="B23" s="460" t="s">
        <v>726</v>
      </c>
      <c r="C23" s="41" t="s">
        <v>867</v>
      </c>
      <c r="D23" s="96"/>
      <c r="E23" s="541"/>
      <c r="F23" s="534">
        <f>SUM(F88:F94)</f>
        <v>160.01380799999998</v>
      </c>
      <c r="G23" s="392">
        <f>F23*Input!$E$167</f>
        <v>28.802485439999995</v>
      </c>
      <c r="H23" s="463">
        <f t="shared" si="3"/>
        <v>188.81629343999998</v>
      </c>
      <c r="J23" s="879">
        <f>F23*BOQ_G!$AA$2</f>
        <v>136.01173679999999</v>
      </c>
      <c r="K23" s="879">
        <f>F23*BOQ_G!$AB$2</f>
        <v>19.201656959999998</v>
      </c>
      <c r="L23" s="879">
        <f t="shared" si="2"/>
        <v>155.21339376</v>
      </c>
    </row>
    <row r="24" spans="1:16" s="455" customFormat="1" outlineLevel="1" x14ac:dyDescent="0.35">
      <c r="A24" s="333">
        <v>3</v>
      </c>
      <c r="B24" s="460" t="s">
        <v>374</v>
      </c>
      <c r="C24" s="41" t="s">
        <v>867</v>
      </c>
      <c r="D24" s="96"/>
      <c r="E24" s="541"/>
      <c r="F24" s="534">
        <f>F96+F97</f>
        <v>31.76</v>
      </c>
      <c r="G24" s="392">
        <f>F24*Input!$E$167</f>
        <v>5.7168000000000001</v>
      </c>
      <c r="H24" s="463">
        <f t="shared" si="3"/>
        <v>37.476800000000004</v>
      </c>
      <c r="J24" s="879">
        <f>F24*BOQ_G!$AA$2</f>
        <v>26.996000000000002</v>
      </c>
      <c r="K24" s="879">
        <f>F24*BOQ_G!$AB$2</f>
        <v>3.8111999999999999</v>
      </c>
      <c r="L24" s="879">
        <f t="shared" si="2"/>
        <v>30.807200000000002</v>
      </c>
    </row>
    <row r="25" spans="1:16" s="455" customFormat="1" outlineLevel="1" x14ac:dyDescent="0.35">
      <c r="A25" s="333">
        <v>4</v>
      </c>
      <c r="B25" s="460" t="s">
        <v>377</v>
      </c>
      <c r="C25" s="41" t="s">
        <v>867</v>
      </c>
      <c r="D25" s="96"/>
      <c r="E25" s="541"/>
      <c r="F25" s="534">
        <f>SUM(F99)</f>
        <v>0.84</v>
      </c>
      <c r="G25" s="392">
        <f>F25*Input!$E$167</f>
        <v>0.1512</v>
      </c>
      <c r="H25" s="463">
        <f t="shared" si="3"/>
        <v>0.99119999999999997</v>
      </c>
      <c r="J25" s="879">
        <f>F25*BOQ_G!$AA$2</f>
        <v>0.71399999999999997</v>
      </c>
      <c r="K25" s="879">
        <f>F25*BOQ_G!$AB$2</f>
        <v>0.10079999999999999</v>
      </c>
      <c r="L25" s="879">
        <f t="shared" si="2"/>
        <v>0.81479999999999997</v>
      </c>
    </row>
    <row r="26" spans="1:16" s="455" customFormat="1" outlineLevel="1" x14ac:dyDescent="0.35">
      <c r="A26" s="333">
        <v>5</v>
      </c>
      <c r="B26" s="459" t="s">
        <v>379</v>
      </c>
      <c r="C26" s="41" t="s">
        <v>867</v>
      </c>
      <c r="D26" s="96"/>
      <c r="E26" s="541"/>
      <c r="F26" s="534">
        <f>SUM(F101:F104)</f>
        <v>106.8</v>
      </c>
      <c r="G26" s="392">
        <f>F26*Input!$E$167</f>
        <v>19.224</v>
      </c>
      <c r="H26" s="463">
        <f t="shared" si="3"/>
        <v>126.024</v>
      </c>
      <c r="J26" s="879">
        <f>F26*BOQ_G!$AA$2</f>
        <v>90.78</v>
      </c>
      <c r="K26" s="879">
        <f>F26*BOQ_G!$AB$2</f>
        <v>12.815999999999999</v>
      </c>
      <c r="L26" s="879">
        <f t="shared" si="2"/>
        <v>103.596</v>
      </c>
    </row>
    <row r="27" spans="1:16" s="455" customFormat="1" outlineLevel="1" x14ac:dyDescent="0.35">
      <c r="A27" s="333">
        <v>6</v>
      </c>
      <c r="B27" s="459" t="s">
        <v>278</v>
      </c>
      <c r="C27" s="41" t="s">
        <v>867</v>
      </c>
      <c r="D27" s="96"/>
      <c r="E27" s="541"/>
      <c r="F27" s="534">
        <f>F106</f>
        <v>33.290492745000009</v>
      </c>
      <c r="G27" s="392">
        <f>F27*Input!$E$167</f>
        <v>5.9922886941000018</v>
      </c>
      <c r="H27" s="463">
        <f t="shared" si="3"/>
        <v>39.282781439100013</v>
      </c>
      <c r="J27" s="879">
        <f>F27*BOQ_G!$AA$2</f>
        <v>28.296918833250007</v>
      </c>
      <c r="K27" s="879">
        <f>F27*BOQ_G!$AB$2</f>
        <v>3.9948591294000009</v>
      </c>
      <c r="L27" s="879">
        <f t="shared" si="2"/>
        <v>32.291777962650009</v>
      </c>
    </row>
    <row r="28" spans="1:16" s="455" customFormat="1" outlineLevel="1" x14ac:dyDescent="0.35">
      <c r="A28" s="333">
        <v>7</v>
      </c>
      <c r="B28" s="459" t="s">
        <v>385</v>
      </c>
      <c r="C28" s="41" t="s">
        <v>867</v>
      </c>
      <c r="D28" s="96"/>
      <c r="E28" s="541"/>
      <c r="F28" s="534">
        <f>F107+F108</f>
        <v>130.09700023385005</v>
      </c>
      <c r="G28" s="392">
        <f>F28*Input!$E$167</f>
        <v>23.417460042093008</v>
      </c>
      <c r="H28" s="463">
        <f t="shared" si="3"/>
        <v>153.51446027594307</v>
      </c>
      <c r="J28" s="879">
        <f>F28*BOQ_G!$AA$2</f>
        <v>110.58245019877255</v>
      </c>
      <c r="K28" s="879">
        <f>F28*BOQ_G!$AB$2</f>
        <v>15.611640028062006</v>
      </c>
      <c r="L28" s="879">
        <f t="shared" si="2"/>
        <v>126.19409022683456</v>
      </c>
    </row>
    <row r="29" spans="1:16" s="70" customFormat="1" x14ac:dyDescent="0.35">
      <c r="A29" s="527" t="s">
        <v>270</v>
      </c>
      <c r="B29" s="528" t="s">
        <v>832</v>
      </c>
      <c r="C29" s="528"/>
      <c r="D29" s="543">
        <v>1</v>
      </c>
      <c r="E29" s="551">
        <f>IF(Input!$E$8="Yes",F29/D29,"")</f>
        <v>1130.8431558788502</v>
      </c>
      <c r="F29" s="535">
        <f>IF(Input!$E$8="Yes",SUM(F16:F28),"")</f>
        <v>1130.8431558788502</v>
      </c>
      <c r="G29" s="543">
        <f>IF(Input!$E$8="Yes",SUM(G16:G28),"")</f>
        <v>203.55176805819301</v>
      </c>
      <c r="H29" s="535">
        <f>IF(Input!$E$8="Yes",SUM(H16:H28),"")</f>
        <v>1334.3949239370431</v>
      </c>
      <c r="J29" s="1152">
        <f>SUM(J16:J28)</f>
        <v>961.2166824970227</v>
      </c>
      <c r="K29" s="1152">
        <f>SUM(K16:K28)</f>
        <v>135.70117870546201</v>
      </c>
      <c r="L29" s="1152">
        <f t="shared" si="2"/>
        <v>1096.9178612024848</v>
      </c>
    </row>
    <row r="30" spans="1:16" s="455" customFormat="1" outlineLevel="1" x14ac:dyDescent="0.35">
      <c r="A30" s="521"/>
      <c r="B30" s="522" t="s">
        <v>810</v>
      </c>
      <c r="C30" s="523"/>
      <c r="D30" s="533"/>
      <c r="E30" s="533"/>
      <c r="F30" s="533"/>
      <c r="G30" s="533"/>
      <c r="H30" s="533"/>
      <c r="I30" s="70"/>
      <c r="J30" s="1155"/>
      <c r="K30" s="1155"/>
      <c r="L30" s="1155"/>
    </row>
    <row r="31" spans="1:16" s="455" customFormat="1" outlineLevel="1" x14ac:dyDescent="0.35">
      <c r="A31" s="333">
        <v>1</v>
      </c>
      <c r="B31" s="512" t="s">
        <v>285</v>
      </c>
      <c r="C31" s="333" t="s">
        <v>867</v>
      </c>
      <c r="D31" s="463">
        <f>Input!D161</f>
        <v>2</v>
      </c>
      <c r="E31" s="534">
        <f>SUM(F190,F192,F194,F196,F198)/$D31</f>
        <v>42.777999999999999</v>
      </c>
      <c r="F31" s="534">
        <f>D31*E31</f>
        <v>85.555999999999997</v>
      </c>
      <c r="G31" s="463">
        <f>F31*Input!$F$167</f>
        <v>15.400079999999999</v>
      </c>
      <c r="H31" s="463">
        <f>F31+G31</f>
        <v>100.95608</v>
      </c>
      <c r="J31" s="879">
        <f>F31*BOQ_G!$AA$2</f>
        <v>72.7226</v>
      </c>
      <c r="K31" s="879">
        <f>F31*BOQ_G!$AB$2</f>
        <v>10.266719999999999</v>
      </c>
      <c r="L31" s="879">
        <f t="shared" si="2"/>
        <v>82.989319999999992</v>
      </c>
      <c r="P31" s="455">
        <f>D31*E31</f>
        <v>85.555999999999997</v>
      </c>
    </row>
    <row r="32" spans="1:16" s="455" customFormat="1" outlineLevel="1" x14ac:dyDescent="0.35">
      <c r="A32" s="333">
        <v>2</v>
      </c>
      <c r="B32" s="512" t="s">
        <v>288</v>
      </c>
      <c r="C32" s="333" t="s">
        <v>868</v>
      </c>
      <c r="D32" s="463">
        <f>Input!D162</f>
        <v>300</v>
      </c>
      <c r="E32" s="534">
        <f>(F200+F201+F202+F203)/D32</f>
        <v>0.64763999999999988</v>
      </c>
      <c r="F32" s="534">
        <f>D32*E32</f>
        <v>194.29199999999997</v>
      </c>
      <c r="G32" s="463">
        <f>F32*Input!$F$167</f>
        <v>34.972559999999994</v>
      </c>
      <c r="H32" s="463">
        <f>F32+G32</f>
        <v>229.26455999999996</v>
      </c>
      <c r="J32" s="879">
        <f>F32*BOQ_G!$AA$2</f>
        <v>165.14819999999997</v>
      </c>
      <c r="K32" s="879">
        <f>F32*BOQ_G!$AB$2</f>
        <v>23.315039999999996</v>
      </c>
      <c r="L32" s="879">
        <f t="shared" si="2"/>
        <v>188.46323999999998</v>
      </c>
      <c r="P32" s="455">
        <f>D32*E32</f>
        <v>194.29199999999997</v>
      </c>
    </row>
    <row r="33" spans="1:16" s="455" customFormat="1" outlineLevel="1" x14ac:dyDescent="0.35">
      <c r="A33" s="333">
        <v>3</v>
      </c>
      <c r="B33" s="512" t="s">
        <v>809</v>
      </c>
      <c r="C33" s="333" t="s">
        <v>869</v>
      </c>
      <c r="D33" s="463">
        <f>Input!D163</f>
        <v>1</v>
      </c>
      <c r="E33" s="534">
        <f>F12/SUM(D9:D11)*D31+F205</f>
        <v>142.21949999999998</v>
      </c>
      <c r="F33" s="534">
        <f>D33*E33</f>
        <v>142.21949999999998</v>
      </c>
      <c r="G33" s="463">
        <f>F33*Input!$F$167</f>
        <v>25.599509999999995</v>
      </c>
      <c r="H33" s="463">
        <f>F33+G33</f>
        <v>167.81900999999999</v>
      </c>
      <c r="J33" s="879">
        <f>F33*BOQ_G!$AA$2</f>
        <v>120.88657499999998</v>
      </c>
      <c r="K33" s="879">
        <f>F33*BOQ_G!$AB$2</f>
        <v>17.066339999999997</v>
      </c>
      <c r="L33" s="879">
        <f t="shared" si="2"/>
        <v>137.95291499999996</v>
      </c>
      <c r="P33" s="455">
        <f>D33*E33</f>
        <v>142.21949999999998</v>
      </c>
    </row>
    <row r="34" spans="1:16" s="70" customFormat="1" x14ac:dyDescent="0.35">
      <c r="A34" s="527" t="s">
        <v>272</v>
      </c>
      <c r="B34" s="528" t="s">
        <v>833</v>
      </c>
      <c r="C34" s="528" t="s">
        <v>802</v>
      </c>
      <c r="D34" s="559">
        <v>1</v>
      </c>
      <c r="E34" s="543">
        <f>IF(Input!$E$8="Yes",F34/D34,"")</f>
        <v>422.06749999999994</v>
      </c>
      <c r="F34" s="535">
        <f>IF(Input!$E$8="Yes",SUM(F31:F33),"")</f>
        <v>422.06749999999994</v>
      </c>
      <c r="G34" s="543">
        <f>IF(Input!$E$8="Yes",SUM(G31:G33),"")</f>
        <v>75.972149999999985</v>
      </c>
      <c r="H34" s="535">
        <f>IF(Input!$E$8="Yes",SUM(H31:H33),"")</f>
        <v>498.03964999999994</v>
      </c>
      <c r="J34" s="1152">
        <f>SUM(J31:J33)</f>
        <v>358.75737499999997</v>
      </c>
      <c r="K34" s="1152">
        <f>SUM(K31:K33)</f>
        <v>50.648099999999992</v>
      </c>
      <c r="L34" s="1152">
        <f t="shared" si="2"/>
        <v>409.40547499999997</v>
      </c>
    </row>
    <row r="35" spans="1:16" s="70" customFormat="1" outlineLevel="1" x14ac:dyDescent="0.35">
      <c r="A35" s="530"/>
      <c r="B35" s="531" t="s">
        <v>605</v>
      </c>
      <c r="C35" s="531"/>
      <c r="D35" s="537"/>
      <c r="E35" s="544"/>
      <c r="F35" s="545"/>
      <c r="G35" s="545"/>
      <c r="H35" s="545"/>
      <c r="J35" s="879"/>
      <c r="K35" s="879"/>
      <c r="L35" s="879"/>
    </row>
    <row r="36" spans="1:16" s="70" customFormat="1" outlineLevel="1" x14ac:dyDescent="0.35">
      <c r="A36" s="527"/>
      <c r="B36" s="528" t="s">
        <v>64</v>
      </c>
      <c r="C36" s="528"/>
      <c r="D36" s="536"/>
      <c r="E36" s="535"/>
      <c r="F36" s="543"/>
      <c r="G36" s="543"/>
      <c r="H36" s="543"/>
      <c r="J36" s="879"/>
      <c r="K36" s="879"/>
      <c r="L36" s="879"/>
    </row>
    <row r="37" spans="1:16" s="455" customFormat="1" outlineLevel="1" x14ac:dyDescent="0.35">
      <c r="A37" s="333">
        <v>1</v>
      </c>
      <c r="B37" s="512" t="str">
        <f>B3</f>
        <v xml:space="preserve">Pooling Sub-Station - 300 MW, 33/220 KV </v>
      </c>
      <c r="C37" s="333"/>
      <c r="D37" s="534">
        <f>H13</f>
        <v>9078.6049400000011</v>
      </c>
      <c r="E37" s="293">
        <f>BOQ_G!$D$220</f>
        <v>0.03</v>
      </c>
      <c r="F37" s="541">
        <f>IF(Input!$E$8="Yes",E37*D37,"")</f>
        <v>272.35814820000002</v>
      </c>
      <c r="G37" s="392">
        <f>IF(Input!$E$8="Yes",F37*Input!$F$167,"")</f>
        <v>49.024466676000003</v>
      </c>
      <c r="H37" s="463">
        <f>IF(Input!$E$8="Yes",F37+G37,"")</f>
        <v>321.38261487600005</v>
      </c>
      <c r="J37" s="879">
        <f t="shared" ref="J37:J39" si="4">F37*0.85</f>
        <v>231.50442597</v>
      </c>
      <c r="K37" s="879">
        <f t="shared" ref="K37:K39" si="5">F37*0.15</f>
        <v>40.853722230000002</v>
      </c>
      <c r="L37" s="879">
        <f t="shared" si="2"/>
        <v>272.35814820000002</v>
      </c>
    </row>
    <row r="38" spans="1:16" s="455" customFormat="1" outlineLevel="1" x14ac:dyDescent="0.35">
      <c r="A38" s="333">
        <v>2</v>
      </c>
      <c r="B38" s="512" t="str">
        <f>B14</f>
        <v>Transmission Line</v>
      </c>
      <c r="C38" s="333"/>
      <c r="D38" s="534">
        <f>H29</f>
        <v>1334.3949239370431</v>
      </c>
      <c r="E38" s="293">
        <f>BOQ_G!$D$220</f>
        <v>0.03</v>
      </c>
      <c r="F38" s="541">
        <f>IF(Input!$E$8="Yes",E38*D38,"")</f>
        <v>40.031847718111294</v>
      </c>
      <c r="G38" s="392">
        <f>IF(Input!$E$8="Yes",F38*Input!$F$167,"")</f>
        <v>7.205732589260033</v>
      </c>
      <c r="H38" s="463">
        <f>IF(Input!$E$8="Yes",F38+G38,"")</f>
        <v>47.237580307371324</v>
      </c>
      <c r="J38" s="879">
        <f t="shared" si="4"/>
        <v>34.027070560394598</v>
      </c>
      <c r="K38" s="879">
        <f t="shared" si="5"/>
        <v>6.0047771577166937</v>
      </c>
      <c r="L38" s="879">
        <f t="shared" si="2"/>
        <v>40.031847718111294</v>
      </c>
    </row>
    <row r="39" spans="1:16" s="455" customFormat="1" outlineLevel="1" x14ac:dyDescent="0.35">
      <c r="A39" s="333">
        <v>3</v>
      </c>
      <c r="B39" s="512" t="str">
        <f>B30</f>
        <v>Augmentation Work @ BkTPS Substation</v>
      </c>
      <c r="C39" s="333"/>
      <c r="D39" s="534">
        <f>H34</f>
        <v>498.03964999999994</v>
      </c>
      <c r="E39" s="293">
        <f>BOQ_G!$D$220</f>
        <v>0.03</v>
      </c>
      <c r="F39" s="541">
        <f>IF(Input!$E$8="Yes",E39*D39,"")</f>
        <v>14.941189499999998</v>
      </c>
      <c r="G39" s="392">
        <f>IF(Input!$E$8="Yes",F39*Input!$F$167,"")</f>
        <v>2.6894141099999995</v>
      </c>
      <c r="H39" s="463">
        <f>IF(Input!$E$8="Yes",F39+G39,"")</f>
        <v>17.630603609999998</v>
      </c>
      <c r="J39" s="879">
        <f t="shared" si="4"/>
        <v>12.700011074999999</v>
      </c>
      <c r="K39" s="879">
        <f t="shared" si="5"/>
        <v>2.2411784249999998</v>
      </c>
      <c r="L39" s="879">
        <f t="shared" si="2"/>
        <v>14.941189499999998</v>
      </c>
    </row>
    <row r="40" spans="1:16" s="70" customFormat="1" x14ac:dyDescent="0.35">
      <c r="A40" s="527" t="s">
        <v>556</v>
      </c>
      <c r="B40" s="528" t="s">
        <v>64</v>
      </c>
      <c r="C40" s="528"/>
      <c r="D40" s="559">
        <v>1</v>
      </c>
      <c r="E40" s="543">
        <f>F40/D40</f>
        <v>327.33118541811132</v>
      </c>
      <c r="F40" s="535">
        <f>SUM(F37:F39)</f>
        <v>327.33118541811132</v>
      </c>
      <c r="G40" s="535">
        <f>SUM(G37:G39)</f>
        <v>58.919613375260035</v>
      </c>
      <c r="H40" s="535">
        <f>SUM(H37:H39)</f>
        <v>386.25079879337136</v>
      </c>
      <c r="J40" s="1153">
        <f>SUM(J37:J39)</f>
        <v>278.2315076053946</v>
      </c>
      <c r="K40" s="1153">
        <f>SUM(K37:K39)</f>
        <v>49.099677812716699</v>
      </c>
      <c r="L40" s="1153">
        <f t="shared" si="2"/>
        <v>327.33118541811132</v>
      </c>
    </row>
    <row r="41" spans="1:16" x14ac:dyDescent="0.35">
      <c r="A41" s="547"/>
      <c r="B41" s="548" t="s">
        <v>811</v>
      </c>
      <c r="C41" s="547"/>
      <c r="D41" s="547"/>
      <c r="E41" s="547"/>
      <c r="F41" s="549">
        <f>SUM(F13,F29,F34,F40)</f>
        <v>9573.974841296962</v>
      </c>
      <c r="G41" s="549">
        <f>SUM(G13,G29,G34,G40)</f>
        <v>1723.3154714334526</v>
      </c>
      <c r="H41" s="549">
        <f>SUM(H13,H29,H34,H40)</f>
        <v>11297.290312730416</v>
      </c>
      <c r="J41" s="1154">
        <f>J40+J34+J29+J13</f>
        <v>8137.8786151024169</v>
      </c>
      <c r="K41" s="1154">
        <f>K40+K34+K29+K13</f>
        <v>1158.6969165181786</v>
      </c>
      <c r="L41" s="1154">
        <f>L40+L34+L29+L13</f>
        <v>9296.5755316205959</v>
      </c>
    </row>
    <row r="42" spans="1:16" s="455" customFormat="1" x14ac:dyDescent="0.35">
      <c r="A42" s="449"/>
      <c r="B42" s="448" t="s">
        <v>813</v>
      </c>
      <c r="C42" s="448"/>
      <c r="D42" s="449" t="s">
        <v>567</v>
      </c>
      <c r="E42" s="449" t="s">
        <v>386</v>
      </c>
      <c r="F42" s="449" t="s">
        <v>422</v>
      </c>
      <c r="G42" s="709"/>
      <c r="H42" s="709"/>
      <c r="K42" s="511"/>
    </row>
    <row r="43" spans="1:16" s="455" customFormat="1" outlineLevel="1" x14ac:dyDescent="0.35">
      <c r="A43" s="428"/>
      <c r="B43" s="456" t="s">
        <v>790</v>
      </c>
      <c r="C43" s="456"/>
      <c r="D43" s="456"/>
      <c r="E43" s="456"/>
      <c r="F43" s="456"/>
      <c r="H43" s="709">
        <f>H40+BOQ_G!H220</f>
        <v>3163.626062680155</v>
      </c>
      <c r="J43" s="511"/>
      <c r="K43" s="511"/>
    </row>
    <row r="44" spans="1:16" s="455" customFormat="1" outlineLevel="1" x14ac:dyDescent="0.35">
      <c r="A44" s="431">
        <v>1</v>
      </c>
      <c r="B44" s="470" t="s">
        <v>339</v>
      </c>
      <c r="C44" s="430" t="s">
        <v>72</v>
      </c>
      <c r="D44" s="430"/>
      <c r="E44" s="430"/>
      <c r="F44" s="560"/>
      <c r="H44" s="709"/>
    </row>
    <row r="45" spans="1:16" s="455" customFormat="1" ht="13.5" outlineLevel="1" x14ac:dyDescent="0.35">
      <c r="A45" s="433"/>
      <c r="B45" s="459" t="s">
        <v>755</v>
      </c>
      <c r="C45" s="433" t="s">
        <v>336</v>
      </c>
      <c r="D45" s="466">
        <f>Input!E130*Input!E124</f>
        <v>54.6</v>
      </c>
      <c r="E45" s="465">
        <v>119400</v>
      </c>
      <c r="F45" s="505">
        <f>D45*(E45)/10^5</f>
        <v>65.192400000000006</v>
      </c>
      <c r="J45" s="511"/>
      <c r="K45" s="511"/>
    </row>
    <row r="46" spans="1:16" s="455" customFormat="1" ht="13.5" outlineLevel="1" x14ac:dyDescent="0.35">
      <c r="A46" s="433"/>
      <c r="B46" s="459" t="s">
        <v>756</v>
      </c>
      <c r="C46" s="433" t="s">
        <v>336</v>
      </c>
      <c r="D46" s="466">
        <f>Input!E131*Input!E125</f>
        <v>18.72</v>
      </c>
      <c r="E46" s="465">
        <v>119400</v>
      </c>
      <c r="F46" s="505">
        <f>D46*(E46)/10^5</f>
        <v>22.351680000000002</v>
      </c>
    </row>
    <row r="47" spans="1:16" s="455" customFormat="1" ht="13.5" outlineLevel="1" x14ac:dyDescent="0.35">
      <c r="A47" s="433"/>
      <c r="B47" s="459" t="s">
        <v>757</v>
      </c>
      <c r="C47" s="433" t="s">
        <v>336</v>
      </c>
      <c r="D47" s="466">
        <f>Input!E132*Input!E126</f>
        <v>11.231999999999999</v>
      </c>
      <c r="E47" s="465">
        <v>119400</v>
      </c>
      <c r="F47" s="505">
        <f>D47*(E47)/10^5</f>
        <v>13.411007999999999</v>
      </c>
      <c r="J47" s="511"/>
      <c r="K47" s="511"/>
    </row>
    <row r="48" spans="1:16" s="455" customFormat="1" ht="13.5" outlineLevel="1" x14ac:dyDescent="0.35">
      <c r="A48" s="433"/>
      <c r="B48" s="459" t="s">
        <v>758</v>
      </c>
      <c r="C48" s="433" t="s">
        <v>336</v>
      </c>
      <c r="D48" s="466">
        <f>Input!E133*Input!E127</f>
        <v>53.913599999999995</v>
      </c>
      <c r="E48" s="465">
        <v>119400</v>
      </c>
      <c r="F48" s="505">
        <f>D48*(E48)/10^5</f>
        <v>64.372838399999992</v>
      </c>
    </row>
    <row r="49" spans="1:10" s="455" customFormat="1" outlineLevel="1" x14ac:dyDescent="0.35">
      <c r="A49" s="431">
        <v>2</v>
      </c>
      <c r="B49" s="470" t="s">
        <v>340</v>
      </c>
      <c r="C49" s="430" t="s">
        <v>72</v>
      </c>
      <c r="D49" s="430"/>
      <c r="E49" s="430"/>
      <c r="F49" s="471"/>
    </row>
    <row r="50" spans="1:10" s="455" customFormat="1" outlineLevel="1" x14ac:dyDescent="0.35">
      <c r="A50" s="185" t="s">
        <v>268</v>
      </c>
      <c r="B50" s="451" t="s">
        <v>341</v>
      </c>
      <c r="C50" s="451"/>
      <c r="D50" s="451"/>
      <c r="E50" s="451"/>
      <c r="F50" s="464"/>
    </row>
    <row r="51" spans="1:10" s="455" customFormat="1" outlineLevel="1" x14ac:dyDescent="0.35">
      <c r="A51" s="433"/>
      <c r="B51" s="460" t="s">
        <v>341</v>
      </c>
      <c r="C51" s="433" t="s">
        <v>334</v>
      </c>
      <c r="D51" s="466">
        <f>Input!D$118*(1+Input!$D$147)*6</f>
        <v>25.200000000000003</v>
      </c>
      <c r="E51" s="465">
        <v>1368200</v>
      </c>
      <c r="F51" s="437">
        <f>D51*(E51)/10^5</f>
        <v>344.78640000000007</v>
      </c>
    </row>
    <row r="52" spans="1:10" s="455" customFormat="1" ht="13" outlineLevel="1" x14ac:dyDescent="0.35">
      <c r="A52" s="185" t="s">
        <v>270</v>
      </c>
      <c r="B52" s="451" t="s">
        <v>342</v>
      </c>
      <c r="C52" s="451"/>
      <c r="D52" s="451"/>
      <c r="E52" s="451"/>
      <c r="F52" s="464"/>
      <c r="H52" s="1238"/>
      <c r="I52" s="873"/>
      <c r="J52" s="1239"/>
    </row>
    <row r="53" spans="1:10" s="455" customFormat="1" ht="13" outlineLevel="1" x14ac:dyDescent="0.35">
      <c r="A53" s="433"/>
      <c r="B53" s="460" t="s">
        <v>343</v>
      </c>
      <c r="C53" s="433" t="s">
        <v>334</v>
      </c>
      <c r="D53" s="466">
        <f>Input!D$118*(1+Input!$D$147)*2</f>
        <v>8.4</v>
      </c>
      <c r="E53" s="465">
        <f>127200*(1+10%)</f>
        <v>139920</v>
      </c>
      <c r="F53" s="437">
        <f>D53*(E53)/10^5</f>
        <v>11.75328</v>
      </c>
      <c r="H53" s="873"/>
      <c r="I53" s="873"/>
      <c r="J53" s="1239"/>
    </row>
    <row r="54" spans="1:10" s="455" customFormat="1" ht="13" outlineLevel="1" x14ac:dyDescent="0.35">
      <c r="A54" s="185" t="s">
        <v>272</v>
      </c>
      <c r="B54" s="451" t="s">
        <v>344</v>
      </c>
      <c r="C54" s="451"/>
      <c r="D54" s="451"/>
      <c r="E54" s="451"/>
      <c r="F54" s="464"/>
      <c r="H54" s="873"/>
      <c r="I54" s="873"/>
      <c r="J54" s="874"/>
    </row>
    <row r="55" spans="1:10" s="455" customFormat="1" ht="13" outlineLevel="1" x14ac:dyDescent="0.35">
      <c r="A55" s="407"/>
      <c r="B55" s="468" t="s">
        <v>345</v>
      </c>
      <c r="C55" s="467"/>
      <c r="D55" s="467"/>
      <c r="E55" s="467"/>
      <c r="F55" s="469"/>
      <c r="H55" s="875"/>
      <c r="I55" s="875"/>
      <c r="J55" s="874"/>
    </row>
    <row r="56" spans="1:10" s="455" customFormat="1" outlineLevel="1" x14ac:dyDescent="0.35">
      <c r="A56" s="434"/>
      <c r="B56" s="460" t="s">
        <v>346</v>
      </c>
      <c r="C56" s="433" t="s">
        <v>28</v>
      </c>
      <c r="D56" s="466">
        <f>Input!E124*Input!$D141</f>
        <v>42</v>
      </c>
      <c r="E56" s="465">
        <v>15630</v>
      </c>
      <c r="F56" s="505">
        <f>D56*(E56)/10^5</f>
        <v>6.5646000000000004</v>
      </c>
      <c r="H56" s="1237"/>
      <c r="I56" s="1237"/>
      <c r="J56" s="1237"/>
    </row>
    <row r="57" spans="1:10" s="455" customFormat="1" outlineLevel="1" x14ac:dyDescent="0.35">
      <c r="A57" s="434"/>
      <c r="B57" s="460" t="s">
        <v>347</v>
      </c>
      <c r="C57" s="433" t="s">
        <v>28</v>
      </c>
      <c r="D57" s="466">
        <f>Input!E125*Input!$D142</f>
        <v>24</v>
      </c>
      <c r="E57" s="465">
        <v>15630</v>
      </c>
      <c r="F57" s="505">
        <f>D57*(E57)/10^5</f>
        <v>3.7511999999999999</v>
      </c>
    </row>
    <row r="58" spans="1:10" s="455" customFormat="1" outlineLevel="1" x14ac:dyDescent="0.35">
      <c r="A58" s="434"/>
      <c r="B58" s="460" t="s">
        <v>348</v>
      </c>
      <c r="C58" s="433" t="s">
        <v>28</v>
      </c>
      <c r="D58" s="466">
        <f>Input!E126*Input!$D143</f>
        <v>18</v>
      </c>
      <c r="E58" s="465">
        <v>56580</v>
      </c>
      <c r="F58" s="505">
        <f>D58*(E58)/10^5</f>
        <v>10.1844</v>
      </c>
    </row>
    <row r="59" spans="1:10" s="455" customFormat="1" outlineLevel="1" x14ac:dyDescent="0.35">
      <c r="A59" s="434"/>
      <c r="B59" s="460" t="s">
        <v>349</v>
      </c>
      <c r="C59" s="433" t="s">
        <v>28</v>
      </c>
      <c r="D59" s="466">
        <f>Input!E127*Input!$D144</f>
        <v>120</v>
      </c>
      <c r="E59" s="465">
        <v>67940</v>
      </c>
      <c r="F59" s="505">
        <f>D59*(E59)/10^5</f>
        <v>81.528000000000006</v>
      </c>
    </row>
    <row r="60" spans="1:10" s="455" customFormat="1" outlineLevel="1" x14ac:dyDescent="0.35">
      <c r="A60" s="407"/>
      <c r="B60" s="468" t="s">
        <v>350</v>
      </c>
      <c r="C60" s="467"/>
      <c r="D60" s="467"/>
      <c r="E60" s="467"/>
      <c r="F60" s="469"/>
    </row>
    <row r="61" spans="1:10" s="455" customFormat="1" outlineLevel="1" x14ac:dyDescent="0.35">
      <c r="A61" s="433"/>
      <c r="B61" s="460" t="s">
        <v>351</v>
      </c>
      <c r="C61" s="433" t="s">
        <v>28</v>
      </c>
      <c r="D61" s="466">
        <f>D51*1000/Input!$D$148</f>
        <v>28.000000000000004</v>
      </c>
      <c r="E61" s="465">
        <v>58100</v>
      </c>
      <c r="F61" s="505">
        <f>D61*(E61)/10^5</f>
        <v>16.268000000000001</v>
      </c>
    </row>
    <row r="62" spans="1:10" s="455" customFormat="1" outlineLevel="1" x14ac:dyDescent="0.35">
      <c r="A62" s="433"/>
      <c r="B62" s="460" t="s">
        <v>352</v>
      </c>
      <c r="C62" s="433" t="s">
        <v>28</v>
      </c>
      <c r="D62" s="466">
        <f>D51/Input!$D$149</f>
        <v>12.600000000000001</v>
      </c>
      <c r="E62" s="465">
        <v>4170</v>
      </c>
      <c r="F62" s="505">
        <f>D62*(E62)/10^5</f>
        <v>0.52542000000000011</v>
      </c>
    </row>
    <row r="63" spans="1:10" s="455" customFormat="1" outlineLevel="1" x14ac:dyDescent="0.35">
      <c r="A63" s="433"/>
      <c r="B63" s="460" t="s">
        <v>353</v>
      </c>
      <c r="C63" s="433" t="s">
        <v>28</v>
      </c>
      <c r="D63" s="466">
        <f>(SUM(Input!E124:E127)-1)*3*2</f>
        <v>78</v>
      </c>
      <c r="E63" s="465">
        <v>5740</v>
      </c>
      <c r="F63" s="505">
        <f>D63*(E63)/10^5</f>
        <v>4.4771999999999998</v>
      </c>
    </row>
    <row r="64" spans="1:10" s="455" customFormat="1" outlineLevel="1" x14ac:dyDescent="0.35">
      <c r="A64" s="433"/>
      <c r="B64" s="460" t="s">
        <v>354</v>
      </c>
      <c r="C64" s="433" t="s">
        <v>28</v>
      </c>
      <c r="D64" s="466">
        <f>(SUM(Input!E124:E125)*3*2)</f>
        <v>54</v>
      </c>
      <c r="E64" s="465">
        <v>1800</v>
      </c>
      <c r="F64" s="505">
        <f>D64*(E64)/10^5</f>
        <v>0.97199999999999998</v>
      </c>
    </row>
    <row r="65" spans="1:6" s="455" customFormat="1" outlineLevel="1" x14ac:dyDescent="0.35">
      <c r="A65" s="433"/>
      <c r="B65" s="460" t="s">
        <v>355</v>
      </c>
      <c r="C65" s="433" t="s">
        <v>28</v>
      </c>
      <c r="D65" s="466">
        <f>(SUM(Input!E126:E127)*3*2)</f>
        <v>30</v>
      </c>
      <c r="E65" s="465">
        <v>2160</v>
      </c>
      <c r="F65" s="505">
        <f>D65*(E65)/10^5</f>
        <v>0.64800000000000002</v>
      </c>
    </row>
    <row r="66" spans="1:6" s="455" customFormat="1" outlineLevel="1" x14ac:dyDescent="0.35">
      <c r="A66" s="431">
        <v>3</v>
      </c>
      <c r="B66" s="470" t="s">
        <v>356</v>
      </c>
      <c r="C66" s="470"/>
      <c r="D66" s="470"/>
      <c r="E66" s="470"/>
      <c r="F66" s="471"/>
    </row>
    <row r="67" spans="1:6" s="455" customFormat="1" outlineLevel="1" x14ac:dyDescent="0.35">
      <c r="A67" s="185" t="s">
        <v>268</v>
      </c>
      <c r="B67" s="451" t="s">
        <v>357</v>
      </c>
      <c r="C67" s="451"/>
      <c r="D67" s="451"/>
      <c r="E67" s="451"/>
      <c r="F67" s="451"/>
    </row>
    <row r="68" spans="1:6" s="455" customFormat="1" outlineLevel="1" x14ac:dyDescent="0.35">
      <c r="A68" s="433"/>
      <c r="B68" s="460" t="s">
        <v>358</v>
      </c>
      <c r="C68" s="433" t="s">
        <v>359</v>
      </c>
      <c r="D68" s="466">
        <f>Input!E124*Input!D141+Input!D142*Input!E125+Input!E126*Input!D143+Input!E127*Input!D144</f>
        <v>204</v>
      </c>
      <c r="E68" s="465">
        <v>7780</v>
      </c>
      <c r="F68" s="505">
        <f>D68*(E68)/10^5</f>
        <v>15.8712</v>
      </c>
    </row>
    <row r="69" spans="1:6" s="455" customFormat="1" outlineLevel="1" x14ac:dyDescent="0.35">
      <c r="A69" s="431">
        <v>4</v>
      </c>
      <c r="B69" s="470" t="s">
        <v>360</v>
      </c>
      <c r="C69" s="470"/>
      <c r="D69" s="470"/>
      <c r="E69" s="470"/>
      <c r="F69" s="471"/>
    </row>
    <row r="70" spans="1:6" s="455" customFormat="1" outlineLevel="1" x14ac:dyDescent="0.35">
      <c r="A70" s="41" t="s">
        <v>268</v>
      </c>
      <c r="B70" s="460" t="s">
        <v>361</v>
      </c>
      <c r="C70" s="433" t="s">
        <v>359</v>
      </c>
      <c r="D70" s="466">
        <f>SUM(Input!E124:E127)*4</f>
        <v>56</v>
      </c>
      <c r="E70" s="465">
        <v>2880</v>
      </c>
      <c r="F70" s="505">
        <f>D70*(E70)/10^5</f>
        <v>1.6128</v>
      </c>
    </row>
    <row r="71" spans="1:6" s="455" customFormat="1" outlineLevel="1" x14ac:dyDescent="0.35">
      <c r="A71" s="431">
        <v>5</v>
      </c>
      <c r="B71" s="470" t="s">
        <v>362</v>
      </c>
      <c r="C71" s="470"/>
      <c r="D71" s="470"/>
      <c r="E71" s="470"/>
      <c r="F71" s="471"/>
    </row>
    <row r="72" spans="1:6" s="455" customFormat="1" outlineLevel="1" x14ac:dyDescent="0.35">
      <c r="A72" s="433" t="s">
        <v>268</v>
      </c>
      <c r="B72" s="460" t="s">
        <v>761</v>
      </c>
      <c r="C72" s="433" t="s">
        <v>28</v>
      </c>
      <c r="D72" s="466">
        <f>SUM(Input!E124:E127)*4</f>
        <v>56</v>
      </c>
      <c r="E72" s="465">
        <v>300</v>
      </c>
      <c r="F72" s="505">
        <f t="shared" ref="F72:F81" si="6">D72*(E72)/10^5</f>
        <v>0.16800000000000001</v>
      </c>
    </row>
    <row r="73" spans="1:6" s="455" customFormat="1" outlineLevel="1" x14ac:dyDescent="0.35">
      <c r="A73" s="433" t="s">
        <v>270</v>
      </c>
      <c r="B73" s="460" t="s">
        <v>762</v>
      </c>
      <c r="C73" s="433" t="s">
        <v>28</v>
      </c>
      <c r="D73" s="466">
        <f>SUM(Input!E124:E127)*4</f>
        <v>56</v>
      </c>
      <c r="E73" s="465">
        <v>300</v>
      </c>
      <c r="F73" s="505">
        <f t="shared" si="6"/>
        <v>0.16800000000000001</v>
      </c>
    </row>
    <row r="74" spans="1:6" s="455" customFormat="1" outlineLevel="1" x14ac:dyDescent="0.35">
      <c r="A74" s="433" t="s">
        <v>272</v>
      </c>
      <c r="B74" s="460" t="s">
        <v>763</v>
      </c>
      <c r="C74" s="433" t="s">
        <v>359</v>
      </c>
      <c r="D74" s="466">
        <f>SUM(Input!E124:E127)*1</f>
        <v>14</v>
      </c>
      <c r="E74" s="465">
        <v>300</v>
      </c>
      <c r="F74" s="505">
        <f t="shared" si="6"/>
        <v>4.2000000000000003E-2</v>
      </c>
    </row>
    <row r="75" spans="1:6" s="455" customFormat="1" outlineLevel="1" x14ac:dyDescent="0.35">
      <c r="A75" s="433" t="s">
        <v>556</v>
      </c>
      <c r="B75" s="460" t="s">
        <v>764</v>
      </c>
      <c r="C75" s="433" t="s">
        <v>359</v>
      </c>
      <c r="D75" s="466">
        <f>SUM(Input!E124:E127)*1</f>
        <v>14</v>
      </c>
      <c r="E75" s="465">
        <v>300</v>
      </c>
      <c r="F75" s="505">
        <f t="shared" si="6"/>
        <v>4.2000000000000003E-2</v>
      </c>
    </row>
    <row r="76" spans="1:6" s="455" customFormat="1" outlineLevel="1" x14ac:dyDescent="0.35">
      <c r="A76" s="433" t="s">
        <v>595</v>
      </c>
      <c r="B76" s="460" t="s">
        <v>765</v>
      </c>
      <c r="C76" s="433" t="s">
        <v>359</v>
      </c>
      <c r="D76" s="466">
        <f>SUM(Input!E124:E127)*1</f>
        <v>14</v>
      </c>
      <c r="E76" s="465">
        <v>2200</v>
      </c>
      <c r="F76" s="505">
        <f t="shared" si="6"/>
        <v>0.308</v>
      </c>
    </row>
    <row r="77" spans="1:6" s="455" customFormat="1" outlineLevel="1" x14ac:dyDescent="0.35">
      <c r="A77" s="433" t="s">
        <v>576</v>
      </c>
      <c r="B77" s="460" t="s">
        <v>766</v>
      </c>
      <c r="C77" s="433" t="s">
        <v>359</v>
      </c>
      <c r="D77" s="466"/>
      <c r="E77" s="465">
        <v>0</v>
      </c>
      <c r="F77" s="505">
        <f t="shared" si="6"/>
        <v>0</v>
      </c>
    </row>
    <row r="78" spans="1:6" s="455" customFormat="1" outlineLevel="1" x14ac:dyDescent="0.35">
      <c r="A78" s="433" t="s">
        <v>578</v>
      </c>
      <c r="B78" s="460" t="s">
        <v>363</v>
      </c>
      <c r="C78" s="433" t="s">
        <v>359</v>
      </c>
      <c r="D78" s="466">
        <f>Input!E124</f>
        <v>7</v>
      </c>
      <c r="E78" s="465">
        <v>4508</v>
      </c>
      <c r="F78" s="505">
        <f t="shared" si="6"/>
        <v>0.31556000000000001</v>
      </c>
    </row>
    <row r="79" spans="1:6" s="455" customFormat="1" outlineLevel="1" x14ac:dyDescent="0.35">
      <c r="A79" s="433" t="s">
        <v>708</v>
      </c>
      <c r="B79" s="460" t="s">
        <v>364</v>
      </c>
      <c r="C79" s="433" t="s">
        <v>359</v>
      </c>
      <c r="D79" s="466">
        <f>Input!E125</f>
        <v>2</v>
      </c>
      <c r="E79" s="465">
        <v>6011.0499999999993</v>
      </c>
      <c r="F79" s="505">
        <f t="shared" si="6"/>
        <v>0.12022099999999998</v>
      </c>
    </row>
    <row r="80" spans="1:6" s="455" customFormat="1" outlineLevel="1" x14ac:dyDescent="0.35">
      <c r="A80" s="433" t="s">
        <v>577</v>
      </c>
      <c r="B80" s="460" t="s">
        <v>365</v>
      </c>
      <c r="C80" s="433" t="s">
        <v>359</v>
      </c>
      <c r="D80" s="466">
        <f>Input!E126</f>
        <v>1</v>
      </c>
      <c r="E80" s="465">
        <v>7512.95</v>
      </c>
      <c r="F80" s="505">
        <f t="shared" si="6"/>
        <v>7.5129500000000002E-2</v>
      </c>
    </row>
    <row r="81" spans="1:6" s="455" customFormat="1" outlineLevel="1" x14ac:dyDescent="0.35">
      <c r="A81" s="433" t="s">
        <v>789</v>
      </c>
      <c r="B81" s="460" t="s">
        <v>366</v>
      </c>
      <c r="C81" s="433" t="s">
        <v>359</v>
      </c>
      <c r="D81" s="466">
        <f>Input!E127</f>
        <v>4</v>
      </c>
      <c r="E81" s="465">
        <v>7512.95</v>
      </c>
      <c r="F81" s="505">
        <f t="shared" si="6"/>
        <v>0.30051800000000001</v>
      </c>
    </row>
    <row r="82" spans="1:6" s="455" customFormat="1" outlineLevel="1" x14ac:dyDescent="0.35">
      <c r="A82" s="428"/>
      <c r="B82" s="456" t="s">
        <v>767</v>
      </c>
      <c r="C82" s="456"/>
      <c r="D82" s="456"/>
      <c r="E82" s="456"/>
      <c r="F82" s="456"/>
    </row>
    <row r="83" spans="1:6" s="455" customFormat="1" outlineLevel="1" x14ac:dyDescent="0.35">
      <c r="A83" s="431">
        <v>1</v>
      </c>
      <c r="B83" s="470" t="s">
        <v>367</v>
      </c>
      <c r="C83" s="470"/>
      <c r="D83" s="470"/>
      <c r="E83" s="470"/>
      <c r="F83" s="471"/>
    </row>
    <row r="84" spans="1:6" s="455" customFormat="1" outlineLevel="1" x14ac:dyDescent="0.35">
      <c r="A84" s="433" t="s">
        <v>268</v>
      </c>
      <c r="B84" s="460" t="s">
        <v>368</v>
      </c>
      <c r="C84" s="433" t="s">
        <v>334</v>
      </c>
      <c r="D84" s="466">
        <f>Input!D118</f>
        <v>4</v>
      </c>
      <c r="E84" s="465">
        <v>13700</v>
      </c>
      <c r="F84" s="505">
        <f>D84*(E84)/10^5</f>
        <v>0.54800000000000004</v>
      </c>
    </row>
    <row r="85" spans="1:6" s="455" customFormat="1" outlineLevel="1" x14ac:dyDescent="0.35">
      <c r="A85" s="433" t="s">
        <v>270</v>
      </c>
      <c r="B85" s="460" t="s">
        <v>369</v>
      </c>
      <c r="C85" s="433" t="s">
        <v>334</v>
      </c>
      <c r="D85" s="466">
        <f>D84</f>
        <v>4</v>
      </c>
      <c r="E85" s="465">
        <v>26600</v>
      </c>
      <c r="F85" s="505">
        <f>D85*(E85)/10^5</f>
        <v>1.0640000000000001</v>
      </c>
    </row>
    <row r="86" spans="1:6" s="455" customFormat="1" outlineLevel="1" x14ac:dyDescent="0.35">
      <c r="A86" s="433" t="s">
        <v>272</v>
      </c>
      <c r="B86" s="460" t="s">
        <v>370</v>
      </c>
      <c r="C86" s="433" t="s">
        <v>334</v>
      </c>
      <c r="D86" s="466">
        <f>D84</f>
        <v>4</v>
      </c>
      <c r="E86" s="465">
        <v>15500</v>
      </c>
      <c r="F86" s="505">
        <f>D86*(E86)/10^5</f>
        <v>0.62</v>
      </c>
    </row>
    <row r="87" spans="1:6" s="455" customFormat="1" outlineLevel="1" x14ac:dyDescent="0.35">
      <c r="A87" s="431">
        <v>2</v>
      </c>
      <c r="B87" s="470" t="s">
        <v>726</v>
      </c>
      <c r="C87" s="470"/>
      <c r="D87" s="470"/>
      <c r="E87" s="470"/>
      <c r="F87" s="471"/>
    </row>
    <row r="88" spans="1:6" s="455" customFormat="1" outlineLevel="1" x14ac:dyDescent="0.35">
      <c r="A88" s="433" t="s">
        <v>268</v>
      </c>
      <c r="B88" s="460" t="s">
        <v>371</v>
      </c>
      <c r="C88" s="433" t="s">
        <v>359</v>
      </c>
      <c r="D88" s="466">
        <f>SUM(Input!E124:E127)</f>
        <v>14</v>
      </c>
      <c r="E88" s="465">
        <v>10300</v>
      </c>
      <c r="F88" s="505">
        <f>D88*(E88)/10^5</f>
        <v>1.4419999999999999</v>
      </c>
    </row>
    <row r="89" spans="1:6" s="455" customFormat="1" outlineLevel="1" x14ac:dyDescent="0.35">
      <c r="A89" s="41" t="s">
        <v>270</v>
      </c>
      <c r="B89" s="459" t="s">
        <v>372</v>
      </c>
      <c r="C89" s="433"/>
      <c r="D89" s="438"/>
      <c r="E89" s="438"/>
      <c r="F89" s="439"/>
    </row>
    <row r="90" spans="1:6" s="455" customFormat="1" ht="13.5" outlineLevel="1" x14ac:dyDescent="0.35">
      <c r="A90" s="433"/>
      <c r="B90" s="546" t="s">
        <v>755</v>
      </c>
      <c r="C90" s="433" t="s">
        <v>28</v>
      </c>
      <c r="D90" s="466">
        <f>Input!E124</f>
        <v>7</v>
      </c>
      <c r="E90" s="473">
        <f>Input!E136</f>
        <v>800000</v>
      </c>
      <c r="F90" s="505">
        <f>D90*(E90)/10^5</f>
        <v>56</v>
      </c>
    </row>
    <row r="91" spans="1:6" s="455" customFormat="1" ht="13.5" outlineLevel="1" x14ac:dyDescent="0.35">
      <c r="A91" s="433"/>
      <c r="B91" s="546" t="s">
        <v>759</v>
      </c>
      <c r="C91" s="433" t="s">
        <v>28</v>
      </c>
      <c r="D91" s="466">
        <f>Input!E125</f>
        <v>2</v>
      </c>
      <c r="E91" s="473">
        <f>E90*(1+Input!$D$135)</f>
        <v>919999.99999999988</v>
      </c>
      <c r="F91" s="505">
        <f>D91*(E91)/10^5</f>
        <v>18.399999999999999</v>
      </c>
    </row>
    <row r="92" spans="1:6" s="455" customFormat="1" ht="13.5" outlineLevel="1" x14ac:dyDescent="0.35">
      <c r="A92" s="433"/>
      <c r="B92" s="546" t="s">
        <v>757</v>
      </c>
      <c r="C92" s="433" t="s">
        <v>28</v>
      </c>
      <c r="D92" s="466">
        <f>Input!E126</f>
        <v>1</v>
      </c>
      <c r="E92" s="473">
        <f>E91*(1+Input!$D$135)</f>
        <v>1057999.9999999998</v>
      </c>
      <c r="F92" s="505">
        <f>D92*(E92)/10^5</f>
        <v>10.579999999999998</v>
      </c>
    </row>
    <row r="93" spans="1:6" s="455" customFormat="1" ht="13.5" outlineLevel="1" x14ac:dyDescent="0.35">
      <c r="A93" s="433"/>
      <c r="B93" s="546" t="s">
        <v>758</v>
      </c>
      <c r="C93" s="433" t="s">
        <v>28</v>
      </c>
      <c r="D93" s="466">
        <f>Input!E127</f>
        <v>4</v>
      </c>
      <c r="E93" s="473">
        <f>E92*(1+Input!$D$135)</f>
        <v>1216699.9999999995</v>
      </c>
      <c r="F93" s="505">
        <f>D93*(E93)/10^5</f>
        <v>48.667999999999978</v>
      </c>
    </row>
    <row r="94" spans="1:6" s="455" customFormat="1" outlineLevel="1" x14ac:dyDescent="0.35">
      <c r="A94" s="433" t="s">
        <v>272</v>
      </c>
      <c r="B94" s="460" t="s">
        <v>373</v>
      </c>
      <c r="C94" s="433" t="s">
        <v>336</v>
      </c>
      <c r="D94" s="466">
        <f>SUM(D45:D48)</f>
        <v>138.46559999999999</v>
      </c>
      <c r="E94" s="465">
        <v>18000</v>
      </c>
      <c r="F94" s="505">
        <f>D94*(E94)/10^5</f>
        <v>24.923807999999998</v>
      </c>
    </row>
    <row r="95" spans="1:6" s="455" customFormat="1" outlineLevel="1" x14ac:dyDescent="0.35">
      <c r="A95" s="472"/>
      <c r="B95" s="451" t="s">
        <v>374</v>
      </c>
      <c r="C95" s="451"/>
      <c r="D95" s="451"/>
      <c r="E95" s="451"/>
      <c r="F95" s="464"/>
    </row>
    <row r="96" spans="1:6" s="455" customFormat="1" outlineLevel="1" x14ac:dyDescent="0.35">
      <c r="A96" s="433" t="s">
        <v>268</v>
      </c>
      <c r="B96" s="460" t="s">
        <v>375</v>
      </c>
      <c r="C96" s="433" t="s">
        <v>334</v>
      </c>
      <c r="D96" s="466">
        <f>D84</f>
        <v>4</v>
      </c>
      <c r="E96" s="465">
        <v>729000</v>
      </c>
      <c r="F96" s="437">
        <f>D96*(E96)/10^5</f>
        <v>29.16</v>
      </c>
    </row>
    <row r="97" spans="1:16" s="455" customFormat="1" outlineLevel="1" x14ac:dyDescent="0.35">
      <c r="A97" s="433" t="s">
        <v>270</v>
      </c>
      <c r="B97" s="460" t="s">
        <v>376</v>
      </c>
      <c r="C97" s="433" t="s">
        <v>334</v>
      </c>
      <c r="D97" s="466">
        <f>D84</f>
        <v>4</v>
      </c>
      <c r="E97" s="465">
        <v>65000</v>
      </c>
      <c r="F97" s="437">
        <f>D97*(E97)/10^5</f>
        <v>2.6</v>
      </c>
    </row>
    <row r="98" spans="1:16" s="455" customFormat="1" outlineLevel="1" x14ac:dyDescent="0.35">
      <c r="A98" s="472"/>
      <c r="B98" s="451" t="s">
        <v>377</v>
      </c>
      <c r="C98" s="451"/>
      <c r="D98" s="451"/>
      <c r="E98" s="451"/>
      <c r="F98" s="464"/>
    </row>
    <row r="99" spans="1:16" s="455" customFormat="1" outlineLevel="1" x14ac:dyDescent="0.35">
      <c r="A99" s="433" t="s">
        <v>268</v>
      </c>
      <c r="B99" s="454" t="s">
        <v>791</v>
      </c>
      <c r="C99" s="433" t="s">
        <v>378</v>
      </c>
      <c r="D99" s="466">
        <f>SUM(Input!E124:E127)</f>
        <v>14</v>
      </c>
      <c r="E99" s="465">
        <v>6000</v>
      </c>
      <c r="F99" s="437">
        <f>D99*(E99)/10^5</f>
        <v>0.84</v>
      </c>
    </row>
    <row r="100" spans="1:16" s="455" customFormat="1" outlineLevel="1" x14ac:dyDescent="0.35">
      <c r="A100" s="470"/>
      <c r="B100" s="470" t="s">
        <v>379</v>
      </c>
      <c r="C100" s="470"/>
      <c r="D100" s="470"/>
      <c r="E100" s="470"/>
      <c r="F100" s="470"/>
    </row>
    <row r="101" spans="1:16" s="455" customFormat="1" outlineLevel="1" x14ac:dyDescent="0.35">
      <c r="A101" s="433" t="s">
        <v>268</v>
      </c>
      <c r="B101" s="460" t="s">
        <v>792</v>
      </c>
      <c r="C101" s="433" t="s">
        <v>380</v>
      </c>
      <c r="D101" s="466">
        <f>Input!D118</f>
        <v>4</v>
      </c>
      <c r="E101" s="465">
        <v>800000</v>
      </c>
      <c r="F101" s="437">
        <f>D101*(E101)/10^5</f>
        <v>32</v>
      </c>
    </row>
    <row r="102" spans="1:16" s="455" customFormat="1" outlineLevel="1" x14ac:dyDescent="0.35">
      <c r="A102" s="433" t="s">
        <v>270</v>
      </c>
      <c r="B102" s="460" t="s">
        <v>381</v>
      </c>
      <c r="C102" s="433" t="s">
        <v>382</v>
      </c>
      <c r="D102" s="466">
        <f>SUM(Input!E124:E127)</f>
        <v>14</v>
      </c>
      <c r="E102" s="465">
        <v>60000</v>
      </c>
      <c r="F102" s="437">
        <f>D102*(E102)/10^5</f>
        <v>8.4</v>
      </c>
    </row>
    <row r="103" spans="1:16" s="455" customFormat="1" outlineLevel="1" x14ac:dyDescent="0.35">
      <c r="A103" s="433" t="s">
        <v>272</v>
      </c>
      <c r="B103" s="460" t="s">
        <v>383</v>
      </c>
      <c r="C103" s="433" t="s">
        <v>382</v>
      </c>
      <c r="D103" s="466">
        <f>D102</f>
        <v>14</v>
      </c>
      <c r="E103" s="465">
        <v>260000</v>
      </c>
      <c r="F103" s="437">
        <f>D103*(E103)/10^5</f>
        <v>36.4</v>
      </c>
    </row>
    <row r="104" spans="1:16" s="455" customFormat="1" outlineLevel="1" x14ac:dyDescent="0.35">
      <c r="A104" s="433" t="s">
        <v>556</v>
      </c>
      <c r="B104" s="460" t="s">
        <v>725</v>
      </c>
      <c r="C104" s="433" t="s">
        <v>384</v>
      </c>
      <c r="D104" s="466">
        <v>1</v>
      </c>
      <c r="E104" s="465">
        <v>3000000</v>
      </c>
      <c r="F104" s="437">
        <f>D104*(E104)/10^5</f>
        <v>30</v>
      </c>
    </row>
    <row r="105" spans="1:16" s="455" customFormat="1" outlineLevel="1" x14ac:dyDescent="0.35">
      <c r="A105" s="470"/>
      <c r="B105" s="470" t="s">
        <v>435</v>
      </c>
      <c r="C105" s="470"/>
      <c r="D105" s="470"/>
      <c r="E105" s="470"/>
      <c r="F105" s="470"/>
    </row>
    <row r="106" spans="1:16" s="455" customFormat="1" outlineLevel="1" x14ac:dyDescent="0.35">
      <c r="A106" s="434"/>
      <c r="B106" s="460" t="s">
        <v>287</v>
      </c>
      <c r="C106" s="434" t="s">
        <v>0</v>
      </c>
      <c r="D106" s="475"/>
      <c r="E106" s="506">
        <f>Input!E171</f>
        <v>0.05</v>
      </c>
      <c r="F106" s="437">
        <f>SUMPRODUCT(E45:E81,D45:D81)*$E$106/10^5</f>
        <v>33.290492745000009</v>
      </c>
    </row>
    <row r="107" spans="1:16" s="455" customFormat="1" outlineLevel="1" x14ac:dyDescent="0.35">
      <c r="A107" s="433"/>
      <c r="B107" s="460" t="s">
        <v>280</v>
      </c>
      <c r="C107" s="433" t="s">
        <v>0</v>
      </c>
      <c r="D107" s="475"/>
      <c r="E107" s="506">
        <f>Input!E172</f>
        <v>0.08</v>
      </c>
      <c r="F107" s="437">
        <f>SUM(F45:F106)*E107</f>
        <v>80.059692451600043</v>
      </c>
    </row>
    <row r="108" spans="1:16" s="455" customFormat="1" outlineLevel="1" x14ac:dyDescent="0.35">
      <c r="A108" s="433"/>
      <c r="B108" s="460" t="s">
        <v>281</v>
      </c>
      <c r="C108" s="433" t="s">
        <v>0</v>
      </c>
      <c r="D108" s="475"/>
      <c r="E108" s="506">
        <f>Input!E173</f>
        <v>0.05</v>
      </c>
      <c r="F108" s="437">
        <f>SUM(F$45:F$106)*$E108</f>
        <v>50.037307782250025</v>
      </c>
    </row>
    <row r="109" spans="1:16" s="455" customFormat="1" x14ac:dyDescent="0.35">
      <c r="A109" s="41"/>
    </row>
    <row r="110" spans="1:16" s="455" customFormat="1" x14ac:dyDescent="0.35">
      <c r="A110" s="448"/>
      <c r="B110" s="448" t="s">
        <v>812</v>
      </c>
      <c r="C110" s="448"/>
      <c r="D110" s="449"/>
      <c r="E110" s="449"/>
      <c r="F110" s="449"/>
      <c r="J110" s="453" t="s">
        <v>768</v>
      </c>
      <c r="K110" s="405" t="str">
        <f>"Erection, Testing, Commissioning @ " &amp;Input!D168*100 &amp;"%"</f>
        <v>Erection, Testing, Commissioning @ 20%</v>
      </c>
      <c r="L110" s="405" t="str">
        <f>"Transport Charges @ " &amp;Input!D169*100 &amp;"%"</f>
        <v>Transport Charges @ 5%</v>
      </c>
      <c r="M110" s="405" t="str">
        <f>"Insurance &amp; Labour Cess @ " &amp;Input!D170*100 &amp;"%"</f>
        <v>Insurance &amp; Labour Cess @ 2%</v>
      </c>
      <c r="N110" s="405" t="str">
        <f>"Supervision, Quality and Margin @ " &amp;Input!D174*100 &amp;"%"</f>
        <v>Supervision, Quality and Margin @ 13%</v>
      </c>
      <c r="O110" s="405" t="str">
        <f>"GST @ " &amp;O111*100 &amp;"%"</f>
        <v>GST @ 0%</v>
      </c>
      <c r="P110" s="477" t="s">
        <v>10</v>
      </c>
    </row>
    <row r="111" spans="1:16" s="455" customFormat="1" outlineLevel="1" x14ac:dyDescent="0.35">
      <c r="A111" s="333"/>
      <c r="B111" s="457"/>
      <c r="C111" s="457"/>
      <c r="D111" s="457"/>
      <c r="E111" s="457"/>
      <c r="N111" s="515">
        <f>(Input!$D$172+Input!$D$173)*0</f>
        <v>0</v>
      </c>
      <c r="O111" s="515">
        <f>Input!$D$167*0</f>
        <v>0</v>
      </c>
    </row>
    <row r="112" spans="1:16" s="455" customFormat="1" outlineLevel="1" x14ac:dyDescent="0.35">
      <c r="A112" s="428"/>
      <c r="B112" s="456" t="s">
        <v>445</v>
      </c>
      <c r="C112" s="456"/>
      <c r="D112" s="456"/>
      <c r="E112" s="456"/>
      <c r="F112" s="456"/>
    </row>
    <row r="113" spans="1:16" s="455" customFormat="1" outlineLevel="1" x14ac:dyDescent="0.35">
      <c r="A113" s="430">
        <v>1</v>
      </c>
      <c r="B113" s="429" t="s">
        <v>738</v>
      </c>
      <c r="C113" s="430" t="s">
        <v>266</v>
      </c>
      <c r="D113" s="430"/>
      <c r="E113" s="430"/>
      <c r="F113" s="430"/>
      <c r="J113" s="430"/>
      <c r="K113" s="430"/>
      <c r="L113" s="430"/>
      <c r="M113" s="430"/>
      <c r="N113" s="430"/>
      <c r="O113" s="430"/>
      <c r="P113" s="430"/>
    </row>
    <row r="114" spans="1:16" s="455" customFormat="1" ht="96" outlineLevel="1" x14ac:dyDescent="0.35">
      <c r="A114" s="41"/>
      <c r="B114" s="1151" t="s">
        <v>737</v>
      </c>
      <c r="C114" s="333" t="s">
        <v>266</v>
      </c>
      <c r="D114" s="333">
        <f>Input!D151</f>
        <v>4</v>
      </c>
      <c r="E114" s="393">
        <f>ROUND(SUM($J114:$N114),3)</f>
        <v>1321.9839999999999</v>
      </c>
      <c r="F114" s="1235">
        <f>E114*D114</f>
        <v>5287.9359999999997</v>
      </c>
      <c r="J114" s="478">
        <f>85843142.8*1.1/10^5</f>
        <v>944.27457079999999</v>
      </c>
      <c r="K114" s="479">
        <f>$J114*Input!D$168</f>
        <v>188.85491416000002</v>
      </c>
      <c r="L114" s="479">
        <f>$J114*Input!D$169</f>
        <v>47.213728540000005</v>
      </c>
      <c r="M114" s="479">
        <f>$J114*Input!D$170</f>
        <v>18.885491416000001</v>
      </c>
      <c r="N114" s="479">
        <f>$J114*(Input!$D$172+Input!$D$173)</f>
        <v>122.75569420400001</v>
      </c>
      <c r="O114" s="479">
        <f>SUM(D114:N114)*O$111</f>
        <v>0</v>
      </c>
      <c r="P114" s="476">
        <f>SUM(J114:O114)*D114</f>
        <v>5287.9375964799992</v>
      </c>
    </row>
    <row r="115" spans="1:16" s="455" customFormat="1" outlineLevel="1" x14ac:dyDescent="0.35">
      <c r="A115" s="430">
        <v>2</v>
      </c>
      <c r="B115" s="429" t="s">
        <v>282</v>
      </c>
      <c r="C115" s="430" t="s">
        <v>266</v>
      </c>
      <c r="D115" s="431"/>
      <c r="E115" s="431"/>
      <c r="F115" s="508"/>
      <c r="J115" s="508"/>
      <c r="K115" s="508"/>
      <c r="L115" s="508"/>
      <c r="M115" s="508"/>
      <c r="N115" s="508"/>
      <c r="O115" s="508"/>
      <c r="P115" s="508"/>
    </row>
    <row r="116" spans="1:16" s="455" customFormat="1" outlineLevel="1" x14ac:dyDescent="0.35">
      <c r="A116" s="185" t="s">
        <v>292</v>
      </c>
      <c r="B116" s="451" t="s">
        <v>293</v>
      </c>
      <c r="C116" s="301"/>
      <c r="D116" s="301"/>
      <c r="E116" s="301"/>
      <c r="F116" s="509"/>
      <c r="P116" s="447"/>
    </row>
    <row r="117" spans="1:16" s="455" customFormat="1" outlineLevel="1" x14ac:dyDescent="0.35">
      <c r="A117" s="41"/>
      <c r="B117" s="443" t="s">
        <v>294</v>
      </c>
      <c r="C117" s="41" t="s">
        <v>266</v>
      </c>
      <c r="D117" s="42">
        <f>Input!D152</f>
        <v>12</v>
      </c>
      <c r="E117" s="364">
        <f>ROUND(SUM($J117:$N117),3)</f>
        <v>4.8440000000000003</v>
      </c>
      <c r="F117" s="507">
        <f>E117*D117</f>
        <v>58.128</v>
      </c>
      <c r="J117" s="478">
        <f>346025/10^5</f>
        <v>3.4602499999999998</v>
      </c>
      <c r="K117" s="479">
        <f>$J117*Input!D$168</f>
        <v>0.69205000000000005</v>
      </c>
      <c r="L117" s="479">
        <f>$J117*Input!D$169</f>
        <v>0.17301250000000001</v>
      </c>
      <c r="M117" s="479">
        <f>$J117*Input!D$170</f>
        <v>6.9205000000000003E-2</v>
      </c>
      <c r="N117" s="479">
        <f>$J117*(Input!$D$172+Input!$D$173)</f>
        <v>0.44983249999999997</v>
      </c>
      <c r="O117" s="479">
        <f>SUM(D117:N117)*O$111</f>
        <v>0</v>
      </c>
      <c r="P117" s="476">
        <f>SUM(J117:O117)*D117</f>
        <v>58.132200000000012</v>
      </c>
    </row>
    <row r="118" spans="1:16" s="455" customFormat="1" outlineLevel="1" x14ac:dyDescent="0.35">
      <c r="A118" s="185" t="s">
        <v>295</v>
      </c>
      <c r="B118" s="451" t="s">
        <v>296</v>
      </c>
      <c r="C118" s="301"/>
      <c r="D118" s="301"/>
      <c r="E118" s="301"/>
      <c r="F118" s="509"/>
      <c r="P118" s="447"/>
    </row>
    <row r="119" spans="1:16" s="455" customFormat="1" outlineLevel="1" x14ac:dyDescent="0.35">
      <c r="A119" s="41"/>
      <c r="B119" s="443" t="s">
        <v>297</v>
      </c>
      <c r="C119" s="41" t="s">
        <v>266</v>
      </c>
      <c r="D119" s="42">
        <f>$D$5*3</f>
        <v>36</v>
      </c>
      <c r="E119" s="364">
        <f>ROUND(SUM($J119:$N119),3)</f>
        <v>0.42699999999999999</v>
      </c>
      <c r="F119" s="507">
        <f>E119*D119</f>
        <v>15.372</v>
      </c>
      <c r="J119" s="478">
        <f>(30500)/10^5</f>
        <v>0.30499999999999999</v>
      </c>
      <c r="K119" s="479">
        <f>$J119*Input!D$168</f>
        <v>6.0999999999999999E-2</v>
      </c>
      <c r="L119" s="479">
        <f>$J119*Input!D$169</f>
        <v>1.525E-2</v>
      </c>
      <c r="M119" s="479">
        <f>$J119*Input!D$170</f>
        <v>6.1000000000000004E-3</v>
      </c>
      <c r="N119" s="479">
        <f>$J119*(Input!$D$172+Input!$D$173)</f>
        <v>3.9649999999999998E-2</v>
      </c>
      <c r="O119" s="479">
        <f>SUM(D119:N119)*O$111</f>
        <v>0</v>
      </c>
      <c r="P119" s="476">
        <f>SUM(J119:O119)*D119</f>
        <v>15.372</v>
      </c>
    </row>
    <row r="120" spans="1:16" s="455" customFormat="1" outlineLevel="1" x14ac:dyDescent="0.35">
      <c r="A120" s="185" t="s">
        <v>298</v>
      </c>
      <c r="B120" s="451" t="s">
        <v>299</v>
      </c>
      <c r="C120" s="301"/>
      <c r="D120" s="301"/>
      <c r="E120" s="301"/>
      <c r="F120" s="509"/>
      <c r="P120" s="447"/>
    </row>
    <row r="121" spans="1:16" s="455" customFormat="1" outlineLevel="1" x14ac:dyDescent="0.35">
      <c r="A121" s="41"/>
      <c r="B121" s="443" t="s">
        <v>300</v>
      </c>
      <c r="C121" s="41" t="s">
        <v>266</v>
      </c>
      <c r="D121" s="42">
        <f>$D$5*3</f>
        <v>36</v>
      </c>
      <c r="E121" s="364">
        <f>ROUND(SUM($J121:$N121),3)</f>
        <v>2.6880000000000002</v>
      </c>
      <c r="F121" s="507">
        <f>E121*D121</f>
        <v>96.768000000000001</v>
      </c>
      <c r="J121" s="478">
        <f>(191991)/10^5</f>
        <v>1.91991</v>
      </c>
      <c r="K121" s="479">
        <f>$J121*Input!D$168</f>
        <v>0.38398200000000005</v>
      </c>
      <c r="L121" s="479">
        <f>$J121*Input!D$169</f>
        <v>9.5995500000000011E-2</v>
      </c>
      <c r="M121" s="479">
        <f>$J121*Input!D$170</f>
        <v>3.83982E-2</v>
      </c>
      <c r="N121" s="479">
        <f>$J121*(Input!$D$172+Input!$D$173)</f>
        <v>0.24958830000000001</v>
      </c>
      <c r="O121" s="479">
        <f>SUM(D121:N121)*O$111</f>
        <v>0</v>
      </c>
      <c r="P121" s="476">
        <f>SUM(J121:O121)*D121</f>
        <v>96.763464000000013</v>
      </c>
    </row>
    <row r="122" spans="1:16" s="455" customFormat="1" outlineLevel="1" x14ac:dyDescent="0.35">
      <c r="A122" s="185" t="s">
        <v>301</v>
      </c>
      <c r="B122" s="451" t="s">
        <v>302</v>
      </c>
      <c r="C122" s="301"/>
      <c r="D122" s="301"/>
      <c r="E122" s="301"/>
      <c r="F122" s="509"/>
      <c r="P122" s="447"/>
    </row>
    <row r="123" spans="1:16" s="455" customFormat="1" outlineLevel="1" x14ac:dyDescent="0.35">
      <c r="A123" s="41"/>
      <c r="B123" s="443" t="s">
        <v>303</v>
      </c>
      <c r="C123" s="41" t="s">
        <v>266</v>
      </c>
      <c r="D123" s="42">
        <f>$D$5*3</f>
        <v>36</v>
      </c>
      <c r="E123" s="364">
        <f>ROUND(SUM($J123:$N123),3)</f>
        <v>1.143</v>
      </c>
      <c r="F123" s="507">
        <f>E123*D123</f>
        <v>41.148000000000003</v>
      </c>
      <c r="J123" s="478">
        <f>(81675)/10^5</f>
        <v>0.81674999999999998</v>
      </c>
      <c r="K123" s="479">
        <f>$J123*Input!D$168</f>
        <v>0.16335</v>
      </c>
      <c r="L123" s="479">
        <f>$J123*Input!D$169</f>
        <v>4.0837499999999999E-2</v>
      </c>
      <c r="M123" s="479">
        <f>$J123*Input!D$170</f>
        <v>1.6334999999999999E-2</v>
      </c>
      <c r="N123" s="479">
        <f>$J123*(Input!$D$172+Input!$D$173)</f>
        <v>0.10617749999999999</v>
      </c>
      <c r="O123" s="479">
        <f>SUM(D123:N123)*O$111</f>
        <v>0</v>
      </c>
      <c r="P123" s="476">
        <f>SUM(J123:O123)*D123</f>
        <v>41.164200000000001</v>
      </c>
    </row>
    <row r="124" spans="1:16" s="455" customFormat="1" outlineLevel="1" x14ac:dyDescent="0.35">
      <c r="A124" s="185" t="s">
        <v>304</v>
      </c>
      <c r="B124" s="451" t="s">
        <v>305</v>
      </c>
      <c r="C124" s="301"/>
      <c r="D124" s="301"/>
      <c r="E124" s="301"/>
      <c r="F124" s="509"/>
      <c r="P124" s="447"/>
    </row>
    <row r="125" spans="1:16" s="455" customFormat="1" outlineLevel="1" x14ac:dyDescent="0.35">
      <c r="A125" s="41"/>
      <c r="B125" s="443" t="s">
        <v>306</v>
      </c>
      <c r="C125" s="41" t="s">
        <v>266</v>
      </c>
      <c r="D125" s="42">
        <f>$D$5*3</f>
        <v>36</v>
      </c>
      <c r="E125" s="364">
        <f>ROUND(SUM($J125:$N125),3)</f>
        <v>0.88</v>
      </c>
      <c r="F125" s="507">
        <f>E125*D125</f>
        <v>31.68</v>
      </c>
      <c r="J125" s="478">
        <f>(62838)/10^5</f>
        <v>0.62838000000000005</v>
      </c>
      <c r="K125" s="479">
        <f>$J125*Input!D$168</f>
        <v>0.12567600000000001</v>
      </c>
      <c r="L125" s="479">
        <f>$J125*Input!D$169</f>
        <v>3.1419000000000002E-2</v>
      </c>
      <c r="M125" s="479">
        <f>$J125*Input!D$170</f>
        <v>1.2567600000000002E-2</v>
      </c>
      <c r="N125" s="479">
        <f>$J125*(Input!$D$172+Input!$D$173)</f>
        <v>8.1689400000000009E-2</v>
      </c>
      <c r="O125" s="479">
        <f>SUM(D125:N125)*O$111</f>
        <v>0</v>
      </c>
      <c r="P125" s="476">
        <f>SUM(J125:O125)*D125</f>
        <v>31.670352000000001</v>
      </c>
    </row>
    <row r="126" spans="1:16" s="455" customFormat="1" outlineLevel="1" x14ac:dyDescent="0.35">
      <c r="A126" s="185" t="s">
        <v>736</v>
      </c>
      <c r="B126" s="451" t="s">
        <v>735</v>
      </c>
      <c r="C126" s="301"/>
      <c r="D126" s="301"/>
      <c r="E126" s="301"/>
      <c r="F126" s="509"/>
      <c r="P126" s="447"/>
    </row>
    <row r="127" spans="1:16" s="455" customFormat="1" outlineLevel="1" x14ac:dyDescent="0.35">
      <c r="A127" s="41"/>
      <c r="B127" s="443" t="s">
        <v>734</v>
      </c>
      <c r="C127" s="41" t="s">
        <v>266</v>
      </c>
      <c r="D127" s="42">
        <f>$D$5*3</f>
        <v>36</v>
      </c>
      <c r="E127" s="364">
        <f>ROUND(SUM($J127:$N127),3)</f>
        <v>9.1999999999999998E-2</v>
      </c>
      <c r="F127" s="507">
        <f>E127*D127</f>
        <v>3.3119999999999998</v>
      </c>
      <c r="J127" s="478">
        <f>(6000*1.1)/10^5</f>
        <v>6.6000000000000003E-2</v>
      </c>
      <c r="K127" s="479">
        <f>$J127*Input!D$168</f>
        <v>1.3200000000000002E-2</v>
      </c>
      <c r="L127" s="479">
        <f>$J127*Input!D$169</f>
        <v>3.3000000000000004E-3</v>
      </c>
      <c r="M127" s="479">
        <f>$J127*Input!D$170</f>
        <v>1.32E-3</v>
      </c>
      <c r="N127" s="479">
        <f>$J127*(Input!$D$172+Input!$D$173)</f>
        <v>8.5800000000000008E-3</v>
      </c>
      <c r="O127" s="479">
        <f>SUM(D127:N127)*O$111</f>
        <v>0</v>
      </c>
      <c r="P127" s="476">
        <f>SUM(J127:O127)*D127</f>
        <v>3.3264000000000005</v>
      </c>
    </row>
    <row r="128" spans="1:16" s="455" customFormat="1" outlineLevel="1" x14ac:dyDescent="0.35">
      <c r="A128" s="430">
        <v>3</v>
      </c>
      <c r="B128" s="429" t="s">
        <v>733</v>
      </c>
      <c r="C128" s="430" t="s">
        <v>266</v>
      </c>
      <c r="D128" s="431"/>
      <c r="E128" s="431"/>
      <c r="F128" s="508"/>
      <c r="J128" s="481"/>
      <c r="K128" s="481"/>
      <c r="L128" s="481"/>
      <c r="M128" s="481"/>
      <c r="N128" s="481"/>
      <c r="O128" s="481"/>
      <c r="P128" s="406"/>
    </row>
    <row r="129" spans="1:16" s="455" customFormat="1" outlineLevel="1" x14ac:dyDescent="0.35">
      <c r="A129" s="185" t="s">
        <v>292</v>
      </c>
      <c r="B129" s="451" t="s">
        <v>293</v>
      </c>
      <c r="C129" s="301"/>
      <c r="D129" s="301"/>
      <c r="E129" s="301"/>
      <c r="F129" s="509"/>
      <c r="P129" s="447"/>
    </row>
    <row r="130" spans="1:16" s="455" customFormat="1" outlineLevel="1" x14ac:dyDescent="0.35">
      <c r="A130" s="41"/>
      <c r="B130" s="443" t="s">
        <v>294</v>
      </c>
      <c r="C130" s="41" t="s">
        <v>266</v>
      </c>
      <c r="D130" s="42">
        <f>$D$6</f>
        <v>8</v>
      </c>
      <c r="E130" s="364">
        <f>ROUND(SUM($J130:$N130),3)</f>
        <v>4.8440000000000003</v>
      </c>
      <c r="F130" s="507">
        <f>E130*D130</f>
        <v>38.752000000000002</v>
      </c>
      <c r="J130" s="478">
        <f>346025/10^5</f>
        <v>3.4602499999999998</v>
      </c>
      <c r="K130" s="479">
        <f>$J130*Input!D$168</f>
        <v>0.69205000000000005</v>
      </c>
      <c r="L130" s="479">
        <f>$J130*Input!D$169</f>
        <v>0.17301250000000001</v>
      </c>
      <c r="M130" s="479">
        <f>$J130*Input!D$170</f>
        <v>6.9205000000000003E-2</v>
      </c>
      <c r="N130" s="479">
        <f>$J130*(Input!$D$172+Input!$D$173)</f>
        <v>0.44983249999999997</v>
      </c>
      <c r="O130" s="479">
        <f>SUM(D130:N130)*O$111</f>
        <v>0</v>
      </c>
      <c r="P130" s="476">
        <f>SUM(J130:O130)*D130</f>
        <v>38.75480000000001</v>
      </c>
    </row>
    <row r="131" spans="1:16" s="455" customFormat="1" outlineLevel="1" x14ac:dyDescent="0.35">
      <c r="A131" s="185" t="s">
        <v>295</v>
      </c>
      <c r="B131" s="451" t="s">
        <v>299</v>
      </c>
      <c r="C131" s="301"/>
      <c r="D131" s="301"/>
      <c r="E131" s="301"/>
      <c r="F131" s="509"/>
      <c r="P131" s="447"/>
    </row>
    <row r="132" spans="1:16" s="455" customFormat="1" outlineLevel="1" x14ac:dyDescent="0.35">
      <c r="A132" s="41"/>
      <c r="B132" s="443" t="s">
        <v>300</v>
      </c>
      <c r="C132" s="41" t="s">
        <v>266</v>
      </c>
      <c r="D132" s="42">
        <f>$D$6*2</f>
        <v>16</v>
      </c>
      <c r="E132" s="364">
        <f>ROUND(SUM($J132:$N132),3)</f>
        <v>2.6880000000000002</v>
      </c>
      <c r="F132" s="507">
        <f>E132*D132</f>
        <v>43.008000000000003</v>
      </c>
      <c r="J132" s="478">
        <f>(191991)/10^5</f>
        <v>1.91991</v>
      </c>
      <c r="K132" s="479">
        <f>$J132*Input!D$168</f>
        <v>0.38398200000000005</v>
      </c>
      <c r="L132" s="479">
        <f>$J132*Input!D$169</f>
        <v>9.5995500000000011E-2</v>
      </c>
      <c r="M132" s="479">
        <f>$J132*Input!D$170</f>
        <v>3.83982E-2</v>
      </c>
      <c r="N132" s="479">
        <f>$J132*(Input!$D$172+Input!$D$173)</f>
        <v>0.24958830000000001</v>
      </c>
      <c r="O132" s="479">
        <f>SUM(D132:N132)*O$111</f>
        <v>0</v>
      </c>
      <c r="P132" s="476">
        <f>SUM(J132:O132)*D132</f>
        <v>43.005984000000005</v>
      </c>
    </row>
    <row r="133" spans="1:16" s="455" customFormat="1" outlineLevel="1" x14ac:dyDescent="0.35">
      <c r="A133" s="185" t="s">
        <v>298</v>
      </c>
      <c r="B133" s="451" t="s">
        <v>302</v>
      </c>
      <c r="C133" s="301"/>
      <c r="D133" s="301"/>
      <c r="E133" s="301"/>
      <c r="F133" s="509"/>
      <c r="P133" s="447"/>
    </row>
    <row r="134" spans="1:16" s="455" customFormat="1" outlineLevel="1" x14ac:dyDescent="0.35">
      <c r="A134" s="41"/>
      <c r="B134" s="443" t="s">
        <v>303</v>
      </c>
      <c r="C134" s="41" t="s">
        <v>266</v>
      </c>
      <c r="D134" s="42">
        <f>($D$6/2+1)*3</f>
        <v>15</v>
      </c>
      <c r="E134" s="364">
        <f>ROUND(SUM($J134:$N134),3)</f>
        <v>1.143</v>
      </c>
      <c r="F134" s="507">
        <f>E134*D134</f>
        <v>17.145</v>
      </c>
      <c r="J134" s="478">
        <f>(81675)/10^5</f>
        <v>0.81674999999999998</v>
      </c>
      <c r="K134" s="479">
        <f>$J134*Input!D$168</f>
        <v>0.16335</v>
      </c>
      <c r="L134" s="479">
        <f>$J134*Input!D$169</f>
        <v>4.0837499999999999E-2</v>
      </c>
      <c r="M134" s="479">
        <f>$J134*Input!D$170</f>
        <v>1.6334999999999999E-2</v>
      </c>
      <c r="N134" s="479">
        <f>$J134*(Input!$D$172+Input!$D$173)</f>
        <v>0.10617749999999999</v>
      </c>
      <c r="O134" s="479">
        <f>SUM(D134:N134)*O$111</f>
        <v>0</v>
      </c>
      <c r="P134" s="476">
        <f>SUM(J134:O134)*D134</f>
        <v>17.15175</v>
      </c>
    </row>
    <row r="135" spans="1:16" s="455" customFormat="1" outlineLevel="1" x14ac:dyDescent="0.35">
      <c r="A135" s="185" t="s">
        <v>301</v>
      </c>
      <c r="B135" s="451" t="s">
        <v>305</v>
      </c>
      <c r="C135" s="301"/>
      <c r="D135" s="301"/>
      <c r="E135" s="301"/>
      <c r="F135" s="509"/>
      <c r="P135" s="447"/>
    </row>
    <row r="136" spans="1:16" s="455" customFormat="1" outlineLevel="1" x14ac:dyDescent="0.35">
      <c r="A136" s="41"/>
      <c r="B136" s="443" t="s">
        <v>306</v>
      </c>
      <c r="C136" s="41" t="s">
        <v>266</v>
      </c>
      <c r="D136" s="42">
        <f>($D$6/4)*3</f>
        <v>6</v>
      </c>
      <c r="E136" s="364">
        <f>ROUND(SUM($J136:$N136),3)</f>
        <v>0.88</v>
      </c>
      <c r="F136" s="507">
        <f>E136*D136</f>
        <v>5.28</v>
      </c>
      <c r="J136" s="478">
        <f>(62838)/10^5</f>
        <v>0.62838000000000005</v>
      </c>
      <c r="K136" s="479">
        <f>$J136*Input!D$168</f>
        <v>0.12567600000000001</v>
      </c>
      <c r="L136" s="479">
        <f>$J136*Input!D$169</f>
        <v>3.1419000000000002E-2</v>
      </c>
      <c r="M136" s="479">
        <f>$J136*Input!D$170</f>
        <v>1.2567600000000002E-2</v>
      </c>
      <c r="N136" s="479">
        <f>$J136*(Input!$D$172+Input!$D$173)</f>
        <v>8.1689400000000009E-2</v>
      </c>
      <c r="O136" s="479">
        <f>SUM(D136:N136)*O$111</f>
        <v>0</v>
      </c>
      <c r="P136" s="476">
        <f>SUM(J136:O136)*D136</f>
        <v>5.2783920000000002</v>
      </c>
    </row>
    <row r="137" spans="1:16" s="455" customFormat="1" outlineLevel="1" x14ac:dyDescent="0.35">
      <c r="A137" s="430">
        <v>4</v>
      </c>
      <c r="B137" s="429" t="s">
        <v>283</v>
      </c>
      <c r="C137" s="430" t="s">
        <v>266</v>
      </c>
      <c r="D137" s="431"/>
      <c r="E137" s="431"/>
      <c r="F137" s="508"/>
      <c r="J137" s="481"/>
      <c r="K137" s="481"/>
      <c r="L137" s="481"/>
      <c r="M137" s="481"/>
      <c r="N137" s="481"/>
      <c r="O137" s="481"/>
      <c r="P137" s="406">
        <f>SUM(P139,P141,P143,P145)</f>
        <v>79.325736000000006</v>
      </c>
    </row>
    <row r="138" spans="1:16" s="455" customFormat="1" outlineLevel="1" x14ac:dyDescent="0.35">
      <c r="A138" s="185" t="s">
        <v>292</v>
      </c>
      <c r="B138" s="451" t="s">
        <v>293</v>
      </c>
      <c r="C138" s="301"/>
      <c r="D138" s="301"/>
      <c r="E138" s="301"/>
      <c r="F138" s="509"/>
      <c r="P138" s="447"/>
    </row>
    <row r="139" spans="1:16" s="455" customFormat="1" outlineLevel="1" x14ac:dyDescent="0.35">
      <c r="A139" s="41"/>
      <c r="B139" s="443" t="s">
        <v>307</v>
      </c>
      <c r="C139" s="41" t="s">
        <v>266</v>
      </c>
      <c r="D139" s="42">
        <f>$D$7</f>
        <v>4</v>
      </c>
      <c r="E139" s="364">
        <f>ROUND(SUM($J139:$N139),3)</f>
        <v>5.74</v>
      </c>
      <c r="F139" s="507">
        <f>E139*D139</f>
        <v>22.96</v>
      </c>
      <c r="J139" s="478">
        <f>410000/10^5</f>
        <v>4.0999999999999996</v>
      </c>
      <c r="K139" s="479">
        <f>$J139*Input!D$168</f>
        <v>0.82</v>
      </c>
      <c r="L139" s="479">
        <f>$J139*Input!D$169</f>
        <v>0.20499999999999999</v>
      </c>
      <c r="M139" s="479">
        <f>$J139*Input!D$170</f>
        <v>8.199999999999999E-2</v>
      </c>
      <c r="N139" s="479">
        <f>$J139*(Input!$D$172+Input!$D$173)</f>
        <v>0.53299999999999992</v>
      </c>
      <c r="O139" s="479">
        <f>SUM(D139:N139)*O$111</f>
        <v>0</v>
      </c>
      <c r="P139" s="476">
        <f>SUM(J139:O139)*D139</f>
        <v>22.96</v>
      </c>
    </row>
    <row r="140" spans="1:16" s="455" customFormat="1" outlineLevel="1" x14ac:dyDescent="0.35">
      <c r="A140" s="185" t="s">
        <v>295</v>
      </c>
      <c r="B140" s="451" t="s">
        <v>299</v>
      </c>
      <c r="C140" s="301"/>
      <c r="D140" s="301"/>
      <c r="E140" s="301"/>
      <c r="F140" s="509"/>
      <c r="P140" s="447"/>
    </row>
    <row r="141" spans="1:16" s="455" customFormat="1" outlineLevel="1" x14ac:dyDescent="0.35">
      <c r="A141" s="41"/>
      <c r="B141" s="443" t="s">
        <v>300</v>
      </c>
      <c r="C141" s="41" t="s">
        <v>266</v>
      </c>
      <c r="D141" s="42">
        <f>$D$7</f>
        <v>4</v>
      </c>
      <c r="E141" s="364">
        <f>ROUND(SUM($J141:$N141),3)</f>
        <v>8.7949999999999999</v>
      </c>
      <c r="F141" s="507">
        <f>E141*D141</f>
        <v>35.18</v>
      </c>
      <c r="J141" s="478">
        <f>(211190*2+205869)/10^5</f>
        <v>6.2824900000000001</v>
      </c>
      <c r="K141" s="479">
        <f>$J141*Input!D$168</f>
        <v>1.2564980000000001</v>
      </c>
      <c r="L141" s="479">
        <f>$J141*Input!D$169</f>
        <v>0.31412450000000003</v>
      </c>
      <c r="M141" s="479">
        <f>$J141*Input!D$170</f>
        <v>0.12564980000000001</v>
      </c>
      <c r="N141" s="479">
        <f>$J141*(Input!$D$172+Input!$D$173)</f>
        <v>0.81672370000000005</v>
      </c>
      <c r="O141" s="479">
        <f>SUM(D141:N141)*O$111</f>
        <v>0</v>
      </c>
      <c r="P141" s="476">
        <f>SUM(J141:O141)*D141</f>
        <v>35.181944000000001</v>
      </c>
    </row>
    <row r="142" spans="1:16" s="455" customFormat="1" outlineLevel="1" x14ac:dyDescent="0.35">
      <c r="A142" s="185" t="s">
        <v>298</v>
      </c>
      <c r="B142" s="451" t="s">
        <v>302</v>
      </c>
      <c r="C142" s="301"/>
      <c r="D142" s="301"/>
      <c r="E142" s="301"/>
      <c r="F142" s="509"/>
      <c r="P142" s="447"/>
    </row>
    <row r="143" spans="1:16" s="455" customFormat="1" outlineLevel="1" x14ac:dyDescent="0.35">
      <c r="A143" s="41"/>
      <c r="B143" s="443" t="s">
        <v>308</v>
      </c>
      <c r="C143" s="41" t="s">
        <v>266</v>
      </c>
      <c r="D143" s="42">
        <f>$D$7*3</f>
        <v>12</v>
      </c>
      <c r="E143" s="364">
        <f>ROUND(SUM($J143:$N143),3)</f>
        <v>1.3380000000000001</v>
      </c>
      <c r="F143" s="507">
        <f>E143*D143</f>
        <v>16.056000000000001</v>
      </c>
      <c r="J143" s="478">
        <f>(95594)/10^5</f>
        <v>0.95594000000000001</v>
      </c>
      <c r="K143" s="479">
        <f>$J143*Input!D$168</f>
        <v>0.19118800000000002</v>
      </c>
      <c r="L143" s="479">
        <f>$J143*Input!D$169</f>
        <v>4.7797000000000006E-2</v>
      </c>
      <c r="M143" s="479">
        <f>$J143*Input!D$170</f>
        <v>1.9118800000000002E-2</v>
      </c>
      <c r="N143" s="479">
        <f>$J143*(Input!$D$172+Input!$D$173)</f>
        <v>0.1242722</v>
      </c>
      <c r="O143" s="479">
        <f>SUM(D143:N143)*O$111</f>
        <v>0</v>
      </c>
      <c r="P143" s="476">
        <f>SUM(J143:O143)*D143</f>
        <v>16.059792000000002</v>
      </c>
    </row>
    <row r="144" spans="1:16" s="455" customFormat="1" outlineLevel="1" x14ac:dyDescent="0.35">
      <c r="A144" s="185" t="s">
        <v>301</v>
      </c>
      <c r="B144" s="451" t="s">
        <v>296</v>
      </c>
      <c r="C144" s="301"/>
      <c r="D144" s="301"/>
      <c r="E144" s="301"/>
      <c r="F144" s="509"/>
      <c r="P144" s="447"/>
    </row>
    <row r="145" spans="1:16" s="455" customFormat="1" outlineLevel="1" x14ac:dyDescent="0.35">
      <c r="A145" s="41"/>
      <c r="B145" s="443" t="s">
        <v>297</v>
      </c>
      <c r="C145" s="41" t="s">
        <v>266</v>
      </c>
      <c r="D145" s="42">
        <f>$D$7*3</f>
        <v>12</v>
      </c>
      <c r="E145" s="364">
        <f>ROUND(SUM($J145:$N145),3)</f>
        <v>0.42699999999999999</v>
      </c>
      <c r="F145" s="507">
        <f>E145*D145</f>
        <v>5.1239999999999997</v>
      </c>
      <c r="J145" s="478">
        <f>(30500)/10^5</f>
        <v>0.30499999999999999</v>
      </c>
      <c r="K145" s="479">
        <f>$J145*Input!D$168</f>
        <v>6.0999999999999999E-2</v>
      </c>
      <c r="L145" s="479">
        <f>$J145*Input!D$169</f>
        <v>1.525E-2</v>
      </c>
      <c r="M145" s="479">
        <f>$J145*Input!D$170</f>
        <v>6.1000000000000004E-3</v>
      </c>
      <c r="N145" s="479">
        <f>$J145*(Input!$D$172+Input!$D$173)</f>
        <v>3.9649999999999998E-2</v>
      </c>
      <c r="O145" s="479">
        <f>SUM(D145:N145)*O$111</f>
        <v>0</v>
      </c>
      <c r="P145" s="476">
        <f>SUM(J145:O145)*D145</f>
        <v>5.1239999999999997</v>
      </c>
    </row>
    <row r="146" spans="1:16" s="455" customFormat="1" outlineLevel="1" x14ac:dyDescent="0.35">
      <c r="A146" s="430">
        <v>5</v>
      </c>
      <c r="B146" s="429" t="s">
        <v>732</v>
      </c>
      <c r="C146" s="430" t="s">
        <v>728</v>
      </c>
      <c r="D146" s="431"/>
      <c r="E146" s="431"/>
      <c r="F146" s="508"/>
      <c r="J146" s="481"/>
      <c r="K146" s="481"/>
      <c r="L146" s="481"/>
      <c r="M146" s="481"/>
      <c r="N146" s="481"/>
      <c r="O146" s="481"/>
      <c r="P146" s="406"/>
    </row>
    <row r="147" spans="1:16" s="455" customFormat="1" outlineLevel="1" x14ac:dyDescent="0.35">
      <c r="A147" s="41" t="s">
        <v>268</v>
      </c>
      <c r="B147" s="447" t="s">
        <v>731</v>
      </c>
      <c r="C147" s="445" t="s">
        <v>266</v>
      </c>
      <c r="D147" s="42">
        <f>ROUND(($D$8/20),0)</f>
        <v>3</v>
      </c>
      <c r="E147" s="364">
        <f>ROUND(SUM($J147:$N147),3)</f>
        <v>0</v>
      </c>
      <c r="F147" s="507">
        <f>E147*D147</f>
        <v>0</v>
      </c>
      <c r="J147" s="446"/>
      <c r="K147" s="446"/>
      <c r="L147" s="446"/>
      <c r="M147" s="446"/>
      <c r="N147" s="446"/>
      <c r="O147" s="446"/>
      <c r="P147" s="446"/>
    </row>
    <row r="148" spans="1:16" s="455" customFormat="1" outlineLevel="1" x14ac:dyDescent="0.35">
      <c r="A148" s="185" t="s">
        <v>292</v>
      </c>
      <c r="B148" s="451" t="s">
        <v>293</v>
      </c>
      <c r="C148" s="301"/>
      <c r="D148" s="301"/>
      <c r="E148" s="301"/>
      <c r="F148" s="509"/>
      <c r="P148" s="447"/>
    </row>
    <row r="149" spans="1:16" s="455" customFormat="1" outlineLevel="1" x14ac:dyDescent="0.35">
      <c r="A149" s="41"/>
      <c r="B149" s="443" t="s">
        <v>307</v>
      </c>
      <c r="C149" s="41" t="s">
        <v>266</v>
      </c>
      <c r="D149" s="42">
        <f>ROUND(($D$8/20),0)</f>
        <v>3</v>
      </c>
      <c r="E149" s="364">
        <f>ROUND(SUM($J149:$N149),3)</f>
        <v>5.74</v>
      </c>
      <c r="F149" s="507">
        <f>E149*D149</f>
        <v>17.22</v>
      </c>
      <c r="J149" s="478">
        <f>410000/10^5</f>
        <v>4.0999999999999996</v>
      </c>
      <c r="K149" s="479">
        <f>$J149*Input!D$168</f>
        <v>0.82</v>
      </c>
      <c r="L149" s="479">
        <f>$J149*Input!D$169</f>
        <v>0.20499999999999999</v>
      </c>
      <c r="M149" s="479">
        <f>$J149*Input!D$170</f>
        <v>8.199999999999999E-2</v>
      </c>
      <c r="N149" s="479">
        <f>$J149*(Input!$D$172+Input!$D$173)</f>
        <v>0.53299999999999992</v>
      </c>
      <c r="O149" s="479">
        <f>SUM(D149:N149)*O$111</f>
        <v>0</v>
      </c>
      <c r="P149" s="476">
        <f>SUM(J149:O149)*D149</f>
        <v>17.22</v>
      </c>
    </row>
    <row r="150" spans="1:16" s="455" customFormat="1" outlineLevel="1" x14ac:dyDescent="0.35">
      <c r="A150" s="185" t="s">
        <v>295</v>
      </c>
      <c r="B150" s="451" t="s">
        <v>299</v>
      </c>
      <c r="C150" s="301"/>
      <c r="D150" s="301"/>
      <c r="E150" s="301"/>
      <c r="F150" s="509"/>
      <c r="P150" s="447"/>
    </row>
    <row r="151" spans="1:16" s="455" customFormat="1" outlineLevel="1" x14ac:dyDescent="0.35">
      <c r="A151" s="41"/>
      <c r="B151" s="443" t="s">
        <v>300</v>
      </c>
      <c r="C151" s="41" t="s">
        <v>266</v>
      </c>
      <c r="D151" s="42">
        <f>ROUND(($D$8/20),0)</f>
        <v>3</v>
      </c>
      <c r="E151" s="364">
        <f>ROUND(SUM($J151:$N151),3)</f>
        <v>8.7949999999999999</v>
      </c>
      <c r="F151" s="507">
        <f>E151*D151</f>
        <v>26.384999999999998</v>
      </c>
      <c r="J151" s="478">
        <f>(211190*2+205869)/10^5</f>
        <v>6.2824900000000001</v>
      </c>
      <c r="K151" s="479">
        <f>$J151*Input!D$168</f>
        <v>1.2564980000000001</v>
      </c>
      <c r="L151" s="479">
        <f>$J151*Input!D$169</f>
        <v>0.31412450000000003</v>
      </c>
      <c r="M151" s="479">
        <f>$J151*Input!D$170</f>
        <v>0.12564980000000001</v>
      </c>
      <c r="N151" s="479">
        <f>$J151*(Input!$D$172+Input!$D$173)</f>
        <v>0.81672370000000005</v>
      </c>
      <c r="O151" s="479">
        <f>SUM(D151:N151)*O$111</f>
        <v>0</v>
      </c>
      <c r="P151" s="476">
        <f>SUM(J151:O151)*D151</f>
        <v>26.386458000000001</v>
      </c>
    </row>
    <row r="152" spans="1:16" s="455" customFormat="1" outlineLevel="1" x14ac:dyDescent="0.35">
      <c r="A152" s="185" t="s">
        <v>298</v>
      </c>
      <c r="B152" s="451" t="s">
        <v>302</v>
      </c>
      <c r="C152" s="301"/>
      <c r="D152" s="301"/>
      <c r="E152" s="301"/>
      <c r="F152" s="509"/>
      <c r="P152" s="447"/>
    </row>
    <row r="153" spans="1:16" s="455" customFormat="1" outlineLevel="1" x14ac:dyDescent="0.35">
      <c r="A153" s="41"/>
      <c r="B153" s="443" t="s">
        <v>308</v>
      </c>
      <c r="C153" s="41" t="s">
        <v>266</v>
      </c>
      <c r="D153" s="42">
        <f>ROUND(($D$8/20),0)*3</f>
        <v>9</v>
      </c>
      <c r="E153" s="364">
        <f>ROUND(SUM($J153:$N153),3)</f>
        <v>1.3380000000000001</v>
      </c>
      <c r="F153" s="507">
        <f>E153*D153</f>
        <v>12.042000000000002</v>
      </c>
      <c r="J153" s="478">
        <f>(95594)/10^5</f>
        <v>0.95594000000000001</v>
      </c>
      <c r="K153" s="479">
        <f>$J153*Input!D$168</f>
        <v>0.19118800000000002</v>
      </c>
      <c r="L153" s="479">
        <f>$J153*Input!D$169</f>
        <v>4.7797000000000006E-2</v>
      </c>
      <c r="M153" s="479">
        <f>$J153*Input!D$170</f>
        <v>1.9118800000000002E-2</v>
      </c>
      <c r="N153" s="479">
        <f>$J153*(Input!$D$172+Input!$D$173)</f>
        <v>0.1242722</v>
      </c>
      <c r="O153" s="479">
        <f>SUM(D153:N153)*O$111</f>
        <v>0</v>
      </c>
      <c r="P153" s="476">
        <f>SUM(J153:O153)*D153</f>
        <v>12.044844000000001</v>
      </c>
    </row>
    <row r="154" spans="1:16" s="455" customFormat="1" outlineLevel="1" x14ac:dyDescent="0.35">
      <c r="A154" s="185" t="s">
        <v>301</v>
      </c>
      <c r="B154" s="451" t="s">
        <v>296</v>
      </c>
      <c r="C154" s="301"/>
      <c r="D154" s="301"/>
      <c r="E154" s="301"/>
      <c r="F154" s="509"/>
      <c r="P154" s="447"/>
    </row>
    <row r="155" spans="1:16" s="455" customFormat="1" outlineLevel="1" x14ac:dyDescent="0.35">
      <c r="A155" s="41"/>
      <c r="B155" s="443" t="s">
        <v>297</v>
      </c>
      <c r="C155" s="41" t="s">
        <v>266</v>
      </c>
      <c r="D155" s="42">
        <f>ROUND(($D$8/20),0)*3</f>
        <v>9</v>
      </c>
      <c r="E155" s="364">
        <f>ROUND(SUM($J155:$N155),3)</f>
        <v>0.42699999999999999</v>
      </c>
      <c r="F155" s="507">
        <f>E155*D155</f>
        <v>3.843</v>
      </c>
      <c r="J155" s="478">
        <f>(30500)/10^5</f>
        <v>0.30499999999999999</v>
      </c>
      <c r="K155" s="479">
        <f>$J155*Input!D$168</f>
        <v>6.0999999999999999E-2</v>
      </c>
      <c r="L155" s="479">
        <f>$J155*Input!D$169</f>
        <v>1.525E-2</v>
      </c>
      <c r="M155" s="479">
        <f>$J155*Input!D$170</f>
        <v>6.1000000000000004E-3</v>
      </c>
      <c r="N155" s="479">
        <f>$J155*(Input!$D$172+Input!$D$173)</f>
        <v>3.9649999999999998E-2</v>
      </c>
      <c r="O155" s="479">
        <f>SUM(D155:N155)*O$111</f>
        <v>0</v>
      </c>
      <c r="P155" s="476">
        <f>SUM(J155:O155)*D155</f>
        <v>3.843</v>
      </c>
    </row>
    <row r="156" spans="1:16" s="455" customFormat="1" outlineLevel="1" x14ac:dyDescent="0.35">
      <c r="A156" s="41" t="s">
        <v>270</v>
      </c>
      <c r="B156" s="447" t="s">
        <v>730</v>
      </c>
      <c r="C156" s="445"/>
      <c r="D156" s="445"/>
      <c r="F156" s="510"/>
      <c r="J156" s="446"/>
      <c r="K156" s="446"/>
      <c r="L156" s="446"/>
      <c r="M156" s="446"/>
      <c r="N156" s="446"/>
      <c r="O156" s="446"/>
      <c r="P156" s="446"/>
    </row>
    <row r="157" spans="1:16" s="455" customFormat="1" ht="36" outlineLevel="1" x14ac:dyDescent="0.35">
      <c r="A157" s="41"/>
      <c r="B157" s="1022" t="s">
        <v>729</v>
      </c>
      <c r="C157" s="41" t="s">
        <v>728</v>
      </c>
      <c r="D157" s="42">
        <f>$D$8</f>
        <v>60</v>
      </c>
      <c r="E157" s="364">
        <f>ROUND(SUM($J157:$N157),3)</f>
        <v>19.600000000000001</v>
      </c>
      <c r="F157" s="507">
        <f>E157*D157</f>
        <v>1176</v>
      </c>
      <c r="J157" s="478">
        <f>14</f>
        <v>14</v>
      </c>
      <c r="K157" s="479">
        <f>$J157*Input!D$168</f>
        <v>2.8000000000000003</v>
      </c>
      <c r="L157" s="479">
        <f>$J157*Input!D$169</f>
        <v>0.70000000000000007</v>
      </c>
      <c r="M157" s="479">
        <f>$J157*Input!D$170</f>
        <v>0.28000000000000003</v>
      </c>
      <c r="N157" s="479">
        <f>$J157*(Input!$D$172+Input!$D$173)</f>
        <v>1.82</v>
      </c>
      <c r="O157" s="479">
        <f>SUM(D157:N157)*O$111</f>
        <v>0</v>
      </c>
      <c r="P157" s="476">
        <f>SUM(J157:O157)*D157</f>
        <v>1176</v>
      </c>
    </row>
    <row r="158" spans="1:16" s="455" customFormat="1" outlineLevel="1" x14ac:dyDescent="0.35">
      <c r="A158" s="430" t="s">
        <v>727</v>
      </c>
      <c r="B158" s="429" t="s">
        <v>309</v>
      </c>
      <c r="C158" s="430" t="s">
        <v>266</v>
      </c>
      <c r="D158" s="431"/>
      <c r="E158" s="431"/>
      <c r="F158" s="508"/>
      <c r="J158" s="480"/>
      <c r="K158" s="480"/>
      <c r="L158" s="480"/>
      <c r="M158" s="480"/>
      <c r="N158" s="480"/>
      <c r="O158" s="480"/>
      <c r="P158" s="480"/>
    </row>
    <row r="159" spans="1:16" s="455" customFormat="1" outlineLevel="1" x14ac:dyDescent="0.35">
      <c r="A159" s="41" t="s">
        <v>292</v>
      </c>
      <c r="B159" s="440" t="s">
        <v>293</v>
      </c>
      <c r="F159" s="510"/>
      <c r="P159" s="447"/>
    </row>
    <row r="160" spans="1:16" s="455" customFormat="1" outlineLevel="1" x14ac:dyDescent="0.35">
      <c r="A160" s="41"/>
      <c r="B160" s="443" t="s">
        <v>310</v>
      </c>
      <c r="C160" s="41" t="s">
        <v>266</v>
      </c>
      <c r="D160" s="42">
        <f>$D$9+$D$10+$D$11</f>
        <v>8</v>
      </c>
      <c r="E160" s="364">
        <f>ROUND(SUM($J160:$N160),3)</f>
        <v>21.396999999999998</v>
      </c>
      <c r="F160" s="507">
        <f>E160*D160</f>
        <v>171.17599999999999</v>
      </c>
      <c r="J160" s="478">
        <f>1528333/10^5</f>
        <v>15.283329999999999</v>
      </c>
      <c r="K160" s="479">
        <f>$J160*Input!D$168</f>
        <v>3.0566659999999999</v>
      </c>
      <c r="L160" s="479">
        <f>$J160*Input!D$169</f>
        <v>0.76416649999999997</v>
      </c>
      <c r="M160" s="479">
        <f>$J160*Input!D$170</f>
        <v>0.30566660000000001</v>
      </c>
      <c r="N160" s="479">
        <f>$J160*(Input!$D$172+Input!$D$173)</f>
        <v>1.9868329</v>
      </c>
      <c r="O160" s="479">
        <f>SUM(D160:N160)*O$111</f>
        <v>0</v>
      </c>
      <c r="P160" s="476">
        <f>SUM(J160:O160)*D160</f>
        <v>171.17329599999999</v>
      </c>
    </row>
    <row r="161" spans="1:16" s="455" customFormat="1" outlineLevel="1" x14ac:dyDescent="0.35">
      <c r="A161" s="41" t="s">
        <v>295</v>
      </c>
      <c r="B161" s="440" t="s">
        <v>296</v>
      </c>
      <c r="F161" s="510"/>
      <c r="P161" s="447"/>
    </row>
    <row r="162" spans="1:16" s="455" customFormat="1" outlineLevel="1" x14ac:dyDescent="0.35">
      <c r="A162" s="41"/>
      <c r="B162" s="443" t="s">
        <v>311</v>
      </c>
      <c r="C162" s="41" t="s">
        <v>266</v>
      </c>
      <c r="D162" s="444">
        <f>4*3+2*3</f>
        <v>18</v>
      </c>
      <c r="E162" s="364">
        <f>ROUND(SUM($J162:$N162),3)</f>
        <v>2.0070000000000001</v>
      </c>
      <c r="F162" s="507">
        <f>E162*D162</f>
        <v>36.126000000000005</v>
      </c>
      <c r="J162" s="478">
        <f>(71666*2)/10^5</f>
        <v>1.4333199999999999</v>
      </c>
      <c r="K162" s="479">
        <f>$J162*Input!D$168</f>
        <v>0.28666399999999997</v>
      </c>
      <c r="L162" s="479">
        <f>$J162*Input!D$169</f>
        <v>7.1665999999999994E-2</v>
      </c>
      <c r="M162" s="479">
        <f>$J162*Input!D$170</f>
        <v>2.8666399999999998E-2</v>
      </c>
      <c r="N162" s="479">
        <f>$J162*(Input!$D$172+Input!$D$173)</f>
        <v>0.18633159999999999</v>
      </c>
      <c r="O162" s="479">
        <f>SUM(D162:N162)*O$111</f>
        <v>0</v>
      </c>
      <c r="P162" s="476">
        <f>SUM(J162:O162)*D162</f>
        <v>36.119664</v>
      </c>
    </row>
    <row r="163" spans="1:16" s="455" customFormat="1" outlineLevel="1" x14ac:dyDescent="0.35">
      <c r="A163" s="41" t="s">
        <v>298</v>
      </c>
      <c r="B163" s="440" t="s">
        <v>299</v>
      </c>
      <c r="F163" s="510"/>
      <c r="P163" s="447"/>
    </row>
    <row r="164" spans="1:16" s="455" customFormat="1" outlineLevel="1" x14ac:dyDescent="0.35">
      <c r="A164" s="41"/>
      <c r="B164" s="443" t="s">
        <v>312</v>
      </c>
      <c r="C164" s="41" t="s">
        <v>266</v>
      </c>
      <c r="D164" s="444">
        <f>6*4+2*3</f>
        <v>30</v>
      </c>
      <c r="E164" s="364">
        <f>ROUND(SUM($J164:$N164),3)</f>
        <v>3.0070000000000001</v>
      </c>
      <c r="F164" s="507">
        <f>E164*D164</f>
        <v>90.210000000000008</v>
      </c>
      <c r="J164" s="478">
        <f>(214751)/10^5</f>
        <v>2.14751</v>
      </c>
      <c r="K164" s="479">
        <f>$J164*Input!D$168</f>
        <v>0.42950200000000005</v>
      </c>
      <c r="L164" s="479">
        <f>$J164*Input!D$169</f>
        <v>0.10737550000000001</v>
      </c>
      <c r="M164" s="479">
        <f>$J164*Input!D$170</f>
        <v>4.2950200000000001E-2</v>
      </c>
      <c r="N164" s="479">
        <f>$J164*(Input!$D$172+Input!$D$173)</f>
        <v>0.27917629999999999</v>
      </c>
      <c r="O164" s="479">
        <f>SUM(D164:N164)*O$111</f>
        <v>0</v>
      </c>
      <c r="P164" s="476">
        <f>SUM(J164:O164)*D164</f>
        <v>90.195419999999984</v>
      </c>
    </row>
    <row r="165" spans="1:16" s="455" customFormat="1" outlineLevel="1" x14ac:dyDescent="0.35">
      <c r="A165" s="41" t="s">
        <v>301</v>
      </c>
      <c r="B165" s="440" t="s">
        <v>302</v>
      </c>
      <c r="F165" s="510"/>
      <c r="P165" s="447"/>
    </row>
    <row r="166" spans="1:16" s="455" customFormat="1" outlineLevel="1" x14ac:dyDescent="0.35">
      <c r="A166" s="41"/>
      <c r="B166" s="443" t="s">
        <v>313</v>
      </c>
      <c r="C166" s="41" t="s">
        <v>266</v>
      </c>
      <c r="D166" s="444">
        <f>(8*3)</f>
        <v>24</v>
      </c>
      <c r="E166" s="364">
        <f>ROUND(SUM($J166:$N166),3)</f>
        <v>1.2330000000000001</v>
      </c>
      <c r="F166" s="507">
        <f>E166*D166</f>
        <v>29.592000000000002</v>
      </c>
      <c r="J166" s="478">
        <f>(88066)/10^5</f>
        <v>0.88066</v>
      </c>
      <c r="K166" s="479">
        <f>$J166*Input!D$168</f>
        <v>0.17613200000000001</v>
      </c>
      <c r="L166" s="479">
        <f>$J166*Input!D$169</f>
        <v>4.4033000000000003E-2</v>
      </c>
      <c r="M166" s="479">
        <f>$J166*Input!D$170</f>
        <v>1.7613199999999999E-2</v>
      </c>
      <c r="N166" s="479">
        <f>$J166*(Input!$D$172+Input!$D$173)</f>
        <v>0.1144858</v>
      </c>
      <c r="O166" s="479">
        <f>SUM(D166:N166)*O$111</f>
        <v>0</v>
      </c>
      <c r="P166" s="476">
        <f>SUM(J166:O166)*D166</f>
        <v>29.590176</v>
      </c>
    </row>
    <row r="167" spans="1:16" s="455" customFormat="1" outlineLevel="1" x14ac:dyDescent="0.35">
      <c r="A167" s="41" t="s">
        <v>304</v>
      </c>
      <c r="B167" s="440" t="s">
        <v>305</v>
      </c>
      <c r="F167" s="510"/>
      <c r="P167" s="447"/>
    </row>
    <row r="168" spans="1:16" s="455" customFormat="1" outlineLevel="1" x14ac:dyDescent="0.35">
      <c r="A168" s="41"/>
      <c r="B168" s="443" t="s">
        <v>314</v>
      </c>
      <c r="C168" s="41" t="s">
        <v>266</v>
      </c>
      <c r="D168" s="444">
        <f>2*3</f>
        <v>6</v>
      </c>
      <c r="E168" s="364">
        <f>ROUND(SUM($J168:$N168),3)</f>
        <v>0.88</v>
      </c>
      <c r="F168" s="507">
        <f>E168*D168</f>
        <v>5.28</v>
      </c>
      <c r="J168" s="478">
        <f>(62838)/10^5</f>
        <v>0.62838000000000005</v>
      </c>
      <c r="K168" s="479">
        <f>$J168*Input!D$168</f>
        <v>0.12567600000000001</v>
      </c>
      <c r="L168" s="479">
        <f>$J168*Input!D$169</f>
        <v>3.1419000000000002E-2</v>
      </c>
      <c r="M168" s="479">
        <f>$J168*Input!D$170</f>
        <v>1.2567600000000002E-2</v>
      </c>
      <c r="N168" s="479">
        <f>$J168*(Input!$D$172+Input!$D$173)</f>
        <v>8.1689400000000009E-2</v>
      </c>
      <c r="O168" s="479">
        <f>SUM(D168:N168)*O$111</f>
        <v>0</v>
      </c>
      <c r="P168" s="476">
        <f>SUM(J168:O168)*D168</f>
        <v>5.2783920000000002</v>
      </c>
    </row>
    <row r="169" spans="1:16" s="455" customFormat="1" outlineLevel="1" x14ac:dyDescent="0.35">
      <c r="A169" s="430">
        <v>9</v>
      </c>
      <c r="B169" s="429" t="s">
        <v>286</v>
      </c>
      <c r="C169" s="430" t="s">
        <v>266</v>
      </c>
      <c r="D169" s="431"/>
      <c r="E169" s="431"/>
      <c r="F169" s="431"/>
      <c r="J169" s="480"/>
      <c r="K169" s="480"/>
      <c r="L169" s="480"/>
      <c r="M169" s="480"/>
      <c r="N169" s="480"/>
      <c r="O169" s="480"/>
      <c r="P169" s="480"/>
    </row>
    <row r="170" spans="1:16" s="455" customFormat="1" outlineLevel="1" x14ac:dyDescent="0.35">
      <c r="A170" s="41" t="s">
        <v>292</v>
      </c>
      <c r="B170" s="440" t="s">
        <v>315</v>
      </c>
    </row>
    <row r="171" spans="1:16" s="455" customFormat="1" outlineLevel="1" x14ac:dyDescent="0.35">
      <c r="A171" s="41"/>
      <c r="B171" s="443" t="s">
        <v>316</v>
      </c>
      <c r="C171" s="41" t="s">
        <v>266</v>
      </c>
      <c r="D171" s="444">
        <f>$D$12*2</f>
        <v>2</v>
      </c>
      <c r="E171" s="364">
        <f>ROUND(SUM($J171:$N171),3)</f>
        <v>21.56</v>
      </c>
      <c r="F171" s="507">
        <f>E171*D171</f>
        <v>43.12</v>
      </c>
      <c r="J171" s="478">
        <f>(1540000)/10^5</f>
        <v>15.4</v>
      </c>
      <c r="K171" s="479">
        <f>$J171*Input!D$168</f>
        <v>3.08</v>
      </c>
      <c r="L171" s="479">
        <f>$J171*Input!D$169</f>
        <v>0.77</v>
      </c>
      <c r="M171" s="479">
        <f>$J171*Input!D$170</f>
        <v>0.308</v>
      </c>
      <c r="N171" s="479">
        <f>$J171*(Input!$D$172+Input!$D$173)</f>
        <v>2.0020000000000002</v>
      </c>
      <c r="O171" s="479">
        <f>SUM(D171:N171)*O$111</f>
        <v>0</v>
      </c>
      <c r="P171" s="476">
        <f>SUM(J171:O171)*D171</f>
        <v>43.12</v>
      </c>
    </row>
    <row r="172" spans="1:16" s="455" customFormat="1" outlineLevel="1" x14ac:dyDescent="0.35">
      <c r="A172" s="41" t="s">
        <v>295</v>
      </c>
      <c r="B172" s="440" t="s">
        <v>317</v>
      </c>
    </row>
    <row r="173" spans="1:16" s="455" customFormat="1" outlineLevel="1" x14ac:dyDescent="0.35">
      <c r="A173" s="41"/>
      <c r="B173" s="443" t="s">
        <v>318</v>
      </c>
      <c r="C173" s="41" t="s">
        <v>266</v>
      </c>
      <c r="D173" s="444">
        <f>$D$12*2</f>
        <v>2</v>
      </c>
      <c r="E173" s="364">
        <f>ROUND(SUM($J173:$N173),3)</f>
        <v>12.366</v>
      </c>
      <c r="F173" s="507">
        <f>E173*D173</f>
        <v>24.731999999999999</v>
      </c>
      <c r="J173" s="478">
        <f>(883300)/10^5</f>
        <v>8.8330000000000002</v>
      </c>
      <c r="K173" s="479">
        <f>$J173*Input!D$168</f>
        <v>1.7666000000000002</v>
      </c>
      <c r="L173" s="479">
        <f>$J173*Input!D$169</f>
        <v>0.44165000000000004</v>
      </c>
      <c r="M173" s="479">
        <f>$J173*Input!D$170</f>
        <v>0.17666000000000001</v>
      </c>
      <c r="N173" s="479">
        <f>$J173*(Input!$D$172+Input!$D$173)</f>
        <v>1.14829</v>
      </c>
      <c r="O173" s="479">
        <f>SUM(D173:N173)*O$111</f>
        <v>0</v>
      </c>
      <c r="P173" s="476">
        <f>SUM(J173:O173)*D173</f>
        <v>24.732399999999998</v>
      </c>
    </row>
    <row r="174" spans="1:16" s="455" customFormat="1" outlineLevel="1" x14ac:dyDescent="0.35">
      <c r="A174" s="41" t="s">
        <v>298</v>
      </c>
      <c r="B174" s="440" t="s">
        <v>319</v>
      </c>
      <c r="C174" s="41"/>
      <c r="D174" s="445"/>
      <c r="P174" s="447"/>
    </row>
    <row r="175" spans="1:16" s="455" customFormat="1" outlineLevel="1" x14ac:dyDescent="0.35">
      <c r="A175" s="41"/>
      <c r="B175" s="443" t="s">
        <v>320</v>
      </c>
      <c r="C175" s="41" t="s">
        <v>266</v>
      </c>
      <c r="D175" s="444">
        <f>SUM($D$4:$D$11)</f>
        <v>96</v>
      </c>
      <c r="E175" s="364">
        <f>ROUND(SUM($J175:$N175),3)</f>
        <v>3.0310000000000001</v>
      </c>
      <c r="F175" s="507">
        <f>E175*D175</f>
        <v>290.976</v>
      </c>
      <c r="J175" s="478">
        <f>(216500)/10^5</f>
        <v>2.165</v>
      </c>
      <c r="K175" s="479">
        <f>$J175*Input!D$168</f>
        <v>0.43300000000000005</v>
      </c>
      <c r="L175" s="479">
        <f>$J175*Input!D$169</f>
        <v>0.10825000000000001</v>
      </c>
      <c r="M175" s="479">
        <f>$J175*Input!D$170</f>
        <v>4.3299999999999998E-2</v>
      </c>
      <c r="N175" s="479">
        <f>$J175*(Input!$D$172+Input!$D$173)</f>
        <v>0.28145000000000003</v>
      </c>
      <c r="O175" s="479">
        <f>SUM(D175:N175)*O$111</f>
        <v>0</v>
      </c>
      <c r="P175" s="476">
        <f>SUM(J175:O175)*D175</f>
        <v>290.976</v>
      </c>
    </row>
    <row r="176" spans="1:16" s="455" customFormat="1" outlineLevel="1" x14ac:dyDescent="0.35">
      <c r="A176" s="41" t="s">
        <v>301</v>
      </c>
      <c r="B176" s="440" t="s">
        <v>321</v>
      </c>
      <c r="C176" s="41"/>
      <c r="D176" s="445"/>
      <c r="P176" s="447"/>
    </row>
    <row r="177" spans="1:16" s="455" customFormat="1" outlineLevel="1" x14ac:dyDescent="0.35">
      <c r="A177" s="41" t="s">
        <v>800</v>
      </c>
      <c r="B177" s="443" t="s">
        <v>322</v>
      </c>
      <c r="C177" s="41" t="s">
        <v>266</v>
      </c>
      <c r="D177" s="42">
        <f>$D$4</f>
        <v>4</v>
      </c>
      <c r="E177" s="364">
        <f>ROUND(SUM($J177:$N177),3)</f>
        <v>2.202</v>
      </c>
      <c r="F177" s="507">
        <f>E177*D177</f>
        <v>8.8079999999999998</v>
      </c>
      <c r="J177" s="478">
        <f>(157300)/10^5</f>
        <v>1.573</v>
      </c>
      <c r="K177" s="479">
        <f>$J177*Input!D$168</f>
        <v>0.31459999999999999</v>
      </c>
      <c r="L177" s="479">
        <f>$J177*Input!D$169</f>
        <v>7.8649999999999998E-2</v>
      </c>
      <c r="M177" s="479">
        <f>$J177*Input!D$170</f>
        <v>3.1460000000000002E-2</v>
      </c>
      <c r="N177" s="479">
        <f>$J177*(Input!$D$172+Input!$D$173)</f>
        <v>0.20449000000000001</v>
      </c>
      <c r="O177" s="479">
        <f>SUM(D177:N177)*O$111</f>
        <v>0</v>
      </c>
      <c r="P177" s="476">
        <f>SUM(J177:O177)*D177</f>
        <v>8.8087999999999997</v>
      </c>
    </row>
    <row r="178" spans="1:16" s="455" customFormat="1" outlineLevel="1" x14ac:dyDescent="0.35">
      <c r="A178" s="41" t="s">
        <v>801</v>
      </c>
      <c r="B178" s="443" t="s">
        <v>323</v>
      </c>
      <c r="C178" s="41" t="s">
        <v>266</v>
      </c>
      <c r="D178" s="42">
        <f>D$7+$D$9+$D$10+$D$11</f>
        <v>12</v>
      </c>
      <c r="E178" s="364">
        <f>ROUND(SUM($J178:$N178),3)</f>
        <v>0.93200000000000005</v>
      </c>
      <c r="F178" s="507">
        <f>E178*D178</f>
        <v>11.184000000000001</v>
      </c>
      <c r="J178" s="478">
        <f>(66550)/10^5</f>
        <v>0.66549999999999998</v>
      </c>
      <c r="K178" s="479">
        <f>$J178*Input!D$168</f>
        <v>0.1331</v>
      </c>
      <c r="L178" s="479">
        <f>$J178*Input!D$169</f>
        <v>3.3274999999999999E-2</v>
      </c>
      <c r="M178" s="479">
        <f>$J178*Input!D$170</f>
        <v>1.3310000000000001E-2</v>
      </c>
      <c r="N178" s="479">
        <f>$J178*(Input!$D$172+Input!$D$173)</f>
        <v>8.6514999999999995E-2</v>
      </c>
      <c r="O178" s="479">
        <f>SUM(D178:N178)*O$111</f>
        <v>0</v>
      </c>
      <c r="P178" s="476">
        <f>SUM(J178:O178)*D178</f>
        <v>11.180399999999999</v>
      </c>
    </row>
    <row r="179" spans="1:16" s="455" customFormat="1" outlineLevel="1" x14ac:dyDescent="0.35">
      <c r="A179" s="41" t="s">
        <v>803</v>
      </c>
      <c r="B179" s="443" t="s">
        <v>324</v>
      </c>
      <c r="C179" s="41" t="s">
        <v>266</v>
      </c>
      <c r="D179" s="42">
        <f>D$7+$D$9+$D$10+$D$11</f>
        <v>12</v>
      </c>
      <c r="E179" s="364">
        <f>ROUND(SUM($J179:$N179),3)</f>
        <v>1.282</v>
      </c>
      <c r="F179" s="507">
        <f>E179*D179</f>
        <v>15.384</v>
      </c>
      <c r="J179" s="478">
        <f>(91550)/10^5</f>
        <v>0.91549999999999998</v>
      </c>
      <c r="K179" s="479">
        <f>$J179*Input!D$168</f>
        <v>0.18310000000000001</v>
      </c>
      <c r="L179" s="479">
        <f>$J179*Input!D$169</f>
        <v>4.5775000000000003E-2</v>
      </c>
      <c r="M179" s="479">
        <f>$J179*Input!D$170</f>
        <v>1.831E-2</v>
      </c>
      <c r="N179" s="479">
        <f>$J179*(Input!$D$172+Input!$D$173)</f>
        <v>0.119015</v>
      </c>
      <c r="O179" s="479">
        <f>SUM(D179:N179)*O$111</f>
        <v>0</v>
      </c>
      <c r="P179" s="476">
        <f>SUM(J179:O179)*D179</f>
        <v>15.380400000000002</v>
      </c>
    </row>
    <row r="180" spans="1:16" s="455" customFormat="1" outlineLevel="1" x14ac:dyDescent="0.35">
      <c r="A180" s="41" t="s">
        <v>804</v>
      </c>
      <c r="B180" s="443" t="s">
        <v>325</v>
      </c>
      <c r="C180" s="41" t="s">
        <v>266</v>
      </c>
      <c r="D180" s="42">
        <f>D$7+$D$9+$D$10+$D$11</f>
        <v>12</v>
      </c>
      <c r="E180" s="364">
        <f>ROUND(SUM($J180:$N180),3)</f>
        <v>7.0000000000000007E-2</v>
      </c>
      <c r="F180" s="507">
        <f>E180*D180</f>
        <v>0.84000000000000008</v>
      </c>
      <c r="J180" s="478">
        <f>(5000)/10^5</f>
        <v>0.05</v>
      </c>
      <c r="K180" s="479">
        <f>$J180*Input!D$168</f>
        <v>1.0000000000000002E-2</v>
      </c>
      <c r="L180" s="479">
        <f>$J180*Input!D$169</f>
        <v>2.5000000000000005E-3</v>
      </c>
      <c r="M180" s="479">
        <f>$J180*Input!D$170</f>
        <v>1E-3</v>
      </c>
      <c r="N180" s="479">
        <f>$J180*(Input!$D$172+Input!$D$173)</f>
        <v>6.5000000000000006E-3</v>
      </c>
      <c r="O180" s="479">
        <f>SUM(D180:N180)*O$111</f>
        <v>0</v>
      </c>
      <c r="P180" s="476">
        <f>SUM(J180:O180)*D180</f>
        <v>0.84000000000000008</v>
      </c>
    </row>
    <row r="181" spans="1:16" s="455" customFormat="1" outlineLevel="1" x14ac:dyDescent="0.35">
      <c r="A181" s="41" t="s">
        <v>805</v>
      </c>
      <c r="B181" s="443" t="s">
        <v>326</v>
      </c>
      <c r="C181" s="41" t="s">
        <v>266</v>
      </c>
      <c r="D181" s="42">
        <f>D$7+$D$9+$D$10+$D$11</f>
        <v>12</v>
      </c>
      <c r="E181" s="364">
        <f>ROUND(SUM($J181:$N181),3)</f>
        <v>8.5000000000000006E-2</v>
      </c>
      <c r="F181" s="507">
        <f>E181*D181</f>
        <v>1.02</v>
      </c>
      <c r="J181" s="478">
        <f>(6100)/10^5</f>
        <v>6.0999999999999999E-2</v>
      </c>
      <c r="K181" s="479">
        <f>$J181*Input!D$168</f>
        <v>1.2200000000000001E-2</v>
      </c>
      <c r="L181" s="479">
        <f>$J181*Input!D$169</f>
        <v>3.0500000000000002E-3</v>
      </c>
      <c r="M181" s="479">
        <f>$J181*Input!D$170</f>
        <v>1.2199999999999999E-3</v>
      </c>
      <c r="N181" s="479">
        <f>$J181*(Input!$D$172+Input!$D$173)</f>
        <v>7.9299999999999995E-3</v>
      </c>
      <c r="O181" s="479">
        <f>SUM(D181:N181)*O$111</f>
        <v>0</v>
      </c>
      <c r="P181" s="476">
        <f>SUM(J181:O181)*D181</f>
        <v>1.0247999999999999</v>
      </c>
    </row>
    <row r="182" spans="1:16" s="455" customFormat="1" outlineLevel="1" x14ac:dyDescent="0.35">
      <c r="A182" s="41" t="s">
        <v>304</v>
      </c>
      <c r="B182" s="447" t="s">
        <v>327</v>
      </c>
      <c r="C182" s="41"/>
      <c r="D182" s="445"/>
      <c r="E182" s="41"/>
      <c r="P182" s="447"/>
    </row>
    <row r="183" spans="1:16" s="455" customFormat="1" outlineLevel="1" x14ac:dyDescent="0.35">
      <c r="A183" s="41"/>
      <c r="B183" s="443" t="s">
        <v>328</v>
      </c>
      <c r="C183" s="41" t="s">
        <v>266</v>
      </c>
      <c r="D183" s="444">
        <f>3</f>
        <v>3</v>
      </c>
      <c r="E183" s="364">
        <f>ROUND(SUM($J183:$N183),3)</f>
        <v>3.5379999999999998</v>
      </c>
      <c r="F183" s="507">
        <f>E183*D183</f>
        <v>10.613999999999999</v>
      </c>
      <c r="J183" s="478">
        <f>(252700)/10^5</f>
        <v>2.5270000000000001</v>
      </c>
      <c r="K183" s="479">
        <f>$J183*Input!D$168</f>
        <v>0.50540000000000007</v>
      </c>
      <c r="L183" s="479">
        <f>$J183*Input!D$169</f>
        <v>0.12635000000000002</v>
      </c>
      <c r="M183" s="479">
        <f>$J183*Input!D$170</f>
        <v>5.0540000000000002E-2</v>
      </c>
      <c r="N183" s="479">
        <f>$J183*(Input!$D$172+Input!$D$173)</f>
        <v>0.32851000000000002</v>
      </c>
      <c r="O183" s="479">
        <f>SUM(D183:N183)*O$111</f>
        <v>0</v>
      </c>
      <c r="P183" s="476">
        <f>SUM(D183:O183)*D183</f>
        <v>62.069400000000016</v>
      </c>
    </row>
    <row r="184" spans="1:16" s="455" customFormat="1" outlineLevel="1" x14ac:dyDescent="0.35">
      <c r="A184" s="41"/>
      <c r="B184" s="443" t="s">
        <v>329</v>
      </c>
      <c r="C184" s="41" t="s">
        <v>266</v>
      </c>
      <c r="D184" s="42">
        <f>$D$5</f>
        <v>12</v>
      </c>
      <c r="E184" s="364">
        <f>ROUND(SUM($J184:$N184),3)</f>
        <v>0.111</v>
      </c>
      <c r="F184" s="507">
        <f>E184*D184</f>
        <v>1.3320000000000001</v>
      </c>
      <c r="J184" s="478">
        <f>(7932)/10^5</f>
        <v>7.9320000000000002E-2</v>
      </c>
      <c r="K184" s="479">
        <f>$J184*Input!D$168</f>
        <v>1.5864E-2</v>
      </c>
      <c r="L184" s="479">
        <f>$J184*Input!D$169</f>
        <v>3.9659999999999999E-3</v>
      </c>
      <c r="M184" s="479">
        <f>$J184*Input!D$170</f>
        <v>1.5864E-3</v>
      </c>
      <c r="N184" s="479">
        <f>$J184*(Input!$D$172+Input!$D$173)</f>
        <v>1.0311600000000001E-2</v>
      </c>
      <c r="O184" s="479">
        <f>SUM(D184:N184)*O$111</f>
        <v>0</v>
      </c>
      <c r="P184" s="476">
        <f>SUM(D184:O184)*D184</f>
        <v>162.64857600000002</v>
      </c>
    </row>
    <row r="185" spans="1:16" s="455" customFormat="1" x14ac:dyDescent="0.35">
      <c r="A185" s="41"/>
    </row>
    <row r="186" spans="1:16" s="455" customFormat="1" x14ac:dyDescent="0.35">
      <c r="A186" s="449"/>
      <c r="B186" s="448" t="s">
        <v>806</v>
      </c>
      <c r="C186" s="448"/>
      <c r="D186" s="449"/>
      <c r="E186" s="449"/>
      <c r="F186" s="449"/>
      <c r="J186" s="405" t="s">
        <v>291</v>
      </c>
      <c r="K186" s="405" t="str">
        <f>"Erection, testing, commissioning charges @ " &amp;Input!F168*100 &amp;"%"</f>
        <v>Erection, testing, commissioning charges @ 20%</v>
      </c>
      <c r="L186" s="405" t="str">
        <f>"Transport Charges @ " &amp;Input!F169*100 &amp;"%"</f>
        <v>Transport Charges @ 5%</v>
      </c>
      <c r="M186" s="405" t="str">
        <f>"Insurance &amp; Labour Cess @ " &amp;Input!F170*100 &amp;"%"</f>
        <v>Insurance &amp; Labour Cess @ 2%</v>
      </c>
      <c r="N186" s="405" t="str">
        <f>"Contingencies with Suopervision and Quality Control@ " &amp;Input!F174*100 &amp;"%"</f>
        <v>Contingencies with Suopervision and Quality Control@ 13%</v>
      </c>
      <c r="O186" s="405" t="str">
        <f ca="1">"GST @ " &amp;O187*100 &amp;"%"</f>
        <v>GST @ 0%</v>
      </c>
      <c r="P186" s="477" t="s">
        <v>10</v>
      </c>
    </row>
    <row r="187" spans="1:16" s="455" customFormat="1" outlineLevel="1" x14ac:dyDescent="0.35">
      <c r="A187" s="41"/>
      <c r="B187" s="41"/>
      <c r="C187" s="41"/>
      <c r="D187" s="41"/>
      <c r="E187" s="41"/>
      <c r="F187" s="41"/>
      <c r="K187" s="447"/>
      <c r="N187" s="515">
        <f>(Input!$F$172+Input!$F$173)</f>
        <v>0.13</v>
      </c>
      <c r="O187" s="515">
        <f ca="1">$O$187*0</f>
        <v>0</v>
      </c>
    </row>
    <row r="188" spans="1:16" s="455" customFormat="1" outlineLevel="1" x14ac:dyDescent="0.35">
      <c r="A188" s="185">
        <v>1</v>
      </c>
      <c r="B188" s="458" t="s">
        <v>388</v>
      </c>
      <c r="C188" s="472" t="s">
        <v>266</v>
      </c>
      <c r="D188" s="472"/>
      <c r="E188" s="472"/>
      <c r="F188" s="472"/>
      <c r="J188" s="480"/>
      <c r="K188" s="480"/>
      <c r="L188" s="480"/>
      <c r="M188" s="480"/>
      <c r="N188" s="480"/>
      <c r="O188" s="480"/>
      <c r="P188" s="480"/>
    </row>
    <row r="189" spans="1:16" s="455" customFormat="1" outlineLevel="1" x14ac:dyDescent="0.35">
      <c r="A189" s="41" t="s">
        <v>292</v>
      </c>
      <c r="B189" s="440" t="s">
        <v>293</v>
      </c>
      <c r="P189" s="447"/>
    </row>
    <row r="190" spans="1:16" s="455" customFormat="1" outlineLevel="1" x14ac:dyDescent="0.35">
      <c r="A190" s="41"/>
      <c r="B190" s="443" t="s">
        <v>310</v>
      </c>
      <c r="C190" s="41" t="s">
        <v>266</v>
      </c>
      <c r="D190" s="42">
        <f>D31</f>
        <v>2</v>
      </c>
      <c r="E190" s="364">
        <f>ROUND(SUM($J190:$N190),3)</f>
        <v>21.396999999999998</v>
      </c>
      <c r="F190" s="507">
        <f>E190*D190</f>
        <v>42.793999999999997</v>
      </c>
      <c r="J190" s="478">
        <f>1528333/10^5</f>
        <v>15.283329999999999</v>
      </c>
      <c r="K190" s="479">
        <f>$J190*Input!F$168</f>
        <v>3.0566659999999999</v>
      </c>
      <c r="L190" s="479">
        <f>$J190*Input!F$169</f>
        <v>0.76416649999999997</v>
      </c>
      <c r="M190" s="479">
        <f>$J190*Input!F$170</f>
        <v>0.30566660000000001</v>
      </c>
      <c r="N190" s="479">
        <f>$J190*Input!F$174</f>
        <v>1.9868329</v>
      </c>
      <c r="O190" s="479">
        <f ca="1">SUM(F190:N190)*O$187</f>
        <v>0</v>
      </c>
      <c r="P190" s="476">
        <f ca="1">SUM(J190:O190)*D190</f>
        <v>42.793323999999998</v>
      </c>
    </row>
    <row r="191" spans="1:16" s="455" customFormat="1" outlineLevel="1" x14ac:dyDescent="0.35">
      <c r="A191" s="41" t="s">
        <v>295</v>
      </c>
      <c r="B191" s="440" t="s">
        <v>296</v>
      </c>
      <c r="P191" s="447"/>
    </row>
    <row r="192" spans="1:16" s="455" customFormat="1" outlineLevel="1" x14ac:dyDescent="0.35">
      <c r="A192" s="41"/>
      <c r="B192" s="443" t="s">
        <v>311</v>
      </c>
      <c r="C192" s="41" t="s">
        <v>266</v>
      </c>
      <c r="D192" s="42">
        <f>3*2</f>
        <v>6</v>
      </c>
      <c r="E192" s="364">
        <f>ROUND(SUM($J192:$N192),3)</f>
        <v>2.0070000000000001</v>
      </c>
      <c r="F192" s="507">
        <f>E192*D192</f>
        <v>12.042000000000002</v>
      </c>
      <c r="J192" s="478">
        <f>(71666*2)/10^5</f>
        <v>1.4333199999999999</v>
      </c>
      <c r="K192" s="479">
        <f>$J192*Input!F$168</f>
        <v>0.28666399999999997</v>
      </c>
      <c r="L192" s="479">
        <f>$J192*Input!F$169</f>
        <v>7.1665999999999994E-2</v>
      </c>
      <c r="M192" s="479">
        <f>$J192*Input!F$170</f>
        <v>2.8666399999999998E-2</v>
      </c>
      <c r="N192" s="479">
        <f>$J192*Input!F$174</f>
        <v>0.18633159999999999</v>
      </c>
      <c r="O192" s="479">
        <f ca="1">SUM(F192:N192)*O$187</f>
        <v>0</v>
      </c>
      <c r="P192" s="476">
        <f ca="1">SUM(J192:O192)*D192</f>
        <v>12.039888000000001</v>
      </c>
    </row>
    <row r="193" spans="1:16" s="455" customFormat="1" outlineLevel="1" x14ac:dyDescent="0.35">
      <c r="A193" s="41" t="s">
        <v>298</v>
      </c>
      <c r="B193" s="440" t="s">
        <v>299</v>
      </c>
      <c r="P193" s="447"/>
    </row>
    <row r="194" spans="1:16" s="455" customFormat="1" outlineLevel="1" x14ac:dyDescent="0.35">
      <c r="A194" s="41"/>
      <c r="B194" s="443" t="s">
        <v>312</v>
      </c>
      <c r="C194" s="41" t="s">
        <v>266</v>
      </c>
      <c r="D194" s="42">
        <f>D190+D190+2</f>
        <v>6</v>
      </c>
      <c r="E194" s="364">
        <f>ROUND(SUM($J194:$N194),3)</f>
        <v>3.0070000000000001</v>
      </c>
      <c r="F194" s="507">
        <f>E194*D194</f>
        <v>18.042000000000002</v>
      </c>
      <c r="J194" s="478">
        <f>(214751)/10^5</f>
        <v>2.14751</v>
      </c>
      <c r="K194" s="479">
        <f>$J194*Input!F$168</f>
        <v>0.42950200000000005</v>
      </c>
      <c r="L194" s="479">
        <f>$J194*Input!F$169</f>
        <v>0.10737550000000001</v>
      </c>
      <c r="M194" s="479">
        <f>$J194*Input!F$170</f>
        <v>4.2950200000000001E-2</v>
      </c>
      <c r="N194" s="479">
        <f>$J194*Input!F$174</f>
        <v>0.27917629999999999</v>
      </c>
      <c r="O194" s="479">
        <f ca="1">SUM(F194:N194)*O$187</f>
        <v>0</v>
      </c>
      <c r="P194" s="476">
        <f ca="1">SUM(J194:O194)*D194</f>
        <v>18.039083999999999</v>
      </c>
    </row>
    <row r="195" spans="1:16" s="455" customFormat="1" outlineLevel="1" x14ac:dyDescent="0.35">
      <c r="A195" s="41" t="s">
        <v>301</v>
      </c>
      <c r="B195" s="440" t="s">
        <v>302</v>
      </c>
      <c r="P195" s="447"/>
    </row>
    <row r="196" spans="1:16" s="455" customFormat="1" outlineLevel="1" x14ac:dyDescent="0.35">
      <c r="A196" s="41"/>
      <c r="B196" s="443" t="s">
        <v>313</v>
      </c>
      <c r="C196" s="41" t="s">
        <v>266</v>
      </c>
      <c r="D196" s="42">
        <f>(3*2)</f>
        <v>6</v>
      </c>
      <c r="E196" s="364">
        <f>ROUND(SUM($J196:$N196),3)</f>
        <v>1.2330000000000001</v>
      </c>
      <c r="F196" s="507">
        <f>E196*D196</f>
        <v>7.3980000000000006</v>
      </c>
      <c r="J196" s="478">
        <f>(88066)/10^5</f>
        <v>0.88066</v>
      </c>
      <c r="K196" s="479">
        <f>$J196*Input!F$168</f>
        <v>0.17613200000000001</v>
      </c>
      <c r="L196" s="479">
        <f>$J196*Input!F$169</f>
        <v>4.4033000000000003E-2</v>
      </c>
      <c r="M196" s="479">
        <f>$J196*Input!F$170</f>
        <v>1.7613199999999999E-2</v>
      </c>
      <c r="N196" s="479">
        <f>$J196*Input!F$174</f>
        <v>0.1144858</v>
      </c>
      <c r="O196" s="479">
        <f ca="1">SUM(F196:N196)*O$187</f>
        <v>0</v>
      </c>
      <c r="P196" s="476">
        <f ca="1">SUM(J196:O196)*D196</f>
        <v>7.3975439999999999</v>
      </c>
    </row>
    <row r="197" spans="1:16" s="455" customFormat="1" outlineLevel="1" x14ac:dyDescent="0.35">
      <c r="A197" s="41" t="s">
        <v>304</v>
      </c>
      <c r="B197" s="440" t="s">
        <v>305</v>
      </c>
      <c r="P197" s="447"/>
    </row>
    <row r="198" spans="1:16" s="455" customFormat="1" outlineLevel="1" x14ac:dyDescent="0.35">
      <c r="A198" s="41"/>
      <c r="B198" s="443" t="s">
        <v>314</v>
      </c>
      <c r="C198" s="41" t="s">
        <v>266</v>
      </c>
      <c r="D198" s="42">
        <f>3*2</f>
        <v>6</v>
      </c>
      <c r="E198" s="364">
        <f>ROUND(SUM($J198:$N198),3)</f>
        <v>0.88</v>
      </c>
      <c r="F198" s="507">
        <f>E198*D198</f>
        <v>5.28</v>
      </c>
      <c r="J198" s="478">
        <f>(62838)/10^5</f>
        <v>0.62838000000000005</v>
      </c>
      <c r="K198" s="479">
        <f>$J198*Input!F$168</f>
        <v>0.12567600000000001</v>
      </c>
      <c r="L198" s="479">
        <f>$J198*Input!F$169</f>
        <v>3.1419000000000002E-2</v>
      </c>
      <c r="M198" s="479">
        <f>$J198*Input!F$170</f>
        <v>1.2567600000000002E-2</v>
      </c>
      <c r="N198" s="479">
        <f>$J198*Input!F$174</f>
        <v>8.1689400000000009E-2</v>
      </c>
      <c r="O198" s="479">
        <f ca="1">SUM(F198:N198)*O$187</f>
        <v>0</v>
      </c>
      <c r="P198" s="476">
        <f ca="1">SUM(J198:O198)*D198</f>
        <v>5.2783920000000002</v>
      </c>
    </row>
    <row r="199" spans="1:16" s="455" customFormat="1" outlineLevel="1" x14ac:dyDescent="0.35">
      <c r="A199" s="185">
        <v>2</v>
      </c>
      <c r="B199" s="458" t="s">
        <v>288</v>
      </c>
      <c r="C199" s="472" t="s">
        <v>389</v>
      </c>
      <c r="D199" s="472"/>
      <c r="E199" s="472"/>
      <c r="F199" s="472"/>
      <c r="J199" s="480"/>
      <c r="K199" s="480"/>
      <c r="L199" s="480"/>
      <c r="M199" s="480"/>
      <c r="N199" s="480"/>
      <c r="O199" s="480"/>
      <c r="P199" s="480"/>
    </row>
    <row r="200" spans="1:16" s="455" customFormat="1" outlineLevel="1" x14ac:dyDescent="0.35">
      <c r="A200" s="41" t="s">
        <v>292</v>
      </c>
      <c r="B200" s="443" t="s">
        <v>390</v>
      </c>
      <c r="C200" s="41" t="s">
        <v>334</v>
      </c>
      <c r="D200" s="42">
        <f>Input!$D$162*3/1000</f>
        <v>0.9</v>
      </c>
      <c r="E200" s="364">
        <f>ROUND(SUM($J200:$N200),3)</f>
        <v>154</v>
      </c>
      <c r="F200" s="507">
        <f>E200*D200</f>
        <v>138.6</v>
      </c>
      <c r="J200" s="478">
        <f>(11000000)/10^5</f>
        <v>110</v>
      </c>
      <c r="K200" s="479">
        <f>$J200*Input!F$168</f>
        <v>22</v>
      </c>
      <c r="L200" s="479">
        <f>$J200*Input!F$169</f>
        <v>5.5</v>
      </c>
      <c r="M200" s="479">
        <f>$J200*Input!F$170</f>
        <v>2.2000000000000002</v>
      </c>
      <c r="N200" s="479">
        <f>$J200*Input!F$174</f>
        <v>14.3</v>
      </c>
      <c r="O200" s="479">
        <f ca="1">SUM(F200:N200)*O$187</f>
        <v>0</v>
      </c>
      <c r="P200" s="476">
        <f ca="1">SUM(J200:O200)*D200</f>
        <v>138.6</v>
      </c>
    </row>
    <row r="201" spans="1:16" s="455" customFormat="1" outlineLevel="1" x14ac:dyDescent="0.35">
      <c r="A201" s="41" t="s">
        <v>295</v>
      </c>
      <c r="B201" s="443" t="s">
        <v>391</v>
      </c>
      <c r="C201" s="41" t="s">
        <v>266</v>
      </c>
      <c r="D201" s="444">
        <f>3</f>
        <v>3</v>
      </c>
      <c r="E201" s="364">
        <f>ROUND(SUM($J201:$N201),3)</f>
        <v>5.6920000000000002</v>
      </c>
      <c r="F201" s="507">
        <f>E201*D201</f>
        <v>17.076000000000001</v>
      </c>
      <c r="J201" s="478">
        <f>336010*1.1*1.1/10^5</f>
        <v>4.0657210000000008</v>
      </c>
      <c r="K201" s="479">
        <f>$J201*Input!F$168</f>
        <v>0.81314420000000021</v>
      </c>
      <c r="L201" s="479">
        <f>$J201*Input!F$169</f>
        <v>0.20328605000000005</v>
      </c>
      <c r="M201" s="479">
        <f>$J201*Input!F$170</f>
        <v>8.1314420000000012E-2</v>
      </c>
      <c r="N201" s="479">
        <f>$J201*Input!F$174</f>
        <v>0.5285437300000001</v>
      </c>
      <c r="O201" s="479">
        <f ca="1">SUM(F201:N201)*O$187</f>
        <v>0</v>
      </c>
      <c r="P201" s="476">
        <f ca="1">SUM(J201:O201)*D201</f>
        <v>17.076028200000003</v>
      </c>
    </row>
    <row r="202" spans="1:16" s="455" customFormat="1" outlineLevel="1" x14ac:dyDescent="0.35">
      <c r="A202" s="41" t="s">
        <v>298</v>
      </c>
      <c r="B202" s="443" t="s">
        <v>392</v>
      </c>
      <c r="C202" s="41" t="s">
        <v>266</v>
      </c>
      <c r="D202" s="444">
        <v>3</v>
      </c>
      <c r="E202" s="364">
        <f>ROUND(SUM($J202:$N202),3)</f>
        <v>12.295</v>
      </c>
      <c r="F202" s="507">
        <f>E202*D202</f>
        <v>36.884999999999998</v>
      </c>
      <c r="J202" s="478">
        <f>725786.25*1.1*1.1/10^5</f>
        <v>8.7820136250000012</v>
      </c>
      <c r="K202" s="479">
        <f>$J202*Input!F$168</f>
        <v>1.7564027250000003</v>
      </c>
      <c r="L202" s="479">
        <f>$J202*Input!F$169</f>
        <v>0.43910068125000007</v>
      </c>
      <c r="M202" s="479">
        <f>$J202*Input!F$170</f>
        <v>0.17564027250000003</v>
      </c>
      <c r="N202" s="479">
        <f>$J202*Input!F$174</f>
        <v>1.1416617712500001</v>
      </c>
      <c r="O202" s="479">
        <f ca="1">SUM(F202:N202)*O$187</f>
        <v>0</v>
      </c>
      <c r="P202" s="476">
        <f ca="1">SUM(J202:O202)*D202</f>
        <v>36.884457225000006</v>
      </c>
    </row>
    <row r="203" spans="1:16" s="455" customFormat="1" outlineLevel="1" x14ac:dyDescent="0.35">
      <c r="A203" s="41" t="s">
        <v>301</v>
      </c>
      <c r="B203" s="443" t="s">
        <v>393</v>
      </c>
      <c r="C203" s="41" t="s">
        <v>266</v>
      </c>
      <c r="D203" s="444">
        <v>3</v>
      </c>
      <c r="E203" s="364">
        <f>ROUND(SUM($J203:$N203),3)</f>
        <v>0.57699999999999996</v>
      </c>
      <c r="F203" s="507">
        <f>E203*D203</f>
        <v>1.7309999999999999</v>
      </c>
      <c r="J203" s="478">
        <f>(34067*1.1*1.1)/10^5</f>
        <v>0.4122107000000001</v>
      </c>
      <c r="K203" s="479">
        <f>$J203*Input!F$168</f>
        <v>8.2442140000000025E-2</v>
      </c>
      <c r="L203" s="479">
        <f>$J203*Input!F$169</f>
        <v>2.0610535000000006E-2</v>
      </c>
      <c r="M203" s="479">
        <f>$J203*Input!F$170</f>
        <v>8.2442140000000014E-3</v>
      </c>
      <c r="N203" s="479">
        <f>$J203*Input!F$174</f>
        <v>5.3587391000000012E-2</v>
      </c>
      <c r="O203" s="479">
        <f ca="1">SUM(F203:N203)*O$187</f>
        <v>0</v>
      </c>
      <c r="P203" s="476">
        <f ca="1">SUM(J203:O203)*D203</f>
        <v>1.7312849400000001</v>
      </c>
    </row>
    <row r="204" spans="1:16" s="455" customFormat="1" outlineLevel="1" x14ac:dyDescent="0.35">
      <c r="A204" s="185">
        <v>3</v>
      </c>
      <c r="B204" s="458" t="s">
        <v>745</v>
      </c>
      <c r="C204" s="472"/>
      <c r="D204" s="472"/>
      <c r="E204" s="516"/>
      <c r="F204" s="472"/>
      <c r="J204" s="480"/>
      <c r="K204" s="480"/>
      <c r="L204" s="480"/>
      <c r="M204" s="480"/>
      <c r="N204" s="480"/>
      <c r="O204" s="480"/>
      <c r="P204" s="480"/>
    </row>
    <row r="205" spans="1:16" s="455" customFormat="1" outlineLevel="1" x14ac:dyDescent="0.35">
      <c r="A205" s="41"/>
      <c r="B205" s="443" t="s">
        <v>745</v>
      </c>
      <c r="C205" s="41" t="s">
        <v>744</v>
      </c>
      <c r="D205" s="444">
        <v>1</v>
      </c>
      <c r="E205" s="364">
        <f>ROUND(SUM($J205:$N205),3)</f>
        <v>40.216999999999999</v>
      </c>
      <c r="F205" s="507">
        <f>E205*D205</f>
        <v>40.216999999999999</v>
      </c>
      <c r="J205" s="478">
        <f>SUM(J188:J203)*20%</f>
        <v>28.726629064999997</v>
      </c>
      <c r="K205" s="479">
        <f>$J205*Input!F$168</f>
        <v>5.745325813</v>
      </c>
      <c r="L205" s="479">
        <f>$J205*Input!F$169</f>
        <v>1.43633145325</v>
      </c>
      <c r="M205" s="479">
        <f>$J205*Input!F$170</f>
        <v>0.57453258129999996</v>
      </c>
      <c r="N205" s="479">
        <f>$J205*Input!F$174</f>
        <v>3.7344617784499996</v>
      </c>
      <c r="O205" s="479">
        <f ca="1">SUM(F205:N205)*O$187</f>
        <v>0</v>
      </c>
      <c r="P205" s="476">
        <f ca="1">SUM(F205:O205)*D205</f>
        <v>80.434280690999998</v>
      </c>
    </row>
    <row r="206" spans="1:16" s="443" customFormat="1" x14ac:dyDescent="0.35">
      <c r="A206" s="41"/>
      <c r="C206" s="41"/>
      <c r="D206" s="444"/>
      <c r="E206" s="444"/>
      <c r="F206" s="444"/>
      <c r="G206" s="455"/>
      <c r="H206" s="455"/>
      <c r="I206" s="455"/>
    </row>
  </sheetData>
  <dataValidations disablePrompts="1" count="1">
    <dataValidation type="decimal" allowBlank="1" showErrorMessage="1" errorTitle="Wrong Value Entered..!!" error="Please Enter Price of Given Item in Numeric Only." sqref="D72:E81 D51:E51 D53:E53 D61:E65 D68:E68" xr:uid="{BCAACA54-C20D-472A-B36C-2700C6A14AE8}">
      <formula1>0</formula1>
      <formula2>1E+58</formula2>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86F3E-A2CC-42BA-8768-88BABEA4D516}">
  <dimension ref="A1:BQ30"/>
  <sheetViews>
    <sheetView showGridLines="0" zoomScale="90" zoomScaleNormal="90" workbookViewId="0">
      <selection activeCell="F6" sqref="F6"/>
    </sheetView>
  </sheetViews>
  <sheetFormatPr defaultRowHeight="12" x14ac:dyDescent="0.3"/>
  <cols>
    <col min="1" max="1" width="8.7265625" style="10"/>
    <col min="2" max="2" width="32.81640625" style="10" bestFit="1" customWidth="1"/>
    <col min="3" max="3" width="9.7265625" style="10" bestFit="1" customWidth="1"/>
    <col min="4" max="4" width="8.7265625" style="10"/>
    <col min="5" max="5" width="7.81640625" style="10" bestFit="1" customWidth="1"/>
    <col min="6" max="6" width="9.7265625" style="10" bestFit="1" customWidth="1"/>
    <col min="7" max="7" width="8.7265625" style="10"/>
    <col min="8" max="8" width="11" style="10" bestFit="1" customWidth="1"/>
    <col min="9" max="9" width="8.7265625" style="10"/>
    <col min="10" max="10" width="11.54296875" style="10" customWidth="1"/>
    <col min="11" max="11" width="12.08984375" style="10" customWidth="1"/>
    <col min="12" max="16384" width="8.7265625" style="10"/>
  </cols>
  <sheetData>
    <row r="1" spans="1:69" x14ac:dyDescent="0.3">
      <c r="A1" s="517" t="s">
        <v>773</v>
      </c>
      <c r="B1" s="93"/>
      <c r="C1" s="518"/>
      <c r="D1" s="93"/>
      <c r="E1" s="93"/>
      <c r="F1" s="93"/>
      <c r="G1" s="93"/>
      <c r="H1" s="93"/>
    </row>
    <row r="2" spans="1:69" x14ac:dyDescent="0.3">
      <c r="A2" s="519" t="s">
        <v>448</v>
      </c>
      <c r="B2" s="519" t="s">
        <v>15</v>
      </c>
      <c r="C2" s="519"/>
      <c r="D2" s="520" t="s">
        <v>386</v>
      </c>
      <c r="E2" s="520" t="s">
        <v>290</v>
      </c>
      <c r="F2" s="520" t="s">
        <v>807</v>
      </c>
      <c r="G2" s="520" t="s">
        <v>120</v>
      </c>
      <c r="H2" s="520" t="s">
        <v>798</v>
      </c>
      <c r="J2" s="519" t="s">
        <v>923</v>
      </c>
      <c r="K2" s="519" t="s">
        <v>583</v>
      </c>
    </row>
    <row r="3" spans="1:69" s="70" customFormat="1" collapsed="1" x14ac:dyDescent="0.35">
      <c r="A3" s="408" t="s">
        <v>268</v>
      </c>
      <c r="B3" s="526" t="s">
        <v>920</v>
      </c>
      <c r="C3" s="526"/>
      <c r="D3" s="551"/>
      <c r="E3" s="538"/>
      <c r="F3" s="539">
        <f>F15+F19</f>
        <v>1502.05</v>
      </c>
      <c r="G3" s="539">
        <f>G15+G19</f>
        <v>270.36899999999997</v>
      </c>
      <c r="H3" s="539">
        <f>F3+G3</f>
        <v>1772.4189999999999</v>
      </c>
      <c r="J3" s="1141">
        <f>F3*BOQ_G!$AA$2</f>
        <v>1276.7424999999998</v>
      </c>
      <c r="K3" s="1141">
        <f>F3*BOQ_G!$AB$2</f>
        <v>180.24599999999998</v>
      </c>
    </row>
    <row r="4" spans="1:69" s="70" customFormat="1" collapsed="1" x14ac:dyDescent="0.35">
      <c r="A4" s="408" t="s">
        <v>270</v>
      </c>
      <c r="B4" s="526" t="s">
        <v>432</v>
      </c>
      <c r="C4" s="526"/>
      <c r="D4" s="551"/>
      <c r="E4" s="538"/>
      <c r="F4" s="539">
        <f>F22</f>
        <v>73.5</v>
      </c>
      <c r="G4" s="539">
        <f>G22</f>
        <v>13.229999999999999</v>
      </c>
      <c r="H4" s="539">
        <f>F4+G4</f>
        <v>86.73</v>
      </c>
      <c r="J4" s="1141">
        <f>F4*BOQ_G!$AA$2</f>
        <v>62.475000000000001</v>
      </c>
      <c r="K4" s="1141">
        <f>F4*BOQ_G!$AB$2</f>
        <v>8.82</v>
      </c>
    </row>
    <row r="5" spans="1:69" s="69" customFormat="1" x14ac:dyDescent="0.35">
      <c r="A5" s="547"/>
      <c r="B5" s="548" t="s">
        <v>835</v>
      </c>
      <c r="C5" s="547"/>
      <c r="D5" s="547"/>
      <c r="E5" s="547"/>
      <c r="F5" s="549">
        <f>SUM(F3:F4)</f>
        <v>1575.55</v>
      </c>
      <c r="G5" s="549">
        <f>SUM(G3:G4)</f>
        <v>283.59899999999999</v>
      </c>
      <c r="H5" s="549">
        <f>SUM(H3:H4)</f>
        <v>1859.1489999999999</v>
      </c>
      <c r="J5" s="1142">
        <f>F5*BOQ_G!$AA$2</f>
        <v>1339.2175</v>
      </c>
      <c r="K5" s="1142">
        <f>F5*BOQ_G!$AB$2</f>
        <v>189.06599999999997</v>
      </c>
    </row>
    <row r="6" spans="1:69" s="70" customFormat="1" collapsed="1" x14ac:dyDescent="0.35">
      <c r="A6" s="408" t="s">
        <v>272</v>
      </c>
      <c r="B6" s="526" t="s">
        <v>435</v>
      </c>
      <c r="C6" s="526"/>
      <c r="D6" s="551"/>
      <c r="E6" s="538"/>
      <c r="F6" s="539">
        <f>F29</f>
        <v>208.23999999999995</v>
      </c>
      <c r="G6" s="539">
        <f t="shared" ref="G6:H6" si="0">G29</f>
        <v>37.483199999999989</v>
      </c>
      <c r="H6" s="539">
        <f t="shared" si="0"/>
        <v>245.72319999999993</v>
      </c>
      <c r="J6" s="1141">
        <f>F6*BOQ_G!$AA$2</f>
        <v>177.00399999999996</v>
      </c>
      <c r="K6" s="1141">
        <f>F6*BOQ_G!$AB$2</f>
        <v>24.988799999999994</v>
      </c>
    </row>
    <row r="7" spans="1:69" s="69" customFormat="1" x14ac:dyDescent="0.35">
      <c r="A7" s="547"/>
      <c r="B7" s="548" t="s">
        <v>811</v>
      </c>
      <c r="C7" s="547"/>
      <c r="D7" s="547"/>
      <c r="E7" s="547"/>
      <c r="F7" s="549">
        <f>F5+F6</f>
        <v>1783.79</v>
      </c>
      <c r="G7" s="549">
        <f t="shared" ref="G7:H7" si="1">G5+G6</f>
        <v>321.0822</v>
      </c>
      <c r="H7" s="549">
        <f t="shared" si="1"/>
        <v>2104.8721999999998</v>
      </c>
      <c r="J7" s="1142">
        <f>F7*BOQ_G!$AA$2</f>
        <v>1516.2214999999999</v>
      </c>
      <c r="K7" s="1142">
        <f>F7*BOQ_G!$AB$2</f>
        <v>214.0548</v>
      </c>
    </row>
    <row r="9" spans="1:69" s="80" customFormat="1" x14ac:dyDescent="0.3">
      <c r="A9" s="184"/>
      <c r="B9" s="184" t="s">
        <v>451</v>
      </c>
      <c r="C9" s="184" t="s">
        <v>819</v>
      </c>
      <c r="D9" s="184" t="s">
        <v>218</v>
      </c>
      <c r="E9" s="184" t="s">
        <v>290</v>
      </c>
      <c r="F9" s="184" t="s">
        <v>807</v>
      </c>
      <c r="G9" s="184" t="s">
        <v>120</v>
      </c>
      <c r="H9" s="184" t="s">
        <v>573</v>
      </c>
      <c r="I9" s="184"/>
      <c r="J9" s="184"/>
      <c r="K9" s="186"/>
      <c r="L9" s="183"/>
      <c r="M9" s="183"/>
      <c r="N9" s="183"/>
      <c r="O9" s="183"/>
      <c r="P9" s="183"/>
      <c r="Q9" s="183"/>
      <c r="R9" s="183"/>
      <c r="S9" s="183"/>
      <c r="T9" s="183"/>
      <c r="U9" s="183"/>
      <c r="V9" s="183"/>
      <c r="W9" s="183"/>
      <c r="X9" s="183"/>
      <c r="Y9" s="183"/>
      <c r="Z9" s="183"/>
      <c r="AA9" s="183"/>
      <c r="AB9" s="183"/>
      <c r="AC9" s="183"/>
      <c r="AD9" s="183"/>
      <c r="AE9" s="183"/>
      <c r="AF9" s="183"/>
      <c r="AG9" s="183"/>
      <c r="AH9" s="183"/>
      <c r="AI9" s="183"/>
      <c r="BG9" s="183"/>
      <c r="BH9" s="183"/>
      <c r="BI9" s="183"/>
      <c r="BJ9" s="183"/>
      <c r="BK9" s="183"/>
      <c r="BL9" s="183"/>
      <c r="BM9" s="183"/>
      <c r="BN9" s="183"/>
      <c r="BO9" s="183"/>
      <c r="BP9" s="183"/>
      <c r="BQ9" s="183"/>
    </row>
    <row r="10" spans="1:69" s="80" customFormat="1" x14ac:dyDescent="0.3">
      <c r="A10" s="411" t="s">
        <v>268</v>
      </c>
      <c r="B10" s="493" t="s">
        <v>429</v>
      </c>
      <c r="C10" s="494"/>
      <c r="D10" s="375"/>
      <c r="E10" s="495"/>
      <c r="F10" s="495"/>
      <c r="G10" s="495"/>
      <c r="H10" s="495"/>
      <c r="I10" s="495"/>
      <c r="J10" s="495"/>
      <c r="K10" s="186"/>
      <c r="L10" s="1168"/>
      <c r="M10" s="183"/>
      <c r="N10" s="183"/>
      <c r="O10" s="183"/>
      <c r="P10" s="183"/>
      <c r="Q10" s="183"/>
      <c r="R10" s="183"/>
      <c r="S10" s="183"/>
      <c r="T10" s="183"/>
      <c r="U10" s="183"/>
      <c r="V10" s="183"/>
      <c r="W10" s="183"/>
      <c r="X10" s="183"/>
      <c r="Y10" s="183"/>
      <c r="Z10" s="183"/>
      <c r="AA10" s="183"/>
      <c r="AB10" s="183"/>
      <c r="AC10" s="183"/>
      <c r="AD10" s="183"/>
      <c r="AE10" s="183"/>
      <c r="AF10" s="183"/>
      <c r="AG10" s="183"/>
      <c r="AH10" s="183"/>
      <c r="AI10" s="183"/>
      <c r="BG10" s="183"/>
      <c r="BH10" s="183"/>
      <c r="BI10" s="183"/>
      <c r="BJ10" s="183"/>
      <c r="BK10" s="183"/>
      <c r="BL10" s="183"/>
      <c r="BM10" s="183"/>
      <c r="BN10" s="183"/>
      <c r="BO10" s="183"/>
      <c r="BP10" s="183"/>
      <c r="BQ10" s="183"/>
    </row>
    <row r="11" spans="1:69" s="80" customFormat="1" x14ac:dyDescent="0.3">
      <c r="A11" s="13">
        <v>1</v>
      </c>
      <c r="B11" s="345" t="s">
        <v>855</v>
      </c>
      <c r="C11" s="410" t="s">
        <v>854</v>
      </c>
      <c r="D11" s="82">
        <f>(Input!D77*Input!E77+Input!D78*Input!E78)/SUM(Input!E77:E78)</f>
        <v>0</v>
      </c>
      <c r="E11" s="82">
        <f>SUM(Input!E77:E78)</f>
        <v>11.125</v>
      </c>
      <c r="F11" s="491">
        <f>D11*E11</f>
        <v>0</v>
      </c>
      <c r="G11" s="409">
        <f>F11*$J11</f>
        <v>0</v>
      </c>
      <c r="H11" s="409">
        <f>F11+G11</f>
        <v>0</v>
      </c>
      <c r="J11" s="552">
        <v>0.18</v>
      </c>
      <c r="K11" s="186"/>
      <c r="L11" s="183"/>
      <c r="M11" s="183"/>
      <c r="N11" s="183"/>
      <c r="O11" s="183"/>
      <c r="P11" s="183"/>
      <c r="Q11" s="183"/>
      <c r="R11" s="183"/>
      <c r="S11" s="183"/>
      <c r="T11" s="183"/>
      <c r="U11" s="183"/>
      <c r="V11" s="183"/>
      <c r="W11" s="183"/>
      <c r="X11" s="183"/>
      <c r="Y11" s="183"/>
      <c r="Z11" s="183"/>
      <c r="AA11" s="183"/>
      <c r="AB11" s="183"/>
      <c r="AC11" s="183"/>
      <c r="AD11" s="183"/>
      <c r="AE11" s="183"/>
      <c r="AF11" s="183"/>
      <c r="AG11" s="183"/>
      <c r="AH11" s="183"/>
      <c r="AI11" s="183"/>
      <c r="BG11" s="183"/>
      <c r="BH11" s="183"/>
      <c r="BI11" s="183"/>
      <c r="BJ11" s="183"/>
      <c r="BK11" s="183"/>
      <c r="BL11" s="183"/>
      <c r="BM11" s="183"/>
      <c r="BN11" s="183"/>
      <c r="BO11" s="183"/>
      <c r="BP11" s="183"/>
      <c r="BQ11" s="183"/>
    </row>
    <row r="12" spans="1:69" s="80" customFormat="1" x14ac:dyDescent="0.3">
      <c r="A12" s="13">
        <v>2</v>
      </c>
      <c r="B12" s="345" t="s">
        <v>856</v>
      </c>
      <c r="C12" s="410" t="s">
        <v>854</v>
      </c>
      <c r="D12" s="82">
        <f>Input!D79</f>
        <v>0</v>
      </c>
      <c r="E12" s="82">
        <f>Input!E79</f>
        <v>0.61250000000000004</v>
      </c>
      <c r="F12" s="491">
        <f>D12*E12</f>
        <v>0</v>
      </c>
      <c r="G12" s="409">
        <f>F12*$J12</f>
        <v>0</v>
      </c>
      <c r="H12" s="409">
        <f>F12+G12</f>
        <v>0</v>
      </c>
      <c r="J12" s="552">
        <v>0.18</v>
      </c>
      <c r="K12" s="186"/>
      <c r="L12" s="183"/>
      <c r="M12" s="183"/>
      <c r="N12" s="183"/>
      <c r="O12" s="183"/>
      <c r="P12" s="183"/>
      <c r="Q12" s="183"/>
      <c r="R12" s="183"/>
      <c r="S12" s="183"/>
      <c r="T12" s="183"/>
      <c r="U12" s="183"/>
      <c r="V12" s="183"/>
      <c r="W12" s="183"/>
      <c r="X12" s="183"/>
      <c r="Y12" s="183"/>
      <c r="Z12" s="183"/>
      <c r="AA12" s="183"/>
      <c r="AB12" s="183"/>
      <c r="AC12" s="183"/>
      <c r="AD12" s="183"/>
      <c r="AE12" s="183"/>
      <c r="AF12" s="183"/>
      <c r="AG12" s="183"/>
      <c r="AH12" s="183"/>
      <c r="AI12" s="183"/>
      <c r="BG12" s="183"/>
      <c r="BH12" s="183"/>
      <c r="BI12" s="183"/>
      <c r="BJ12" s="183"/>
      <c r="BK12" s="183"/>
      <c r="BL12" s="183"/>
      <c r="BM12" s="183"/>
      <c r="BN12" s="183"/>
      <c r="BO12" s="183"/>
      <c r="BP12" s="183"/>
      <c r="BQ12" s="183"/>
    </row>
    <row r="13" spans="1:69" s="80" customFormat="1" x14ac:dyDescent="0.3">
      <c r="A13" s="13">
        <v>3</v>
      </c>
      <c r="B13" s="345" t="s">
        <v>748</v>
      </c>
      <c r="C13" s="410" t="s">
        <v>854</v>
      </c>
      <c r="D13" s="82">
        <f>Input!D80</f>
        <v>0</v>
      </c>
      <c r="E13" s="82">
        <f>Input!E80</f>
        <v>3.8955000000000002</v>
      </c>
      <c r="F13" s="491">
        <f>D13*E13</f>
        <v>0</v>
      </c>
      <c r="G13" s="409">
        <f>F13*$J13</f>
        <v>0</v>
      </c>
      <c r="H13" s="409">
        <f>F13+G13</f>
        <v>0</v>
      </c>
      <c r="J13" s="552"/>
      <c r="K13" s="186"/>
      <c r="L13" s="183"/>
      <c r="M13" s="183"/>
      <c r="N13" s="183"/>
      <c r="O13" s="183"/>
      <c r="P13" s="183"/>
      <c r="Q13" s="183"/>
      <c r="R13" s="183"/>
      <c r="S13" s="183"/>
      <c r="T13" s="183"/>
      <c r="U13" s="183"/>
      <c r="V13" s="183"/>
      <c r="W13" s="183"/>
      <c r="X13" s="183"/>
      <c r="Y13" s="183"/>
      <c r="Z13" s="183"/>
      <c r="AA13" s="183"/>
      <c r="AB13" s="183"/>
      <c r="AC13" s="183"/>
      <c r="AD13" s="183"/>
      <c r="AE13" s="183"/>
      <c r="AF13" s="183"/>
      <c r="AG13" s="183"/>
      <c r="AH13" s="183"/>
      <c r="AI13" s="183"/>
      <c r="BG13" s="183"/>
      <c r="BH13" s="183"/>
      <c r="BI13" s="183"/>
      <c r="BJ13" s="183"/>
      <c r="BK13" s="183"/>
      <c r="BL13" s="183"/>
      <c r="BM13" s="183"/>
      <c r="BN13" s="183"/>
      <c r="BO13" s="183"/>
      <c r="BP13" s="183"/>
      <c r="BQ13" s="183"/>
    </row>
    <row r="14" spans="1:69" s="80" customFormat="1" x14ac:dyDescent="0.3">
      <c r="A14" s="13">
        <v>4</v>
      </c>
      <c r="B14" s="345" t="s">
        <v>444</v>
      </c>
      <c r="C14" s="410" t="s">
        <v>854</v>
      </c>
      <c r="D14" s="82">
        <f>Input!D81</f>
        <v>0</v>
      </c>
      <c r="E14" s="82">
        <f>Input!E81</f>
        <v>4.125</v>
      </c>
      <c r="F14" s="491">
        <f>D14*E14</f>
        <v>0</v>
      </c>
      <c r="G14" s="409">
        <f>F14*$J14</f>
        <v>0</v>
      </c>
      <c r="H14" s="409">
        <f>F14+G14</f>
        <v>0</v>
      </c>
      <c r="J14" s="552">
        <v>0.18</v>
      </c>
      <c r="K14" s="186"/>
      <c r="L14" s="183"/>
      <c r="M14" s="183"/>
      <c r="N14" s="183"/>
      <c r="O14" s="183"/>
      <c r="P14" s="183"/>
      <c r="Q14" s="183"/>
      <c r="R14" s="183"/>
      <c r="S14" s="183"/>
      <c r="T14" s="183"/>
      <c r="U14" s="183"/>
      <c r="V14" s="183"/>
      <c r="W14" s="183"/>
      <c r="X14" s="183"/>
      <c r="Y14" s="183"/>
      <c r="Z14" s="183"/>
      <c r="AA14" s="183"/>
      <c r="AB14" s="183"/>
      <c r="AC14" s="183"/>
      <c r="AD14" s="183"/>
      <c r="AE14" s="183"/>
      <c r="AF14" s="183"/>
      <c r="AG14" s="183"/>
      <c r="AH14" s="183"/>
      <c r="AI14" s="183"/>
      <c r="BG14" s="183"/>
      <c r="BH14" s="183"/>
      <c r="BI14" s="183"/>
      <c r="BJ14" s="183"/>
      <c r="BK14" s="183"/>
      <c r="BL14" s="183"/>
      <c r="BM14" s="183"/>
      <c r="BN14" s="183"/>
      <c r="BO14" s="183"/>
      <c r="BP14" s="183"/>
      <c r="BQ14" s="183"/>
    </row>
    <row r="15" spans="1:69" s="80" customFormat="1" x14ac:dyDescent="0.3">
      <c r="A15" s="916"/>
      <c r="B15" s="917" t="s">
        <v>770</v>
      </c>
      <c r="C15" s="916" t="s">
        <v>202</v>
      </c>
      <c r="D15" s="915"/>
      <c r="E15" s="915">
        <f>SUM(E11:E14)</f>
        <v>19.758000000000003</v>
      </c>
      <c r="F15" s="915">
        <f>SUM(F11:F14)</f>
        <v>0</v>
      </c>
      <c r="G15" s="915">
        <f>SUM(G11:G14)</f>
        <v>0</v>
      </c>
      <c r="H15" s="915">
        <f>SUM(H11:H14)</f>
        <v>0</v>
      </c>
      <c r="K15" s="186"/>
      <c r="L15" s="183"/>
      <c r="M15" s="183"/>
      <c r="N15" s="183"/>
      <c r="O15" s="183"/>
      <c r="P15" s="183"/>
      <c r="Q15" s="183"/>
      <c r="R15" s="183"/>
      <c r="S15" s="183"/>
      <c r="T15" s="183"/>
      <c r="U15" s="183"/>
      <c r="V15" s="183"/>
      <c r="W15" s="183"/>
      <c r="X15" s="183"/>
      <c r="Y15" s="183"/>
      <c r="Z15" s="183"/>
      <c r="AA15" s="183"/>
      <c r="AB15" s="183"/>
      <c r="AC15" s="183"/>
      <c r="AD15" s="183"/>
      <c r="AE15" s="183"/>
      <c r="AF15" s="183"/>
      <c r="AG15" s="183"/>
      <c r="AH15" s="183"/>
      <c r="AI15" s="183"/>
      <c r="BG15" s="183"/>
      <c r="BH15" s="183"/>
      <c r="BI15" s="183"/>
      <c r="BJ15" s="183"/>
      <c r="BK15" s="183"/>
      <c r="BL15" s="183"/>
      <c r="BM15" s="183"/>
      <c r="BN15" s="183"/>
      <c r="BO15" s="183"/>
      <c r="BP15" s="183"/>
      <c r="BQ15" s="183"/>
    </row>
    <row r="16" spans="1:69" s="80" customFormat="1" x14ac:dyDescent="0.3">
      <c r="A16" s="411" t="s">
        <v>270</v>
      </c>
      <c r="B16" s="493" t="s">
        <v>431</v>
      </c>
      <c r="C16" s="494"/>
      <c r="D16" s="494"/>
      <c r="E16" s="494"/>
      <c r="F16" s="494"/>
      <c r="G16" s="494"/>
      <c r="H16" s="494"/>
      <c r="I16" s="494"/>
      <c r="J16" s="494"/>
      <c r="K16" s="186"/>
      <c r="L16" s="183"/>
      <c r="M16" s="183"/>
      <c r="N16" s="183"/>
      <c r="O16" s="183"/>
      <c r="P16" s="183"/>
      <c r="Q16" s="183"/>
      <c r="R16" s="183"/>
      <c r="S16" s="183"/>
      <c r="T16" s="183"/>
      <c r="U16" s="183"/>
      <c r="V16" s="183"/>
      <c r="W16" s="183"/>
      <c r="X16" s="183"/>
      <c r="Y16" s="183"/>
      <c r="Z16" s="183"/>
      <c r="AA16" s="183"/>
      <c r="AB16" s="183"/>
      <c r="AC16" s="183"/>
      <c r="AD16" s="183"/>
      <c r="AE16" s="183"/>
      <c r="AF16" s="183"/>
      <c r="AG16" s="183"/>
      <c r="AH16" s="183"/>
      <c r="AI16" s="183"/>
      <c r="BG16" s="183"/>
      <c r="BH16" s="183"/>
      <c r="BI16" s="183"/>
      <c r="BJ16" s="183"/>
      <c r="BK16" s="183"/>
      <c r="BL16" s="183"/>
      <c r="BM16" s="183"/>
      <c r="BN16" s="183"/>
      <c r="BO16" s="183"/>
      <c r="BP16" s="183"/>
      <c r="BQ16" s="183"/>
    </row>
    <row r="17" spans="1:69" s="80" customFormat="1" x14ac:dyDescent="0.3">
      <c r="A17" s="358">
        <v>1</v>
      </c>
      <c r="B17" s="188" t="s">
        <v>431</v>
      </c>
      <c r="C17" s="410" t="s">
        <v>202</v>
      </c>
      <c r="D17" s="82">
        <f>Input!D84</f>
        <v>100</v>
      </c>
      <c r="E17" s="82">
        <f>Input!E84</f>
        <v>15.0205</v>
      </c>
      <c r="F17" s="491">
        <f>D17*E17</f>
        <v>1502.05</v>
      </c>
      <c r="G17" s="409">
        <f>F17*$J17</f>
        <v>270.36899999999997</v>
      </c>
      <c r="H17" s="409">
        <f>F17+G17</f>
        <v>1772.4189999999999</v>
      </c>
      <c r="J17" s="552">
        <f>Input!$E$225</f>
        <v>0.18</v>
      </c>
      <c r="K17" s="186"/>
      <c r="L17" s="186"/>
      <c r="M17" s="186"/>
      <c r="N17" s="186"/>
      <c r="O17" s="183"/>
      <c r="P17" s="183"/>
      <c r="Q17" s="183"/>
      <c r="R17" s="183"/>
      <c r="S17" s="183"/>
      <c r="T17" s="183"/>
      <c r="U17" s="183"/>
      <c r="V17" s="183"/>
      <c r="W17" s="183"/>
      <c r="X17" s="183"/>
      <c r="Y17" s="183"/>
      <c r="Z17" s="183"/>
      <c r="AA17" s="183"/>
      <c r="AB17" s="183"/>
      <c r="AC17" s="183"/>
      <c r="AD17" s="183"/>
      <c r="AE17" s="183"/>
      <c r="AF17" s="183"/>
      <c r="AG17" s="183"/>
      <c r="AH17" s="183"/>
      <c r="AI17" s="183"/>
      <c r="BG17" s="183"/>
      <c r="BH17" s="183"/>
      <c r="BI17" s="183"/>
      <c r="BJ17" s="183"/>
      <c r="BK17" s="183"/>
      <c r="BL17" s="183"/>
      <c r="BM17" s="183"/>
      <c r="BN17" s="183"/>
      <c r="BO17" s="183"/>
      <c r="BP17" s="183"/>
      <c r="BQ17" s="183"/>
    </row>
    <row r="18" spans="1:69" s="80" customFormat="1" x14ac:dyDescent="0.3">
      <c r="A18" s="13">
        <v>2</v>
      </c>
      <c r="B18" s="348" t="s">
        <v>859</v>
      </c>
      <c r="C18" s="410" t="s">
        <v>202</v>
      </c>
      <c r="D18" s="189">
        <f>Input!D101</f>
        <v>0</v>
      </c>
      <c r="E18" s="189">
        <f>Input!E101</f>
        <v>0</v>
      </c>
      <c r="F18" s="89">
        <f>D18*E18</f>
        <v>0</v>
      </c>
      <c r="G18" s="837">
        <f>F18*$J18</f>
        <v>0</v>
      </c>
      <c r="H18" s="837">
        <f>F18+G18</f>
        <v>0</v>
      </c>
      <c r="J18" s="552">
        <f>Input!$E$225</f>
        <v>0.18</v>
      </c>
      <c r="K18" s="914"/>
      <c r="L18" s="183"/>
      <c r="M18" s="183"/>
      <c r="N18" s="183"/>
      <c r="O18" s="183"/>
      <c r="P18" s="183"/>
      <c r="Q18" s="183"/>
      <c r="R18" s="183"/>
      <c r="S18" s="183"/>
      <c r="T18" s="183"/>
      <c r="U18" s="183"/>
      <c r="V18" s="183"/>
      <c r="W18" s="183"/>
      <c r="X18" s="183"/>
      <c r="Y18" s="183"/>
      <c r="Z18" s="183"/>
      <c r="AA18" s="183"/>
      <c r="AB18" s="183"/>
      <c r="AC18" s="183"/>
      <c r="AD18" s="183"/>
      <c r="AE18" s="183"/>
      <c r="AF18" s="183"/>
      <c r="AG18" s="183"/>
      <c r="AH18" s="183"/>
      <c r="AI18" s="183"/>
      <c r="BG18" s="183"/>
      <c r="BH18" s="183"/>
      <c r="BI18" s="183"/>
      <c r="BJ18" s="183"/>
      <c r="BK18" s="183"/>
      <c r="BL18" s="183"/>
      <c r="BM18" s="183"/>
      <c r="BN18" s="183"/>
      <c r="BO18" s="183"/>
      <c r="BP18" s="183"/>
      <c r="BQ18" s="183"/>
    </row>
    <row r="19" spans="1:69" s="80" customFormat="1" x14ac:dyDescent="0.3">
      <c r="A19" s="916"/>
      <c r="B19" s="917" t="s">
        <v>772</v>
      </c>
      <c r="C19" s="916"/>
      <c r="D19" s="915"/>
      <c r="E19" s="915"/>
      <c r="F19" s="915">
        <f>SUM(F17:F18)</f>
        <v>1502.05</v>
      </c>
      <c r="G19" s="915">
        <f>SUM(G17:G18)</f>
        <v>270.36899999999997</v>
      </c>
      <c r="H19" s="915">
        <f>SUM(H17:H18)</f>
        <v>1772.4189999999999</v>
      </c>
      <c r="K19" s="186"/>
      <c r="N19" s="183"/>
      <c r="O19" s="183"/>
      <c r="P19" s="183"/>
      <c r="Q19" s="183"/>
      <c r="R19" s="183"/>
      <c r="S19" s="183"/>
      <c r="T19" s="183"/>
      <c r="U19" s="183"/>
      <c r="V19" s="183"/>
      <c r="W19" s="183"/>
      <c r="X19" s="183"/>
      <c r="Y19" s="183"/>
      <c r="Z19" s="183"/>
      <c r="AA19" s="183"/>
      <c r="AB19" s="183"/>
      <c r="AC19" s="183"/>
      <c r="AD19" s="183"/>
      <c r="AE19" s="183"/>
      <c r="AF19" s="183"/>
      <c r="AG19" s="183"/>
      <c r="AH19" s="183"/>
      <c r="AI19" s="183"/>
      <c r="BG19" s="183"/>
      <c r="BH19" s="183"/>
      <c r="BI19" s="183"/>
      <c r="BJ19" s="183"/>
      <c r="BK19" s="183"/>
      <c r="BL19" s="183"/>
      <c r="BM19" s="183"/>
      <c r="BN19" s="183"/>
      <c r="BO19" s="183"/>
      <c r="BP19" s="183"/>
      <c r="BQ19" s="183"/>
    </row>
    <row r="20" spans="1:69" s="80" customFormat="1" x14ac:dyDescent="0.3">
      <c r="A20" s="411" t="s">
        <v>272</v>
      </c>
      <c r="B20" s="493" t="s">
        <v>432</v>
      </c>
      <c r="C20" s="494"/>
      <c r="D20" s="494"/>
      <c r="E20" s="494"/>
      <c r="F20" s="494"/>
      <c r="G20" s="494"/>
      <c r="H20" s="494"/>
      <c r="I20" s="494"/>
      <c r="J20" s="494"/>
      <c r="K20" s="186"/>
      <c r="L20" s="183"/>
      <c r="M20" s="183"/>
      <c r="N20" s="183"/>
      <c r="O20" s="183"/>
      <c r="P20" s="183"/>
      <c r="Q20" s="183"/>
      <c r="R20" s="183"/>
      <c r="S20" s="183"/>
      <c r="T20" s="183"/>
      <c r="U20" s="183"/>
      <c r="V20" s="183"/>
      <c r="W20" s="183"/>
      <c r="X20" s="183"/>
      <c r="Y20" s="183"/>
      <c r="Z20" s="183"/>
      <c r="AA20" s="183"/>
      <c r="AB20" s="183"/>
      <c r="AC20" s="183"/>
      <c r="AD20" s="183"/>
      <c r="AE20" s="183"/>
      <c r="AF20" s="183"/>
      <c r="AG20" s="183"/>
      <c r="AH20" s="183"/>
      <c r="AI20" s="183"/>
      <c r="BG20" s="183"/>
      <c r="BH20" s="183"/>
      <c r="BI20" s="183"/>
      <c r="BJ20" s="183"/>
      <c r="BK20" s="183"/>
      <c r="BL20" s="183"/>
      <c r="BM20" s="183"/>
      <c r="BN20" s="183"/>
      <c r="BO20" s="183"/>
      <c r="BP20" s="183"/>
      <c r="BQ20" s="183"/>
    </row>
    <row r="21" spans="1:69" s="80" customFormat="1" x14ac:dyDescent="0.3">
      <c r="A21" s="358">
        <v>1</v>
      </c>
      <c r="B21" s="188" t="s">
        <v>1132</v>
      </c>
      <c r="C21" s="410" t="s">
        <v>202</v>
      </c>
      <c r="D21" s="82">
        <f>Input!D86</f>
        <v>120</v>
      </c>
      <c r="E21" s="82">
        <f>Input!E86</f>
        <v>0.61250000000000004</v>
      </c>
      <c r="F21" s="491">
        <f>D21*E21</f>
        <v>73.5</v>
      </c>
      <c r="G21" s="409">
        <f>F21*$J21</f>
        <v>13.229999999999999</v>
      </c>
      <c r="H21" s="409">
        <f>F21+G21</f>
        <v>86.73</v>
      </c>
      <c r="J21" s="552">
        <f>Input!$E$225</f>
        <v>0.18</v>
      </c>
      <c r="K21" s="186"/>
      <c r="L21" s="186"/>
      <c r="M21" s="186"/>
      <c r="N21" s="186"/>
      <c r="O21" s="183"/>
      <c r="P21" s="183"/>
      <c r="Q21" s="183"/>
      <c r="R21" s="183"/>
      <c r="S21" s="183"/>
      <c r="T21" s="183"/>
      <c r="U21" s="183"/>
      <c r="V21" s="183"/>
      <c r="W21" s="183"/>
      <c r="X21" s="183"/>
      <c r="Y21" s="183"/>
      <c r="Z21" s="183"/>
      <c r="AA21" s="183"/>
      <c r="AB21" s="183"/>
      <c r="AC21" s="183"/>
      <c r="AD21" s="183"/>
      <c r="AE21" s="183"/>
      <c r="AF21" s="183"/>
      <c r="AG21" s="183"/>
      <c r="AH21" s="183"/>
      <c r="AI21" s="183"/>
      <c r="BG21" s="183"/>
      <c r="BH21" s="183"/>
      <c r="BI21" s="183"/>
      <c r="BJ21" s="183"/>
      <c r="BK21" s="183"/>
      <c r="BL21" s="183"/>
      <c r="BM21" s="183"/>
      <c r="BN21" s="183"/>
      <c r="BO21" s="183"/>
      <c r="BP21" s="183"/>
      <c r="BQ21" s="183"/>
    </row>
    <row r="22" spans="1:69" s="80" customFormat="1" x14ac:dyDescent="0.3">
      <c r="A22" s="916"/>
      <c r="B22" s="917" t="s">
        <v>771</v>
      </c>
      <c r="C22" s="916"/>
      <c r="D22" s="915"/>
      <c r="E22" s="915">
        <f>SUM(E21:E21)</f>
        <v>0.61250000000000004</v>
      </c>
      <c r="F22" s="915">
        <f>SUM(F21:F21)</f>
        <v>73.5</v>
      </c>
      <c r="G22" s="915">
        <f>SUM(G21:G21)</f>
        <v>13.229999999999999</v>
      </c>
      <c r="H22" s="915">
        <f>SUM(H21:H21)</f>
        <v>86.73</v>
      </c>
      <c r="K22" s="705"/>
      <c r="L22" s="183"/>
      <c r="M22" s="183"/>
      <c r="N22" s="183"/>
      <c r="O22" s="183"/>
      <c r="P22" s="183"/>
      <c r="Q22" s="183"/>
      <c r="R22" s="183"/>
      <c r="S22" s="183"/>
      <c r="T22" s="183"/>
      <c r="U22" s="183"/>
      <c r="V22" s="183"/>
      <c r="W22" s="183"/>
      <c r="X22" s="183"/>
      <c r="Y22" s="183"/>
      <c r="Z22" s="183"/>
      <c r="AA22" s="183"/>
      <c r="AB22" s="183"/>
      <c r="AC22" s="183"/>
      <c r="AD22" s="183"/>
      <c r="AE22" s="183"/>
      <c r="AF22" s="183"/>
      <c r="AG22" s="183"/>
      <c r="AH22" s="183"/>
      <c r="AI22" s="183"/>
      <c r="BG22" s="183"/>
      <c r="BH22" s="183"/>
      <c r="BI22" s="183"/>
      <c r="BJ22" s="183"/>
      <c r="BK22" s="183"/>
      <c r="BL22" s="183"/>
      <c r="BM22" s="183"/>
      <c r="BN22" s="183"/>
      <c r="BO22" s="183"/>
      <c r="BP22" s="183"/>
      <c r="BQ22" s="183"/>
    </row>
    <row r="23" spans="1:69" x14ac:dyDescent="0.3">
      <c r="L23" s="12"/>
      <c r="M23" s="12"/>
      <c r="N23" s="12"/>
    </row>
    <row r="24" spans="1:69" x14ac:dyDescent="0.3">
      <c r="A24" s="411"/>
      <c r="B24" s="493" t="s">
        <v>549</v>
      </c>
      <c r="C24" s="494"/>
      <c r="D24" s="494"/>
      <c r="E24" s="494"/>
      <c r="F24" s="494"/>
      <c r="G24" s="494"/>
      <c r="H24" s="494"/>
      <c r="I24" s="494"/>
      <c r="J24" s="494"/>
      <c r="K24" s="186"/>
      <c r="L24" s="183"/>
    </row>
    <row r="25" spans="1:69" s="80" customFormat="1" x14ac:dyDescent="0.3">
      <c r="A25" s="13">
        <v>1</v>
      </c>
      <c r="B25" s="347" t="s">
        <v>436</v>
      </c>
      <c r="C25" s="410" t="s">
        <v>202</v>
      </c>
      <c r="D25" s="189">
        <f>Input!D107</f>
        <v>100000</v>
      </c>
      <c r="E25" s="189">
        <f>Input!E107</f>
        <v>203.23999999999998</v>
      </c>
      <c r="F25" s="89">
        <f>D25*E25/10^5</f>
        <v>203.23999999999995</v>
      </c>
      <c r="G25" s="409">
        <f t="shared" ref="G25:G28" si="2">F25*$J25</f>
        <v>36.583199999999991</v>
      </c>
      <c r="H25" s="409">
        <f t="shared" ref="H25:H28" si="3">F25+G25</f>
        <v>239.82319999999993</v>
      </c>
      <c r="J25" s="552">
        <f>Input!$E$225</f>
        <v>0.18</v>
      </c>
      <c r="K25" s="186"/>
      <c r="L25" s="183"/>
      <c r="M25" s="183"/>
      <c r="N25" s="183"/>
      <c r="O25" s="183"/>
      <c r="P25" s="183"/>
      <c r="Q25" s="183"/>
      <c r="R25" s="183"/>
      <c r="S25" s="183"/>
      <c r="T25" s="183"/>
      <c r="U25" s="183"/>
      <c r="V25" s="183"/>
      <c r="W25" s="183"/>
      <c r="X25" s="183"/>
      <c r="Y25" s="183"/>
      <c r="Z25" s="183"/>
      <c r="AA25" s="183"/>
      <c r="AB25" s="183"/>
      <c r="AC25" s="183"/>
      <c r="AD25" s="183"/>
      <c r="AE25" s="183"/>
      <c r="AF25" s="183"/>
      <c r="AG25" s="183"/>
      <c r="AH25" s="183"/>
      <c r="AI25" s="183"/>
      <c r="BG25" s="183"/>
      <c r="BH25" s="183"/>
      <c r="BI25" s="183"/>
      <c r="BJ25" s="183"/>
      <c r="BK25" s="183"/>
      <c r="BL25" s="183"/>
      <c r="BM25" s="183"/>
      <c r="BN25" s="183"/>
      <c r="BO25" s="183"/>
      <c r="BP25" s="183"/>
      <c r="BQ25" s="183"/>
    </row>
    <row r="26" spans="1:69" s="80" customFormat="1" x14ac:dyDescent="0.3">
      <c r="A26" s="13">
        <v>2</v>
      </c>
      <c r="B26" s="347" t="s">
        <v>437</v>
      </c>
      <c r="C26" s="410" t="s">
        <v>202</v>
      </c>
      <c r="D26" s="189">
        <f>Input!D108</f>
        <v>0</v>
      </c>
      <c r="E26" s="189">
        <f>Input!E108</f>
        <v>203.23999999999998</v>
      </c>
      <c r="F26" s="89">
        <f>D26*E26/10^5</f>
        <v>0</v>
      </c>
      <c r="G26" s="409">
        <f t="shared" si="2"/>
        <v>0</v>
      </c>
      <c r="H26" s="409">
        <f t="shared" si="3"/>
        <v>0</v>
      </c>
      <c r="J26" s="552">
        <f>Input!$E$225</f>
        <v>0.18</v>
      </c>
      <c r="K26" s="186"/>
      <c r="L26" s="183"/>
      <c r="M26" s="183"/>
      <c r="N26" s="183"/>
      <c r="O26" s="183"/>
      <c r="P26" s="183"/>
      <c r="Q26" s="183"/>
      <c r="R26" s="183"/>
      <c r="S26" s="183"/>
      <c r="T26" s="183"/>
      <c r="U26" s="183"/>
      <c r="V26" s="183"/>
      <c r="W26" s="183"/>
      <c r="X26" s="183"/>
      <c r="Y26" s="183"/>
      <c r="Z26" s="183"/>
      <c r="AA26" s="183"/>
      <c r="AB26" s="183"/>
      <c r="AC26" s="183"/>
      <c r="AD26" s="183"/>
      <c r="AE26" s="183"/>
      <c r="AF26" s="183"/>
      <c r="AG26" s="183"/>
      <c r="AH26" s="183"/>
      <c r="AI26" s="183"/>
      <c r="BG26" s="183"/>
      <c r="BH26" s="183"/>
      <c r="BI26" s="183"/>
      <c r="BJ26" s="183"/>
      <c r="BK26" s="183"/>
      <c r="BL26" s="183"/>
      <c r="BM26" s="183"/>
      <c r="BN26" s="183"/>
      <c r="BO26" s="183"/>
      <c r="BP26" s="183"/>
      <c r="BQ26" s="183"/>
    </row>
    <row r="27" spans="1:69" s="80" customFormat="1" x14ac:dyDescent="0.3">
      <c r="A27" s="13">
        <v>3</v>
      </c>
      <c r="B27" s="348" t="s">
        <v>438</v>
      </c>
      <c r="C27" s="410" t="s">
        <v>202</v>
      </c>
      <c r="D27" s="189">
        <f>Input!D109</f>
        <v>0</v>
      </c>
      <c r="E27" s="189">
        <f>Input!E109</f>
        <v>203.23999999999998</v>
      </c>
      <c r="F27" s="89">
        <f>D27*E27/10^5</f>
        <v>0</v>
      </c>
      <c r="G27" s="409">
        <f t="shared" si="2"/>
        <v>0</v>
      </c>
      <c r="H27" s="409">
        <f t="shared" si="3"/>
        <v>0</v>
      </c>
      <c r="J27" s="552">
        <f>Input!$E$225</f>
        <v>0.18</v>
      </c>
      <c r="K27" s="186"/>
      <c r="L27" s="183"/>
      <c r="M27" s="183"/>
      <c r="N27" s="183"/>
      <c r="O27" s="183"/>
      <c r="P27" s="183"/>
      <c r="Q27" s="183"/>
      <c r="R27" s="183"/>
      <c r="S27" s="183"/>
      <c r="T27" s="183"/>
      <c r="U27" s="183"/>
      <c r="V27" s="183"/>
      <c r="W27" s="183"/>
      <c r="X27" s="183"/>
      <c r="Y27" s="183"/>
      <c r="Z27" s="183"/>
      <c r="AA27" s="183"/>
      <c r="AB27" s="183"/>
      <c r="AC27" s="183"/>
      <c r="AD27" s="183"/>
      <c r="AE27" s="183"/>
      <c r="AF27" s="183"/>
      <c r="AG27" s="183"/>
      <c r="AH27" s="183"/>
      <c r="AI27" s="183"/>
      <c r="BG27" s="183"/>
      <c r="BH27" s="183"/>
      <c r="BI27" s="183"/>
      <c r="BJ27" s="183"/>
      <c r="BK27" s="183"/>
      <c r="BL27" s="183"/>
      <c r="BM27" s="183"/>
      <c r="BN27" s="183"/>
      <c r="BO27" s="183"/>
      <c r="BP27" s="183"/>
      <c r="BQ27" s="183"/>
    </row>
    <row r="28" spans="1:69" s="80" customFormat="1" x14ac:dyDescent="0.3">
      <c r="A28" s="13">
        <v>4</v>
      </c>
      <c r="B28" s="349" t="s">
        <v>439</v>
      </c>
      <c r="C28" s="410" t="s">
        <v>202</v>
      </c>
      <c r="D28" s="189">
        <f>Input!D110</f>
        <v>500000</v>
      </c>
      <c r="E28" s="189">
        <f>Input!E110</f>
        <v>1</v>
      </c>
      <c r="F28" s="89">
        <f>D28*E28/10^5</f>
        <v>5</v>
      </c>
      <c r="G28" s="409">
        <f t="shared" si="2"/>
        <v>0.89999999999999991</v>
      </c>
      <c r="H28" s="409">
        <f t="shared" si="3"/>
        <v>5.9</v>
      </c>
      <c r="J28" s="552">
        <f>Input!$E$225</f>
        <v>0.18</v>
      </c>
      <c r="K28" s="186"/>
      <c r="L28" s="183"/>
      <c r="M28" s="183"/>
      <c r="N28" s="183"/>
      <c r="O28" s="183"/>
      <c r="P28" s="183"/>
      <c r="Q28" s="183"/>
      <c r="R28" s="183"/>
      <c r="S28" s="183"/>
      <c r="T28" s="183"/>
      <c r="U28" s="183"/>
      <c r="V28" s="183"/>
      <c r="W28" s="183"/>
      <c r="X28" s="183"/>
      <c r="Y28" s="183"/>
      <c r="Z28" s="183"/>
      <c r="AA28" s="183"/>
      <c r="AB28" s="183"/>
      <c r="AC28" s="183"/>
      <c r="AD28" s="183"/>
      <c r="AE28" s="183"/>
      <c r="AF28" s="183"/>
      <c r="AG28" s="183"/>
      <c r="AH28" s="183"/>
      <c r="AI28" s="183"/>
      <c r="BG28" s="183"/>
      <c r="BH28" s="183"/>
      <c r="BI28" s="183"/>
      <c r="BJ28" s="183"/>
      <c r="BK28" s="183"/>
      <c r="BL28" s="183"/>
      <c r="BM28" s="183"/>
      <c r="BN28" s="183"/>
      <c r="BO28" s="183"/>
      <c r="BP28" s="183"/>
      <c r="BQ28" s="183"/>
    </row>
    <row r="29" spans="1:69" s="80" customFormat="1" x14ac:dyDescent="0.3">
      <c r="A29" s="916"/>
      <c r="B29" s="917" t="s">
        <v>450</v>
      </c>
      <c r="C29" s="916" t="s">
        <v>202</v>
      </c>
      <c r="D29" s="915"/>
      <c r="E29" s="915"/>
      <c r="F29" s="915">
        <f>SUM(F25:F28)</f>
        <v>208.23999999999995</v>
      </c>
      <c r="G29" s="915">
        <f>SUM(G25:G28)</f>
        <v>37.483199999999989</v>
      </c>
      <c r="H29" s="915">
        <f>SUM(H25:H28)</f>
        <v>245.72319999999993</v>
      </c>
      <c r="I29" s="915"/>
      <c r="J29" s="915"/>
      <c r="K29" s="186"/>
      <c r="L29" s="183"/>
      <c r="M29" s="183"/>
      <c r="N29" s="183"/>
      <c r="O29" s="183"/>
      <c r="P29" s="183"/>
      <c r="Q29" s="183"/>
      <c r="R29" s="183"/>
      <c r="S29" s="183"/>
      <c r="T29" s="183"/>
      <c r="U29" s="183"/>
      <c r="V29" s="183"/>
      <c r="W29" s="183"/>
      <c r="X29" s="183"/>
      <c r="Y29" s="183"/>
      <c r="Z29" s="183"/>
      <c r="AA29" s="183"/>
      <c r="AB29" s="183"/>
      <c r="AC29" s="183"/>
      <c r="AD29" s="183"/>
      <c r="AE29" s="183"/>
      <c r="AF29" s="183"/>
      <c r="AG29" s="183"/>
      <c r="AH29" s="183"/>
      <c r="AI29" s="183"/>
      <c r="BG29" s="183"/>
      <c r="BH29" s="183"/>
      <c r="BI29" s="183"/>
      <c r="BJ29" s="183"/>
      <c r="BK29" s="183"/>
      <c r="BL29" s="183"/>
      <c r="BM29" s="183"/>
      <c r="BN29" s="183"/>
      <c r="BO29" s="183"/>
      <c r="BP29" s="183"/>
      <c r="BQ29" s="183"/>
    </row>
    <row r="30" spans="1:69" s="80" customFormat="1" x14ac:dyDescent="0.3">
      <c r="A30" s="10"/>
      <c r="B30" s="10"/>
      <c r="C30" s="10"/>
      <c r="D30" s="10"/>
      <c r="E30" s="10"/>
      <c r="F30" s="10"/>
      <c r="G30" s="10"/>
      <c r="H30" s="10"/>
      <c r="I30" s="10"/>
      <c r="J30" s="10"/>
      <c r="K30" s="10"/>
      <c r="L30" s="10"/>
      <c r="M30" s="183"/>
      <c r="N30" s="183"/>
      <c r="O30" s="183"/>
      <c r="P30" s="183"/>
      <c r="Q30" s="183"/>
      <c r="R30" s="183"/>
      <c r="S30" s="183"/>
      <c r="T30" s="183"/>
      <c r="U30" s="183"/>
      <c r="V30" s="183"/>
      <c r="W30" s="183"/>
      <c r="X30" s="183"/>
      <c r="Y30" s="183"/>
      <c r="Z30" s="183"/>
      <c r="AA30" s="183"/>
      <c r="AB30" s="183"/>
      <c r="AC30" s="183"/>
      <c r="AD30" s="183"/>
      <c r="AE30" s="183"/>
      <c r="AF30" s="183"/>
      <c r="AG30" s="183"/>
      <c r="AH30" s="183"/>
      <c r="AI30" s="183"/>
      <c r="BG30" s="183"/>
      <c r="BH30" s="183"/>
      <c r="BI30" s="183"/>
      <c r="BJ30" s="183"/>
      <c r="BK30" s="183"/>
      <c r="BL30" s="183"/>
      <c r="BM30" s="183"/>
      <c r="BN30" s="183"/>
      <c r="BO30" s="183"/>
      <c r="BP30" s="183"/>
      <c r="BQ30" s="183"/>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3564A-19A7-4E26-8AFD-33934DD3704E}">
  <dimension ref="A1:BQ508"/>
  <sheetViews>
    <sheetView showGridLines="0" zoomScale="106" zoomScaleNormal="130" workbookViewId="0">
      <selection activeCell="H45" sqref="H45"/>
    </sheetView>
  </sheetViews>
  <sheetFormatPr defaultRowHeight="12" outlineLevelRow="1" x14ac:dyDescent="0.3"/>
  <cols>
    <col min="1" max="1" width="6.36328125" style="80" customWidth="1"/>
    <col min="2" max="2" width="42.26953125" style="8" bestFit="1" customWidth="1"/>
    <col min="3" max="3" width="8.90625" style="202"/>
    <col min="4" max="4" width="11.7265625" style="80" bestFit="1" customWidth="1"/>
    <col min="5" max="5" width="9.54296875" style="80" bestFit="1" customWidth="1"/>
    <col min="6" max="6" width="10.6328125" style="80" bestFit="1" customWidth="1"/>
    <col min="7" max="7" width="10.7265625" style="80" bestFit="1" customWidth="1"/>
    <col min="8" max="32" width="11.7265625" style="80" bestFit="1" customWidth="1"/>
    <col min="33" max="35" width="9.1796875" style="80" bestFit="1" customWidth="1"/>
    <col min="36" max="16384" width="8.7265625" style="80"/>
  </cols>
  <sheetData>
    <row r="1" spans="1:69" x14ac:dyDescent="0.3">
      <c r="A1" s="165"/>
      <c r="B1" s="166" t="s">
        <v>15</v>
      </c>
      <c r="C1" s="167" t="s">
        <v>14</v>
      </c>
      <c r="D1" s="168" t="s">
        <v>13</v>
      </c>
      <c r="E1" s="169">
        <f>YEAR(E2)</f>
        <v>2026</v>
      </c>
      <c r="F1" s="169">
        <f t="shared" ref="F1:AI1" si="0">E1+1</f>
        <v>2027</v>
      </c>
      <c r="G1" s="170">
        <f t="shared" si="0"/>
        <v>2028</v>
      </c>
      <c r="H1" s="170">
        <f t="shared" si="0"/>
        <v>2029</v>
      </c>
      <c r="I1" s="170">
        <f t="shared" si="0"/>
        <v>2030</v>
      </c>
      <c r="J1" s="170">
        <f t="shared" si="0"/>
        <v>2031</v>
      </c>
      <c r="K1" s="170">
        <f t="shared" si="0"/>
        <v>2032</v>
      </c>
      <c r="L1" s="170">
        <f t="shared" si="0"/>
        <v>2033</v>
      </c>
      <c r="M1" s="170">
        <f t="shared" si="0"/>
        <v>2034</v>
      </c>
      <c r="N1" s="170">
        <f t="shared" si="0"/>
        <v>2035</v>
      </c>
      <c r="O1" s="170">
        <f t="shared" si="0"/>
        <v>2036</v>
      </c>
      <c r="P1" s="170">
        <f t="shared" si="0"/>
        <v>2037</v>
      </c>
      <c r="Q1" s="170">
        <f t="shared" si="0"/>
        <v>2038</v>
      </c>
      <c r="R1" s="170">
        <f t="shared" si="0"/>
        <v>2039</v>
      </c>
      <c r="S1" s="170">
        <f t="shared" si="0"/>
        <v>2040</v>
      </c>
      <c r="T1" s="170">
        <f t="shared" si="0"/>
        <v>2041</v>
      </c>
      <c r="U1" s="170">
        <f t="shared" si="0"/>
        <v>2042</v>
      </c>
      <c r="V1" s="170">
        <f t="shared" si="0"/>
        <v>2043</v>
      </c>
      <c r="W1" s="170">
        <f t="shared" si="0"/>
        <v>2044</v>
      </c>
      <c r="X1" s="170">
        <f t="shared" si="0"/>
        <v>2045</v>
      </c>
      <c r="Y1" s="170">
        <f t="shared" si="0"/>
        <v>2046</v>
      </c>
      <c r="Z1" s="170">
        <f t="shared" si="0"/>
        <v>2047</v>
      </c>
      <c r="AA1" s="170">
        <f t="shared" si="0"/>
        <v>2048</v>
      </c>
      <c r="AB1" s="170">
        <f t="shared" si="0"/>
        <v>2049</v>
      </c>
      <c r="AC1" s="170">
        <f t="shared" si="0"/>
        <v>2050</v>
      </c>
      <c r="AD1" s="170">
        <f t="shared" si="0"/>
        <v>2051</v>
      </c>
      <c r="AE1" s="170">
        <f t="shared" si="0"/>
        <v>2052</v>
      </c>
      <c r="AF1" s="170">
        <f t="shared" si="0"/>
        <v>2053</v>
      </c>
      <c r="AG1" s="170">
        <f t="shared" si="0"/>
        <v>2054</v>
      </c>
      <c r="AH1" s="170">
        <f t="shared" si="0"/>
        <v>2055</v>
      </c>
      <c r="AI1" s="170">
        <f t="shared" si="0"/>
        <v>2056</v>
      </c>
      <c r="AJ1" s="170">
        <f>AI1+1</f>
        <v>2057</v>
      </c>
    </row>
    <row r="2" spans="1:69" x14ac:dyDescent="0.3">
      <c r="A2" s="166"/>
      <c r="B2" s="166"/>
      <c r="C2" s="167"/>
      <c r="D2" s="171">
        <f>Input!D238</f>
        <v>45747</v>
      </c>
      <c r="E2" s="172">
        <f t="shared" ref="E2:AI2" si="1">EOMONTH(D2,12)</f>
        <v>46112</v>
      </c>
      <c r="F2" s="172">
        <f t="shared" si="1"/>
        <v>46477</v>
      </c>
      <c r="G2" s="173">
        <f t="shared" si="1"/>
        <v>46843</v>
      </c>
      <c r="H2" s="173">
        <f t="shared" si="1"/>
        <v>47208</v>
      </c>
      <c r="I2" s="173">
        <f t="shared" si="1"/>
        <v>47573</v>
      </c>
      <c r="J2" s="173">
        <f t="shared" si="1"/>
        <v>47938</v>
      </c>
      <c r="K2" s="173">
        <f t="shared" si="1"/>
        <v>48304</v>
      </c>
      <c r="L2" s="173">
        <f t="shared" si="1"/>
        <v>48669</v>
      </c>
      <c r="M2" s="173">
        <f t="shared" si="1"/>
        <v>49034</v>
      </c>
      <c r="N2" s="173">
        <f t="shared" si="1"/>
        <v>49399</v>
      </c>
      <c r="O2" s="173">
        <f t="shared" si="1"/>
        <v>49765</v>
      </c>
      <c r="P2" s="173">
        <f t="shared" si="1"/>
        <v>50130</v>
      </c>
      <c r="Q2" s="173">
        <f t="shared" si="1"/>
        <v>50495</v>
      </c>
      <c r="R2" s="173">
        <f t="shared" si="1"/>
        <v>50860</v>
      </c>
      <c r="S2" s="173">
        <f t="shared" si="1"/>
        <v>51226</v>
      </c>
      <c r="T2" s="173">
        <f t="shared" si="1"/>
        <v>51591</v>
      </c>
      <c r="U2" s="173">
        <f t="shared" si="1"/>
        <v>51956</v>
      </c>
      <c r="V2" s="173">
        <f t="shared" si="1"/>
        <v>52321</v>
      </c>
      <c r="W2" s="173">
        <f t="shared" si="1"/>
        <v>52687</v>
      </c>
      <c r="X2" s="173">
        <f t="shared" si="1"/>
        <v>53052</v>
      </c>
      <c r="Y2" s="173">
        <f t="shared" si="1"/>
        <v>53417</v>
      </c>
      <c r="Z2" s="173">
        <f t="shared" si="1"/>
        <v>53782</v>
      </c>
      <c r="AA2" s="173">
        <f t="shared" si="1"/>
        <v>54148</v>
      </c>
      <c r="AB2" s="173">
        <f t="shared" si="1"/>
        <v>54513</v>
      </c>
      <c r="AC2" s="173">
        <f t="shared" si="1"/>
        <v>54878</v>
      </c>
      <c r="AD2" s="173">
        <f t="shared" si="1"/>
        <v>55243</v>
      </c>
      <c r="AE2" s="173">
        <f t="shared" si="1"/>
        <v>55609</v>
      </c>
      <c r="AF2" s="173">
        <f t="shared" si="1"/>
        <v>55974</v>
      </c>
      <c r="AG2" s="173">
        <f t="shared" si="1"/>
        <v>56339</v>
      </c>
      <c r="AH2" s="173">
        <f t="shared" si="1"/>
        <v>56704</v>
      </c>
      <c r="AI2" s="173">
        <f t="shared" si="1"/>
        <v>57070</v>
      </c>
      <c r="AJ2" s="173">
        <f>EOMONTH(AI2,12)</f>
        <v>57435</v>
      </c>
    </row>
    <row r="3" spans="1:69" s="188" customFormat="1" x14ac:dyDescent="0.3">
      <c r="A3" s="792"/>
      <c r="B3" s="622" t="s">
        <v>983</v>
      </c>
      <c r="C3" s="793"/>
      <c r="D3" s="794">
        <v>0</v>
      </c>
      <c r="E3" s="795">
        <f>D3+1</f>
        <v>1</v>
      </c>
      <c r="F3" s="795">
        <f t="shared" ref="F3:AJ3" si="2">E3+1</f>
        <v>2</v>
      </c>
      <c r="G3" s="795">
        <f t="shared" si="2"/>
        <v>3</v>
      </c>
      <c r="H3" s="795">
        <f t="shared" si="2"/>
        <v>4</v>
      </c>
      <c r="I3" s="795">
        <f t="shared" si="2"/>
        <v>5</v>
      </c>
      <c r="J3" s="795">
        <f t="shared" si="2"/>
        <v>6</v>
      </c>
      <c r="K3" s="795">
        <f t="shared" si="2"/>
        <v>7</v>
      </c>
      <c r="L3" s="795">
        <f t="shared" si="2"/>
        <v>8</v>
      </c>
      <c r="M3" s="795">
        <f t="shared" si="2"/>
        <v>9</v>
      </c>
      <c r="N3" s="795">
        <f t="shared" si="2"/>
        <v>10</v>
      </c>
      <c r="O3" s="795">
        <f t="shared" si="2"/>
        <v>11</v>
      </c>
      <c r="P3" s="795">
        <f t="shared" si="2"/>
        <v>12</v>
      </c>
      <c r="Q3" s="795">
        <f t="shared" si="2"/>
        <v>13</v>
      </c>
      <c r="R3" s="795">
        <f t="shared" si="2"/>
        <v>14</v>
      </c>
      <c r="S3" s="795">
        <f t="shared" si="2"/>
        <v>15</v>
      </c>
      <c r="T3" s="795">
        <f t="shared" si="2"/>
        <v>16</v>
      </c>
      <c r="U3" s="795">
        <f t="shared" si="2"/>
        <v>17</v>
      </c>
      <c r="V3" s="795">
        <f t="shared" si="2"/>
        <v>18</v>
      </c>
      <c r="W3" s="795">
        <f t="shared" si="2"/>
        <v>19</v>
      </c>
      <c r="X3" s="795">
        <f t="shared" si="2"/>
        <v>20</v>
      </c>
      <c r="Y3" s="795">
        <f t="shared" si="2"/>
        <v>21</v>
      </c>
      <c r="Z3" s="795">
        <f t="shared" si="2"/>
        <v>22</v>
      </c>
      <c r="AA3" s="795">
        <f t="shared" si="2"/>
        <v>23</v>
      </c>
      <c r="AB3" s="795">
        <f t="shared" si="2"/>
        <v>24</v>
      </c>
      <c r="AC3" s="795">
        <f t="shared" si="2"/>
        <v>25</v>
      </c>
      <c r="AD3" s="795">
        <f t="shared" si="2"/>
        <v>26</v>
      </c>
      <c r="AE3" s="795">
        <f t="shared" si="2"/>
        <v>27</v>
      </c>
      <c r="AF3" s="795">
        <f t="shared" si="2"/>
        <v>28</v>
      </c>
      <c r="AG3" s="795">
        <f t="shared" si="2"/>
        <v>29</v>
      </c>
      <c r="AH3" s="795">
        <f t="shared" si="2"/>
        <v>30</v>
      </c>
      <c r="AI3" s="795">
        <f t="shared" si="2"/>
        <v>31</v>
      </c>
      <c r="AJ3" s="795">
        <f t="shared" si="2"/>
        <v>32</v>
      </c>
    </row>
    <row r="4" spans="1:69" x14ac:dyDescent="0.3">
      <c r="A4" s="661"/>
      <c r="B4" s="661" t="s">
        <v>186</v>
      </c>
      <c r="C4" s="662">
        <f>SUM(E4:AI4)</f>
        <v>26</v>
      </c>
      <c r="D4" s="663"/>
      <c r="E4" s="664">
        <f>IF(AND(E2&gt;=Input!$E$180,E2&lt;=Input!$E$182),1,0)</f>
        <v>0</v>
      </c>
      <c r="F4" s="664">
        <f>IF(AND(F2&gt;=Input!$E$180,F2&lt;=Input!$E$182),1,0)</f>
        <v>1</v>
      </c>
      <c r="G4" s="664">
        <f>IF(AND(G2&gt;=Input!$E$180,G2&lt;=Input!$E$182),1,0)</f>
        <v>1</v>
      </c>
      <c r="H4" s="664">
        <f>IF(AND(H2&gt;=Input!$E$180,H2&lt;=Input!$E$182),1,0)</f>
        <v>1</v>
      </c>
      <c r="I4" s="664">
        <f>IF(AND(I2&gt;=Input!$E$180,I2&lt;=Input!$E$182),1,0)</f>
        <v>1</v>
      </c>
      <c r="J4" s="664">
        <f>IF(AND(J2&gt;=Input!$E$180,J2&lt;=Input!$E$182),1,0)</f>
        <v>1</v>
      </c>
      <c r="K4" s="664">
        <f>IF(AND(K2&gt;=Input!$E$180,K2&lt;=Input!$E$182),1,0)</f>
        <v>1</v>
      </c>
      <c r="L4" s="664">
        <f>IF(AND(L2&gt;=Input!$E$180,L2&lt;=Input!$E$182),1,0)</f>
        <v>1</v>
      </c>
      <c r="M4" s="664">
        <f>IF(AND(M2&gt;=Input!$E$180,M2&lt;=Input!$E$182),1,0)</f>
        <v>1</v>
      </c>
      <c r="N4" s="664">
        <f>IF(AND(N2&gt;=Input!$E$180,N2&lt;=Input!$E$182),1,0)</f>
        <v>1</v>
      </c>
      <c r="O4" s="664">
        <f>IF(AND(O2&gt;=Input!$E$180,O2&lt;=Input!$E$182),1,0)</f>
        <v>1</v>
      </c>
      <c r="P4" s="664">
        <f>IF(AND(P2&gt;=Input!$E$180,P2&lt;=Input!$E$182),1,0)</f>
        <v>1</v>
      </c>
      <c r="Q4" s="664">
        <f>IF(AND(Q2&gt;=Input!$E$180,Q2&lt;=Input!$E$182),1,0)</f>
        <v>1</v>
      </c>
      <c r="R4" s="664">
        <f>IF(AND(R2&gt;=Input!$E$180,R2&lt;=Input!$E$182),1,0)</f>
        <v>1</v>
      </c>
      <c r="S4" s="664">
        <f>IF(AND(S2&gt;=Input!$E$180,S2&lt;=Input!$E$182),1,0)</f>
        <v>1</v>
      </c>
      <c r="T4" s="664">
        <f>IF(AND(T2&gt;=Input!$E$180,T2&lt;=Input!$E$182),1,0)</f>
        <v>1</v>
      </c>
      <c r="U4" s="664">
        <f>IF(AND(U2&gt;=Input!$E$180,U2&lt;=Input!$E$182),1,0)</f>
        <v>1</v>
      </c>
      <c r="V4" s="664">
        <f>IF(AND(V2&gt;=Input!$E$180,V2&lt;=Input!$E$182),1,0)</f>
        <v>1</v>
      </c>
      <c r="W4" s="664">
        <f>IF(AND(W2&gt;=Input!$E$180,W2&lt;=Input!$E$182),1,0)</f>
        <v>1</v>
      </c>
      <c r="X4" s="664">
        <f>IF(AND(X2&gt;=Input!$E$180,X2&lt;=Input!$E$182),1,0)</f>
        <v>1</v>
      </c>
      <c r="Y4" s="664">
        <f>IF(AND(Y2&gt;=Input!$E$180,Y2&lt;=Input!$E$182),1,0)</f>
        <v>1</v>
      </c>
      <c r="Z4" s="664">
        <f>IF(AND(Z2&gt;=Input!$E$180,Z2&lt;=Input!$E$182),1,0)</f>
        <v>1</v>
      </c>
      <c r="AA4" s="664">
        <f>IF(AND(AA2&gt;=Input!$E$180,AA2&lt;=Input!$E$182),1,0)</f>
        <v>1</v>
      </c>
      <c r="AB4" s="664">
        <f>IF(AND(AB2&gt;=Input!$E$180,AB2&lt;=Input!$E$182),1,0)</f>
        <v>1</v>
      </c>
      <c r="AC4" s="664">
        <f>IF(AND(AC2&gt;=Input!$E$180,AC2&lt;=Input!$E$182),1,0)</f>
        <v>1</v>
      </c>
      <c r="AD4" s="664">
        <f>IF(AND(AD2&gt;=Input!$E$180,AD2&lt;=Input!$E$182),1,0)</f>
        <v>1</v>
      </c>
      <c r="AE4" s="664">
        <f>IF(AND(AE2&gt;=Input!$E$180,AE2&lt;=Input!$E$182),1,0)</f>
        <v>1</v>
      </c>
      <c r="AF4" s="664">
        <f>IF(AND(AF2&gt;=Input!$E$180,AF2&lt;=Input!$E$182),1,0)</f>
        <v>0</v>
      </c>
      <c r="AG4" s="664">
        <f>IF(AND(AG2&gt;=Input!$E$180,AG2&lt;=Input!$E$182),1,0)</f>
        <v>0</v>
      </c>
      <c r="AH4" s="664">
        <f>IF(AND(AH2&gt;=Input!$E$180,AH2&lt;=Input!$E$182),1,0)</f>
        <v>0</v>
      </c>
      <c r="AI4" s="664">
        <f>IF(AND(AI2&gt;=Input!$E$180,AI2&lt;=Input!$E$182),1,0)</f>
        <v>0</v>
      </c>
      <c r="AJ4" s="664">
        <f>IF(AND(AJ2&gt;=Input!$E$180,AJ2&lt;=Input!$E$182),1,0)</f>
        <v>0</v>
      </c>
    </row>
    <row r="5" spans="1:69" x14ac:dyDescent="0.3">
      <c r="A5" s="661"/>
      <c r="B5" s="661" t="s">
        <v>185</v>
      </c>
      <c r="C5" s="665"/>
      <c r="D5" s="663"/>
      <c r="E5" s="664">
        <f>SUM($E4:E$4)</f>
        <v>0</v>
      </c>
      <c r="F5" s="664">
        <f>SUM($E4:F$4)</f>
        <v>1</v>
      </c>
      <c r="G5" s="664">
        <f>SUM($E4:G$4)</f>
        <v>2</v>
      </c>
      <c r="H5" s="664">
        <f>SUM($E4:H$4)</f>
        <v>3</v>
      </c>
      <c r="I5" s="664">
        <f>SUM($E4:I$4)</f>
        <v>4</v>
      </c>
      <c r="J5" s="664">
        <f>SUM($E4:J$4)</f>
        <v>5</v>
      </c>
      <c r="K5" s="664">
        <f>SUM($E4:K$4)</f>
        <v>6</v>
      </c>
      <c r="L5" s="664">
        <f>SUM($E4:L$4)</f>
        <v>7</v>
      </c>
      <c r="M5" s="664">
        <f>SUM($E4:M$4)</f>
        <v>8</v>
      </c>
      <c r="N5" s="664">
        <f>SUM($E4:N$4)</f>
        <v>9</v>
      </c>
      <c r="O5" s="664">
        <f>SUM($E4:O$4)</f>
        <v>10</v>
      </c>
      <c r="P5" s="664">
        <f>SUM($E4:P$4)</f>
        <v>11</v>
      </c>
      <c r="Q5" s="664">
        <f>SUM($E4:Q$4)</f>
        <v>12</v>
      </c>
      <c r="R5" s="664">
        <f>SUM($E4:R$4)</f>
        <v>13</v>
      </c>
      <c r="S5" s="664">
        <f>SUM($E4:S$4)</f>
        <v>14</v>
      </c>
      <c r="T5" s="664">
        <f>SUM($E4:T$4)</f>
        <v>15</v>
      </c>
      <c r="U5" s="664">
        <f>SUM($E4:U$4)</f>
        <v>16</v>
      </c>
      <c r="V5" s="664">
        <f>SUM($E4:V$4)</f>
        <v>17</v>
      </c>
      <c r="W5" s="664">
        <f>SUM($E4:W$4)</f>
        <v>18</v>
      </c>
      <c r="X5" s="664">
        <f>SUM($E4:X$4)</f>
        <v>19</v>
      </c>
      <c r="Y5" s="664">
        <f>SUM($E4:Y$4)</f>
        <v>20</v>
      </c>
      <c r="Z5" s="664">
        <f>SUM($E4:Z$4)</f>
        <v>21</v>
      </c>
      <c r="AA5" s="664">
        <f>SUM($E4:AA$4)</f>
        <v>22</v>
      </c>
      <c r="AB5" s="664">
        <f>SUM($E4:AB$4)</f>
        <v>23</v>
      </c>
      <c r="AC5" s="664">
        <f>SUM($E4:AC$4)</f>
        <v>24</v>
      </c>
      <c r="AD5" s="664">
        <f>SUM($E4:AD$4)</f>
        <v>25</v>
      </c>
      <c r="AE5" s="664">
        <f>SUM($E4:AE$4)</f>
        <v>26</v>
      </c>
      <c r="AF5" s="664">
        <f>SUM($E4:AF$4)</f>
        <v>26</v>
      </c>
      <c r="AG5" s="664">
        <f>SUM($E4:AG$4)</f>
        <v>26</v>
      </c>
      <c r="AH5" s="664">
        <f>SUM($E4:AH$4)</f>
        <v>26</v>
      </c>
      <c r="AI5" s="664">
        <f>SUM($E4:AI$4)</f>
        <v>26</v>
      </c>
      <c r="AJ5" s="664">
        <f>SUM($E4:AJ$4)</f>
        <v>26</v>
      </c>
    </row>
    <row r="6" spans="1:69" x14ac:dyDescent="0.3">
      <c r="A6" s="661"/>
      <c r="B6" s="661" t="s">
        <v>184</v>
      </c>
      <c r="C6" s="665"/>
      <c r="D6" s="663"/>
      <c r="E6" s="664">
        <f t="shared" ref="E6:AI6" si="3">E2-D2</f>
        <v>365</v>
      </c>
      <c r="F6" s="664">
        <f t="shared" si="3"/>
        <v>365</v>
      </c>
      <c r="G6" s="664">
        <f t="shared" si="3"/>
        <v>366</v>
      </c>
      <c r="H6" s="664">
        <f t="shared" si="3"/>
        <v>365</v>
      </c>
      <c r="I6" s="664">
        <f t="shared" si="3"/>
        <v>365</v>
      </c>
      <c r="J6" s="664">
        <f t="shared" si="3"/>
        <v>365</v>
      </c>
      <c r="K6" s="664">
        <f t="shared" si="3"/>
        <v>366</v>
      </c>
      <c r="L6" s="664">
        <f t="shared" si="3"/>
        <v>365</v>
      </c>
      <c r="M6" s="664">
        <f t="shared" si="3"/>
        <v>365</v>
      </c>
      <c r="N6" s="664">
        <f t="shared" si="3"/>
        <v>365</v>
      </c>
      <c r="O6" s="664">
        <f t="shared" si="3"/>
        <v>366</v>
      </c>
      <c r="P6" s="664">
        <f t="shared" si="3"/>
        <v>365</v>
      </c>
      <c r="Q6" s="664">
        <f t="shared" si="3"/>
        <v>365</v>
      </c>
      <c r="R6" s="664">
        <f t="shared" si="3"/>
        <v>365</v>
      </c>
      <c r="S6" s="664">
        <f t="shared" si="3"/>
        <v>366</v>
      </c>
      <c r="T6" s="664">
        <f t="shared" si="3"/>
        <v>365</v>
      </c>
      <c r="U6" s="664">
        <f t="shared" si="3"/>
        <v>365</v>
      </c>
      <c r="V6" s="664">
        <f t="shared" si="3"/>
        <v>365</v>
      </c>
      <c r="W6" s="664">
        <f t="shared" si="3"/>
        <v>366</v>
      </c>
      <c r="X6" s="664">
        <f t="shared" si="3"/>
        <v>365</v>
      </c>
      <c r="Y6" s="664">
        <f t="shared" si="3"/>
        <v>365</v>
      </c>
      <c r="Z6" s="664">
        <f t="shared" si="3"/>
        <v>365</v>
      </c>
      <c r="AA6" s="664">
        <f t="shared" si="3"/>
        <v>366</v>
      </c>
      <c r="AB6" s="664">
        <f t="shared" si="3"/>
        <v>365</v>
      </c>
      <c r="AC6" s="664">
        <f t="shared" si="3"/>
        <v>365</v>
      </c>
      <c r="AD6" s="664">
        <f t="shared" si="3"/>
        <v>365</v>
      </c>
      <c r="AE6" s="664">
        <f t="shared" si="3"/>
        <v>366</v>
      </c>
      <c r="AF6" s="664">
        <f t="shared" si="3"/>
        <v>365</v>
      </c>
      <c r="AG6" s="664">
        <f t="shared" si="3"/>
        <v>365</v>
      </c>
      <c r="AH6" s="664">
        <f t="shared" si="3"/>
        <v>365</v>
      </c>
      <c r="AI6" s="664">
        <f t="shared" si="3"/>
        <v>366</v>
      </c>
      <c r="AJ6" s="664">
        <f>AJ2-AI2</f>
        <v>365</v>
      </c>
    </row>
    <row r="7" spans="1:69" x14ac:dyDescent="0.3">
      <c r="A7" s="661"/>
      <c r="B7" s="661" t="s">
        <v>981</v>
      </c>
      <c r="C7" s="665"/>
      <c r="D7" s="663"/>
      <c r="E7" s="664">
        <f>E6-E8</f>
        <v>365</v>
      </c>
      <c r="F7" s="664">
        <f>F6-F8</f>
        <v>183</v>
      </c>
      <c r="G7" s="664">
        <f t="shared" ref="G7:L7" si="4">G6-G8</f>
        <v>0</v>
      </c>
      <c r="H7" s="664">
        <f t="shared" si="4"/>
        <v>0</v>
      </c>
      <c r="I7" s="664">
        <f t="shared" si="4"/>
        <v>0</v>
      </c>
      <c r="J7" s="664">
        <f t="shared" si="4"/>
        <v>0</v>
      </c>
      <c r="K7" s="664">
        <f t="shared" si="4"/>
        <v>0</v>
      </c>
      <c r="L7" s="664">
        <f t="shared" si="4"/>
        <v>0</v>
      </c>
      <c r="M7" s="664"/>
      <c r="N7" s="664"/>
      <c r="O7" s="664"/>
      <c r="P7" s="664"/>
      <c r="Q7" s="664"/>
      <c r="R7" s="664"/>
      <c r="S7" s="664"/>
      <c r="T7" s="664"/>
      <c r="U7" s="664"/>
      <c r="V7" s="664"/>
      <c r="W7" s="664"/>
      <c r="X7" s="664"/>
      <c r="Y7" s="664"/>
      <c r="Z7" s="664"/>
      <c r="AA7" s="664"/>
      <c r="AB7" s="664"/>
      <c r="AC7" s="664"/>
      <c r="AD7" s="664"/>
      <c r="AE7" s="664"/>
      <c r="AF7" s="664"/>
      <c r="AG7" s="664"/>
      <c r="AH7" s="664"/>
      <c r="AI7" s="664"/>
      <c r="AJ7" s="664"/>
    </row>
    <row r="8" spans="1:69" x14ac:dyDescent="0.3">
      <c r="A8" s="661"/>
      <c r="B8" s="661" t="s">
        <v>183</v>
      </c>
      <c r="C8" s="665"/>
      <c r="D8" s="663"/>
      <c r="E8" s="664">
        <f>IF(E2=Input!$E$182,Input!$E$181-D2,IF(E2-Input!$E$178+1&gt;=365,E2-D2,E2-Input!$E$178+1))*E4</f>
        <v>0</v>
      </c>
      <c r="F8" s="664">
        <f>IF(F2=Input!$E$182,Input!$E$181-E2,IF(F2-Input!$E$178+1&gt;=365,F2-E2,F2-Input!$E$178+1))*F4</f>
        <v>182</v>
      </c>
      <c r="G8" s="664">
        <f>IF(G2=Input!$E$182,Input!$E$181-F2,IF(G2-Input!$E$178+1&gt;=365,G2-F2,G2-Input!$E$178+1))*G4</f>
        <v>366</v>
      </c>
      <c r="H8" s="664">
        <f>IF(H2=Input!$E$182,Input!$E$181-G2,IF(H2-Input!$E$178+1&gt;=365,H2-G2,H2-Input!$E$178+1))*H4</f>
        <v>365</v>
      </c>
      <c r="I8" s="664">
        <f>IF(I2=Input!$E$182,Input!$E$181-H2,IF(I2-Input!$E$178+1&gt;=365,I2-H2,I2-Input!$E$178+1))*I4</f>
        <v>365</v>
      </c>
      <c r="J8" s="664">
        <f>IF(J2=Input!$E$182,Input!$E$181-I2,IF(J2-Input!$E$178+1&gt;=365,J2-I2,J2-Input!$E$178+1))*J4</f>
        <v>365</v>
      </c>
      <c r="K8" s="664">
        <f>IF(K2=Input!$E$182,Input!$E$181-J2,IF(K2-Input!$E$178+1&gt;=365,K2-J2,K2-Input!$E$178+1))*K4</f>
        <v>366</v>
      </c>
      <c r="L8" s="664">
        <f>IF(L2=Input!$E$182,Input!$E$181-K2,IF(L2-Input!$E$178+1&gt;=365,L2-K2,L2-Input!$E$178+1))*L4</f>
        <v>365</v>
      </c>
      <c r="M8" s="664">
        <f>IF(M2=Input!$E$182,Input!$E$181-L2,IF(M2-Input!$E$178+1&gt;=365,M2-L2,M2-Input!$E$178+1))*M4</f>
        <v>365</v>
      </c>
      <c r="N8" s="664">
        <f>IF(N2=Input!$E$182,Input!$E$181-M2,IF(N2-Input!$E$178+1&gt;=365,N2-M2,N2-Input!$E$178+1))*N4</f>
        <v>365</v>
      </c>
      <c r="O8" s="664">
        <f>IF(O2=Input!$E$182,Input!$E$181-N2,IF(O2-Input!$E$178+1&gt;=365,O2-N2,O2-Input!$E$178+1))*O4</f>
        <v>366</v>
      </c>
      <c r="P8" s="664">
        <f>IF(P2=Input!$E$182,Input!$E$181-O2,IF(P2-Input!$E$178+1&gt;=365,P2-O2,P2-Input!$E$178+1))*P4</f>
        <v>365</v>
      </c>
      <c r="Q8" s="664">
        <f>IF(Q2=Input!$E$182,Input!$E$181-P2,IF(Q2-Input!$E$178+1&gt;=365,Q2-P2,Q2-Input!$E$178+1))*Q4</f>
        <v>365</v>
      </c>
      <c r="R8" s="664">
        <f>IF(R2=Input!$E$182,Input!$E$181-Q2,IF(R2-Input!$E$178+1&gt;=365,R2-Q2,R2-Input!$E$178+1))*R4</f>
        <v>365</v>
      </c>
      <c r="S8" s="664">
        <f>IF(S2=Input!$E$182,Input!$E$181-R2,IF(S2-Input!$E$178+1&gt;=365,S2-R2,S2-Input!$E$178+1))*S4</f>
        <v>366</v>
      </c>
      <c r="T8" s="664">
        <f>IF(T2=Input!$E$182,Input!$E$181-S2,IF(T2-Input!$E$178+1&gt;=365,T2-S2,T2-Input!$E$178+1))*T4</f>
        <v>365</v>
      </c>
      <c r="U8" s="664">
        <f>IF(U2=Input!$E$182,Input!$E$181-T2,IF(U2-Input!$E$178+1&gt;=365,U2-T2,U2-Input!$E$178+1))*U4</f>
        <v>365</v>
      </c>
      <c r="V8" s="664">
        <f>IF(V2=Input!$E$182,Input!$E$181-U2,IF(V2-Input!$E$178+1&gt;=365,V2-U2,V2-Input!$E$178+1))*V4</f>
        <v>365</v>
      </c>
      <c r="W8" s="664">
        <f>IF(W2=Input!$E$182,Input!$E$181-V2,IF(W2-Input!$E$178+1&gt;=365,W2-V2,W2-Input!$E$178+1))*W4</f>
        <v>366</v>
      </c>
      <c r="X8" s="664">
        <f>IF(X2=Input!$E$182,Input!$E$181-W2,IF(X2-Input!$E$178+1&gt;=365,X2-W2,X2-Input!$E$178+1))*X4</f>
        <v>365</v>
      </c>
      <c r="Y8" s="664">
        <f>IF(Y2=Input!$E$182,Input!$E$181-X2,IF(Y2-Input!$E$178+1&gt;=365,Y2-X2,Y2-Input!$E$178+1))*Y4</f>
        <v>365</v>
      </c>
      <c r="Z8" s="664">
        <f>IF(Z2=Input!$E$182,Input!$E$181-Y2,IF(Z2-Input!$E$178+1&gt;=365,Z2-Y2,Z2-Input!$E$178+1))*Z4</f>
        <v>365</v>
      </c>
      <c r="AA8" s="664">
        <f>IF(AA2=Input!$E$182,Input!$E$181-Z2,IF(AA2-Input!$E$178+1&gt;=365,AA2-Z2,AA2-Input!$E$178+1))*AA4</f>
        <v>366</v>
      </c>
      <c r="AB8" s="664">
        <f>IF(AB2=Input!$E$182,Input!$E$181-AA2,IF(AB2-Input!$E$178+1&gt;=365,AB2-AA2,AB2-Input!$E$178+1))*AB4</f>
        <v>365</v>
      </c>
      <c r="AC8" s="664">
        <f>IF(AC2=Input!$E$182,Input!$E$181-AB2,IF(AC2-Input!$E$178+1&gt;=365,AC2-AB2,AC2-Input!$E$178+1))*AC4</f>
        <v>365</v>
      </c>
      <c r="AD8" s="664">
        <f>IF(AD2=Input!$E$182,Input!$E$181-AC2,IF(AD2-Input!$E$178+1&gt;=365,AD2-AC2,AD2-Input!$E$178+1))*AD4</f>
        <v>365</v>
      </c>
      <c r="AE8" s="664">
        <f>IF(AE2=Input!$E$182,Input!$E$181-AD2,IF(AE2-Input!$E$178+1&gt;=365,AE2-AD2,AE2-Input!$E$178+1))*AE4</f>
        <v>183</v>
      </c>
      <c r="AF8" s="664">
        <f>IF(AF2=Input!$E$182,Input!$E$181-AE2,IF(AF2-Input!$E$178+1&gt;=365,AF2-AE2,AF2-Input!$E$178+1))*AF4</f>
        <v>0</v>
      </c>
      <c r="AG8" s="664">
        <f>IF(AG2=Input!$E$182,Input!$E$181-AF2,IF(AG2-Input!$E$178+1&gt;=365,AG2-AF2,AG2-Input!$E$178+1))*AG4</f>
        <v>0</v>
      </c>
      <c r="AH8" s="664">
        <f>IF(AH2=Input!$E$182,Input!$E$181-AG2,IF(AH2-Input!$E$178+1&gt;=365,AH2-AG2,AH2-Input!$E$178+1))*AH4</f>
        <v>0</v>
      </c>
      <c r="AI8" s="664">
        <f>IF(AI2=Input!$E$182,Input!$E$181-AH2,IF(AI2-Input!$E$178+1&gt;=365,AI2-AH2,AI2-Input!$E$178+1))*AI4</f>
        <v>0</v>
      </c>
      <c r="AJ8" s="664">
        <f>IF(AJ2=Input!$E$182,Input!$E$181-AI2,IF(AJ2-Input!$E$178+1&gt;=365,AJ2-AI2,AJ2-Input!$E$178+1))*AJ4</f>
        <v>0</v>
      </c>
    </row>
    <row r="9" spans="1:69" x14ac:dyDescent="0.3">
      <c r="A9" s="661"/>
      <c r="B9" s="661" t="s">
        <v>182</v>
      </c>
      <c r="C9" s="665"/>
      <c r="D9" s="663"/>
      <c r="E9" s="661">
        <f t="shared" ref="E9:AJ9" si="5">IF(E6,E8/E6,0)</f>
        <v>0</v>
      </c>
      <c r="F9" s="661">
        <f t="shared" si="5"/>
        <v>0.49863013698630138</v>
      </c>
      <c r="G9" s="661">
        <f t="shared" si="5"/>
        <v>1</v>
      </c>
      <c r="H9" s="661">
        <f t="shared" si="5"/>
        <v>1</v>
      </c>
      <c r="I9" s="661">
        <f t="shared" si="5"/>
        <v>1</v>
      </c>
      <c r="J9" s="661">
        <f t="shared" si="5"/>
        <v>1</v>
      </c>
      <c r="K9" s="661">
        <f t="shared" si="5"/>
        <v>1</v>
      </c>
      <c r="L9" s="661">
        <f t="shared" si="5"/>
        <v>1</v>
      </c>
      <c r="M9" s="661">
        <f t="shared" si="5"/>
        <v>1</v>
      </c>
      <c r="N9" s="661">
        <f t="shared" si="5"/>
        <v>1</v>
      </c>
      <c r="O9" s="661">
        <f t="shared" si="5"/>
        <v>1</v>
      </c>
      <c r="P9" s="661">
        <f t="shared" si="5"/>
        <v>1</v>
      </c>
      <c r="Q9" s="661">
        <f t="shared" si="5"/>
        <v>1</v>
      </c>
      <c r="R9" s="661">
        <f t="shared" si="5"/>
        <v>1</v>
      </c>
      <c r="S9" s="661">
        <f t="shared" si="5"/>
        <v>1</v>
      </c>
      <c r="T9" s="661">
        <f t="shared" si="5"/>
        <v>1</v>
      </c>
      <c r="U9" s="661">
        <f t="shared" si="5"/>
        <v>1</v>
      </c>
      <c r="V9" s="661">
        <f t="shared" si="5"/>
        <v>1</v>
      </c>
      <c r="W9" s="661">
        <f t="shared" si="5"/>
        <v>1</v>
      </c>
      <c r="X9" s="661">
        <f t="shared" si="5"/>
        <v>1</v>
      </c>
      <c r="Y9" s="661">
        <f t="shared" si="5"/>
        <v>1</v>
      </c>
      <c r="Z9" s="661">
        <f t="shared" si="5"/>
        <v>1</v>
      </c>
      <c r="AA9" s="661">
        <f t="shared" si="5"/>
        <v>1</v>
      </c>
      <c r="AB9" s="661">
        <f t="shared" si="5"/>
        <v>1</v>
      </c>
      <c r="AC9" s="661">
        <f t="shared" si="5"/>
        <v>1</v>
      </c>
      <c r="AD9" s="661">
        <f t="shared" si="5"/>
        <v>1</v>
      </c>
      <c r="AE9" s="661">
        <f t="shared" si="5"/>
        <v>0.5</v>
      </c>
      <c r="AF9" s="661">
        <f t="shared" si="5"/>
        <v>0</v>
      </c>
      <c r="AG9" s="661">
        <f t="shared" si="5"/>
        <v>0</v>
      </c>
      <c r="AH9" s="661">
        <f t="shared" si="5"/>
        <v>0</v>
      </c>
      <c r="AI9" s="661">
        <f t="shared" si="5"/>
        <v>0</v>
      </c>
      <c r="AJ9" s="661">
        <f t="shared" si="5"/>
        <v>0</v>
      </c>
    </row>
    <row r="10" spans="1:69" x14ac:dyDescent="0.3">
      <c r="A10" s="661"/>
      <c r="B10" s="661" t="s">
        <v>181</v>
      </c>
      <c r="C10" s="665"/>
      <c r="D10" s="663"/>
      <c r="E10" s="661">
        <f t="shared" ref="E10:AI10" si="6">D10+E9</f>
        <v>0</v>
      </c>
      <c r="F10" s="661">
        <f t="shared" si="6"/>
        <v>0.49863013698630138</v>
      </c>
      <c r="G10" s="661">
        <f t="shared" si="6"/>
        <v>1.4986301369863013</v>
      </c>
      <c r="H10" s="661">
        <f t="shared" si="6"/>
        <v>2.4986301369863013</v>
      </c>
      <c r="I10" s="661">
        <f t="shared" si="6"/>
        <v>3.4986301369863013</v>
      </c>
      <c r="J10" s="661">
        <f t="shared" si="6"/>
        <v>4.4986301369863018</v>
      </c>
      <c r="K10" s="661">
        <f t="shared" si="6"/>
        <v>5.4986301369863018</v>
      </c>
      <c r="L10" s="661">
        <f t="shared" si="6"/>
        <v>6.4986301369863018</v>
      </c>
      <c r="M10" s="661">
        <f t="shared" si="6"/>
        <v>7.4986301369863018</v>
      </c>
      <c r="N10" s="661">
        <f t="shared" si="6"/>
        <v>8.4986301369863018</v>
      </c>
      <c r="O10" s="661">
        <f t="shared" si="6"/>
        <v>9.4986301369863018</v>
      </c>
      <c r="P10" s="661">
        <f t="shared" si="6"/>
        <v>10.498630136986302</v>
      </c>
      <c r="Q10" s="661">
        <f t="shared" si="6"/>
        <v>11.498630136986302</v>
      </c>
      <c r="R10" s="661">
        <f t="shared" si="6"/>
        <v>12.498630136986302</v>
      </c>
      <c r="S10" s="661">
        <f t="shared" si="6"/>
        <v>13.498630136986302</v>
      </c>
      <c r="T10" s="661">
        <f t="shared" si="6"/>
        <v>14.498630136986302</v>
      </c>
      <c r="U10" s="661">
        <f t="shared" si="6"/>
        <v>15.498630136986302</v>
      </c>
      <c r="V10" s="661">
        <f t="shared" si="6"/>
        <v>16.4986301369863</v>
      </c>
      <c r="W10" s="661">
        <f t="shared" si="6"/>
        <v>17.4986301369863</v>
      </c>
      <c r="X10" s="661">
        <f t="shared" si="6"/>
        <v>18.4986301369863</v>
      </c>
      <c r="Y10" s="661">
        <f t="shared" si="6"/>
        <v>19.4986301369863</v>
      </c>
      <c r="Z10" s="661">
        <f t="shared" si="6"/>
        <v>20.4986301369863</v>
      </c>
      <c r="AA10" s="661">
        <f t="shared" si="6"/>
        <v>21.4986301369863</v>
      </c>
      <c r="AB10" s="661">
        <f t="shared" si="6"/>
        <v>22.4986301369863</v>
      </c>
      <c r="AC10" s="661">
        <f t="shared" si="6"/>
        <v>23.4986301369863</v>
      </c>
      <c r="AD10" s="661">
        <f t="shared" si="6"/>
        <v>24.4986301369863</v>
      </c>
      <c r="AE10" s="661">
        <f t="shared" si="6"/>
        <v>24.9986301369863</v>
      </c>
      <c r="AF10" s="661">
        <f t="shared" si="6"/>
        <v>24.9986301369863</v>
      </c>
      <c r="AG10" s="661">
        <f t="shared" si="6"/>
        <v>24.9986301369863</v>
      </c>
      <c r="AH10" s="661">
        <f t="shared" si="6"/>
        <v>24.9986301369863</v>
      </c>
      <c r="AI10" s="661">
        <f t="shared" si="6"/>
        <v>24.9986301369863</v>
      </c>
      <c r="AJ10" s="661">
        <f>AI10+AJ9</f>
        <v>24.9986301369863</v>
      </c>
    </row>
    <row r="11" spans="1:69" x14ac:dyDescent="0.3">
      <c r="A11" s="2"/>
      <c r="B11" s="2"/>
      <c r="C11" s="176"/>
      <c r="D11" s="177"/>
      <c r="E11" s="177"/>
      <c r="F11" s="177"/>
      <c r="G11" s="177"/>
      <c r="H11" s="177"/>
      <c r="I11" s="177"/>
      <c r="J11" s="177"/>
      <c r="K11" s="177"/>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row>
    <row r="12" spans="1:69" x14ac:dyDescent="0.3">
      <c r="A12" s="97" t="s">
        <v>77</v>
      </c>
      <c r="B12" s="178"/>
      <c r="C12" s="179"/>
      <c r="D12" s="180"/>
      <c r="E12" s="180"/>
      <c r="F12" s="180"/>
      <c r="G12" s="180"/>
      <c r="H12" s="180"/>
      <c r="I12" s="180"/>
      <c r="J12" s="180"/>
      <c r="K12" s="180"/>
      <c r="L12" s="180"/>
      <c r="M12" s="180"/>
      <c r="N12" s="180"/>
      <c r="O12" s="180"/>
      <c r="P12" s="180"/>
      <c r="Q12" s="180"/>
      <c r="R12" s="180"/>
      <c r="S12" s="180"/>
      <c r="T12" s="180"/>
      <c r="U12" s="180"/>
      <c r="V12" s="180"/>
      <c r="W12" s="180"/>
      <c r="X12" s="180"/>
      <c r="Y12" s="180"/>
      <c r="Z12" s="180"/>
      <c r="AA12" s="180"/>
      <c r="AB12" s="180"/>
      <c r="AC12" s="180"/>
      <c r="AD12" s="180"/>
      <c r="AE12" s="180"/>
      <c r="AF12" s="180"/>
      <c r="AG12" s="180"/>
      <c r="AH12" s="180"/>
      <c r="AI12" s="180"/>
      <c r="AJ12" s="180"/>
    </row>
    <row r="13" spans="1:69" x14ac:dyDescent="0.3">
      <c r="A13" s="8"/>
      <c r="B13" s="3" t="s">
        <v>27</v>
      </c>
      <c r="C13" s="181" t="s">
        <v>26</v>
      </c>
      <c r="D13" s="182">
        <f>Input!E6</f>
        <v>203.23999999999998</v>
      </c>
      <c r="F13" s="181" t="s">
        <v>67</v>
      </c>
      <c r="G13" s="374">
        <f>Input!$E$4</f>
        <v>243.88799999999998</v>
      </c>
      <c r="J13" s="183"/>
      <c r="K13" s="183"/>
      <c r="L13" s="183"/>
      <c r="M13" s="183"/>
      <c r="N13" s="183"/>
      <c r="O13" s="183"/>
      <c r="P13" s="183"/>
      <c r="Q13" s="183"/>
      <c r="R13" s="183"/>
      <c r="S13" s="183"/>
      <c r="T13" s="183"/>
      <c r="U13" s="183"/>
      <c r="V13" s="183"/>
      <c r="W13" s="183"/>
      <c r="X13" s="183"/>
      <c r="Y13" s="183"/>
      <c r="Z13" s="183"/>
      <c r="AA13" s="183"/>
      <c r="AB13" s="183"/>
      <c r="AC13" s="183"/>
      <c r="AD13" s="183"/>
      <c r="AE13" s="183"/>
      <c r="AF13" s="183"/>
      <c r="AG13" s="183"/>
      <c r="AH13" s="183"/>
      <c r="AI13" s="183"/>
      <c r="AJ13" s="183"/>
      <c r="BG13" s="183"/>
      <c r="BH13" s="183"/>
      <c r="BI13" s="183"/>
      <c r="BJ13" s="183"/>
      <c r="BK13" s="183"/>
      <c r="BL13" s="183"/>
      <c r="BM13" s="183"/>
      <c r="BN13" s="183"/>
      <c r="BO13" s="183"/>
      <c r="BP13" s="183"/>
      <c r="BQ13" s="183"/>
    </row>
    <row r="14" spans="1:69" x14ac:dyDescent="0.3">
      <c r="A14" s="215"/>
      <c r="B14" s="634" t="s">
        <v>452</v>
      </c>
      <c r="C14" s="635" t="s">
        <v>72</v>
      </c>
      <c r="D14" s="635" t="s">
        <v>962</v>
      </c>
      <c r="E14" s="635" t="s">
        <v>290</v>
      </c>
      <c r="F14" s="635" t="s">
        <v>574</v>
      </c>
      <c r="G14" s="635" t="s">
        <v>120</v>
      </c>
      <c r="H14" s="635" t="s">
        <v>573</v>
      </c>
      <c r="J14" s="183"/>
      <c r="K14" s="183"/>
      <c r="L14" s="183"/>
      <c r="M14" s="183"/>
      <c r="N14" s="183"/>
      <c r="O14" s="183"/>
      <c r="P14" s="183"/>
      <c r="Q14" s="183"/>
      <c r="R14" s="183"/>
      <c r="S14" s="183"/>
      <c r="T14" s="183"/>
      <c r="U14" s="183"/>
      <c r="V14" s="183"/>
      <c r="W14" s="183"/>
      <c r="X14" s="183"/>
      <c r="Y14" s="183"/>
      <c r="Z14" s="183"/>
      <c r="AA14" s="183"/>
      <c r="AB14" s="183"/>
      <c r="AC14" s="183"/>
      <c r="AD14" s="183"/>
      <c r="AE14" s="183"/>
      <c r="AF14" s="183"/>
      <c r="AG14" s="183"/>
      <c r="AH14" s="183"/>
      <c r="AI14" s="183"/>
      <c r="AJ14" s="183"/>
    </row>
    <row r="15" spans="1:69" x14ac:dyDescent="0.3">
      <c r="A15" s="628" t="s">
        <v>575</v>
      </c>
      <c r="B15" s="629" t="s">
        <v>189</v>
      </c>
      <c r="C15" s="630"/>
      <c r="D15" s="631"/>
      <c r="E15" s="632"/>
      <c r="F15" s="633"/>
      <c r="G15" s="633"/>
      <c r="H15" s="633"/>
      <c r="J15" s="183"/>
      <c r="K15" s="183"/>
      <c r="L15" s="183"/>
      <c r="M15" s="183"/>
      <c r="N15" s="183"/>
      <c r="O15" s="183"/>
      <c r="P15" s="183"/>
      <c r="Q15" s="183"/>
      <c r="R15" s="183"/>
      <c r="S15" s="183"/>
      <c r="T15" s="183"/>
      <c r="U15" s="183"/>
      <c r="V15" s="183"/>
      <c r="W15" s="183"/>
      <c r="X15" s="183"/>
      <c r="Y15" s="183"/>
      <c r="Z15" s="183"/>
      <c r="AA15" s="183"/>
      <c r="AB15" s="183"/>
      <c r="AC15" s="183"/>
      <c r="AD15" s="183"/>
      <c r="AE15" s="183"/>
      <c r="AF15" s="183"/>
      <c r="AG15" s="183"/>
      <c r="AH15" s="183"/>
      <c r="AI15" s="183"/>
      <c r="AJ15" s="183"/>
      <c r="BG15" s="183"/>
      <c r="BH15" s="183"/>
      <c r="BI15" s="183"/>
      <c r="BJ15" s="183"/>
      <c r="BK15" s="183"/>
      <c r="BL15" s="183"/>
      <c r="BM15" s="183"/>
      <c r="BN15" s="183"/>
      <c r="BO15" s="183"/>
      <c r="BP15" s="183"/>
      <c r="BQ15" s="183"/>
    </row>
    <row r="16" spans="1:69" x14ac:dyDescent="0.3">
      <c r="A16" s="622" t="s">
        <v>268</v>
      </c>
      <c r="B16" s="661" t="s">
        <v>922</v>
      </c>
      <c r="C16" s="624" t="s">
        <v>802</v>
      </c>
      <c r="D16" s="770">
        <f>BOQ_G!D2</f>
        <v>159</v>
      </c>
      <c r="E16" s="770">
        <f>BOQ_G!E2</f>
        <v>243.88799999999998</v>
      </c>
      <c r="F16" s="621">
        <f>BOQ_G!F2</f>
        <v>38728.48272</v>
      </c>
      <c r="G16" s="770">
        <f>BOQ_G!G2</f>
        <v>5344.5306153600004</v>
      </c>
      <c r="H16" s="621">
        <f>BOQ_G!H2</f>
        <v>44073.013335360003</v>
      </c>
      <c r="J16" s="183"/>
      <c r="K16" s="183"/>
      <c r="L16" s="183"/>
      <c r="M16" s="183"/>
      <c r="N16" s="183"/>
      <c r="O16" s="183"/>
      <c r="P16" s="183"/>
      <c r="Q16" s="183"/>
      <c r="R16" s="183"/>
      <c r="S16" s="183"/>
      <c r="T16" s="183"/>
      <c r="U16" s="183"/>
      <c r="V16" s="183"/>
      <c r="W16" s="183"/>
      <c r="X16" s="183"/>
      <c r="Y16" s="183"/>
      <c r="Z16" s="183"/>
      <c r="AA16" s="183"/>
      <c r="AB16" s="183"/>
      <c r="AC16" s="183"/>
      <c r="AD16" s="183"/>
      <c r="AE16" s="183"/>
      <c r="AF16" s="183"/>
      <c r="AG16" s="183"/>
      <c r="AH16" s="183"/>
      <c r="AI16" s="183"/>
      <c r="AJ16" s="183"/>
      <c r="BG16" s="183"/>
      <c r="BH16" s="183"/>
      <c r="BI16" s="183"/>
      <c r="BJ16" s="183"/>
      <c r="BK16" s="183"/>
      <c r="BL16" s="183"/>
      <c r="BM16" s="183"/>
      <c r="BN16" s="183"/>
      <c r="BO16" s="183"/>
      <c r="BP16" s="183"/>
      <c r="BQ16" s="183"/>
    </row>
    <row r="17" spans="1:69" x14ac:dyDescent="0.3">
      <c r="A17" s="622" t="s">
        <v>270</v>
      </c>
      <c r="B17" s="661" t="s">
        <v>651</v>
      </c>
      <c r="C17" s="624" t="s">
        <v>802</v>
      </c>
      <c r="D17" s="770">
        <f>BOQ_G!D3</f>
        <v>13</v>
      </c>
      <c r="E17" s="770">
        <f>BOQ_G!E3</f>
        <v>203.23999999999998</v>
      </c>
      <c r="F17" s="621">
        <f>BOQ_G!F3</f>
        <v>2650.5</v>
      </c>
      <c r="G17" s="770">
        <f>BOQ_G!G3</f>
        <v>365.76900000000006</v>
      </c>
      <c r="H17" s="621">
        <f>BOQ_G!H3</f>
        <v>3016.2690000000002</v>
      </c>
      <c r="J17" s="183"/>
      <c r="K17" s="183"/>
      <c r="L17" s="183"/>
      <c r="M17" s="183"/>
      <c r="N17" s="183"/>
      <c r="O17" s="183"/>
      <c r="P17" s="183"/>
      <c r="Q17" s="183"/>
      <c r="R17" s="183"/>
      <c r="S17" s="183"/>
      <c r="T17" s="183"/>
      <c r="U17" s="183"/>
      <c r="V17" s="183"/>
      <c r="W17" s="183"/>
      <c r="X17" s="183"/>
      <c r="Y17" s="183"/>
      <c r="Z17" s="183"/>
      <c r="AA17" s="183"/>
      <c r="AB17" s="183"/>
      <c r="AC17" s="183"/>
      <c r="AD17" s="183"/>
      <c r="AE17" s="183"/>
      <c r="AF17" s="183"/>
      <c r="AG17" s="183"/>
      <c r="AH17" s="183"/>
      <c r="AI17" s="183"/>
      <c r="AJ17" s="183"/>
      <c r="BG17" s="183"/>
      <c r="BH17" s="183"/>
      <c r="BI17" s="183"/>
      <c r="BJ17" s="183"/>
      <c r="BK17" s="183"/>
      <c r="BL17" s="183"/>
      <c r="BM17" s="183"/>
      <c r="BN17" s="183"/>
      <c r="BO17" s="183"/>
      <c r="BP17" s="183"/>
      <c r="BQ17" s="183"/>
    </row>
    <row r="18" spans="1:69" x14ac:dyDescent="0.3">
      <c r="A18" s="622" t="s">
        <v>272</v>
      </c>
      <c r="B18" s="661" t="s">
        <v>921</v>
      </c>
      <c r="C18" s="624" t="s">
        <v>802</v>
      </c>
      <c r="D18" s="770">
        <f>BOQ_G!D4</f>
        <v>135</v>
      </c>
      <c r="E18" s="770">
        <f>BOQ_G!E4</f>
        <v>243.88799999999998</v>
      </c>
      <c r="F18" s="621">
        <f>BOQ_G!F4</f>
        <v>32929.860749798594</v>
      </c>
      <c r="G18" s="770">
        <f>BOQ_G!G4</f>
        <v>4544.320783472207</v>
      </c>
      <c r="H18" s="621">
        <f>BOQ_G!H4</f>
        <v>37474.181533270799</v>
      </c>
      <c r="J18" s="183"/>
      <c r="K18" s="183"/>
      <c r="L18" s="183"/>
      <c r="M18" s="183"/>
      <c r="N18" s="183"/>
      <c r="O18" s="183"/>
      <c r="P18" s="183"/>
      <c r="Q18" s="183"/>
      <c r="R18" s="183"/>
      <c r="S18" s="183"/>
      <c r="T18" s="183"/>
      <c r="U18" s="183"/>
      <c r="V18" s="183"/>
      <c r="W18" s="183"/>
      <c r="X18" s="183"/>
      <c r="Y18" s="183"/>
      <c r="Z18" s="183"/>
      <c r="AA18" s="183"/>
      <c r="AB18" s="183"/>
      <c r="AC18" s="183"/>
      <c r="AD18" s="183"/>
      <c r="AE18" s="183"/>
      <c r="AF18" s="183"/>
      <c r="AG18" s="183"/>
      <c r="AH18" s="183"/>
      <c r="AI18" s="183"/>
      <c r="AJ18" s="183"/>
      <c r="BG18" s="183"/>
      <c r="BH18" s="183"/>
      <c r="BI18" s="183"/>
      <c r="BJ18" s="183"/>
      <c r="BK18" s="183"/>
      <c r="BL18" s="183"/>
      <c r="BM18" s="183"/>
      <c r="BN18" s="183"/>
      <c r="BO18" s="183"/>
      <c r="BP18" s="183"/>
      <c r="BQ18" s="183"/>
    </row>
    <row r="19" spans="1:69" x14ac:dyDescent="0.3">
      <c r="A19" s="622" t="s">
        <v>556</v>
      </c>
      <c r="B19" s="661" t="s">
        <v>925</v>
      </c>
      <c r="C19" s="624" t="s">
        <v>802</v>
      </c>
      <c r="D19" s="770">
        <f>BOQ_G!D8</f>
        <v>40</v>
      </c>
      <c r="E19" s="770">
        <f>BOQ_G!E8</f>
        <v>243.88799999999998</v>
      </c>
      <c r="F19" s="621">
        <f>BOQ_G!F8</f>
        <v>9694.1832989999984</v>
      </c>
      <c r="G19" s="770">
        <f>BOQ_G!G8</f>
        <v>1337.7972952620003</v>
      </c>
      <c r="H19" s="621">
        <f>BOQ_G!H8</f>
        <v>11031.980594261999</v>
      </c>
      <c r="J19" s="183"/>
      <c r="K19" s="183"/>
      <c r="L19" s="183"/>
      <c r="M19" s="183"/>
      <c r="N19" s="183"/>
      <c r="O19" s="183"/>
      <c r="P19" s="183"/>
      <c r="Q19" s="183"/>
      <c r="R19" s="183"/>
      <c r="S19" s="183"/>
      <c r="T19" s="183"/>
      <c r="U19" s="183"/>
      <c r="V19" s="183"/>
      <c r="W19" s="183"/>
      <c r="X19" s="183"/>
      <c r="Y19" s="183"/>
      <c r="Z19" s="183"/>
      <c r="AA19" s="183"/>
      <c r="AB19" s="183"/>
      <c r="AC19" s="183"/>
      <c r="AD19" s="183"/>
      <c r="AE19" s="183"/>
      <c r="AF19" s="183"/>
      <c r="AG19" s="183"/>
      <c r="AH19" s="183"/>
      <c r="AI19" s="183"/>
      <c r="AJ19" s="183"/>
      <c r="BG19" s="183"/>
      <c r="BH19" s="183"/>
      <c r="BI19" s="183"/>
      <c r="BJ19" s="183"/>
      <c r="BK19" s="183"/>
      <c r="BL19" s="183"/>
      <c r="BM19" s="183"/>
      <c r="BN19" s="183"/>
      <c r="BO19" s="183"/>
      <c r="BP19" s="183"/>
      <c r="BQ19" s="183"/>
    </row>
    <row r="20" spans="1:69" x14ac:dyDescent="0.3">
      <c r="A20" s="622" t="s">
        <v>595</v>
      </c>
      <c r="B20" s="661" t="s">
        <v>957</v>
      </c>
      <c r="C20" s="624" t="s">
        <v>802</v>
      </c>
      <c r="D20" s="770">
        <f>BOQ_G!D14</f>
        <v>7</v>
      </c>
      <c r="E20" s="770">
        <f>BOQ_G!E14</f>
        <v>243.88799999999998</v>
      </c>
      <c r="F20" s="621">
        <f>BOQ_G!F14</f>
        <v>1663.1343200000001</v>
      </c>
      <c r="G20" s="770">
        <f>BOQ_G!G14</f>
        <v>229.51253616</v>
      </c>
      <c r="H20" s="621">
        <f>BOQ_G!H14</f>
        <v>1892.6468561600002</v>
      </c>
      <c r="J20" s="183"/>
      <c r="K20" s="183"/>
      <c r="L20" s="183"/>
      <c r="M20" s="183"/>
      <c r="N20" s="183"/>
      <c r="O20" s="183"/>
      <c r="P20" s="183"/>
      <c r="Q20" s="183"/>
      <c r="R20" s="183"/>
      <c r="S20" s="183"/>
      <c r="T20" s="183"/>
      <c r="U20" s="183"/>
      <c r="V20" s="183"/>
      <c r="W20" s="183"/>
      <c r="X20" s="183"/>
      <c r="Y20" s="183"/>
      <c r="Z20" s="183"/>
      <c r="AA20" s="183"/>
      <c r="AB20" s="183"/>
      <c r="AC20" s="183"/>
      <c r="AD20" s="183"/>
      <c r="AE20" s="183"/>
      <c r="AF20" s="183"/>
      <c r="AG20" s="183"/>
      <c r="AH20" s="183"/>
      <c r="AI20" s="183"/>
      <c r="AJ20" s="183"/>
      <c r="BG20" s="183"/>
      <c r="BH20" s="183"/>
      <c r="BI20" s="183"/>
      <c r="BJ20" s="183"/>
      <c r="BK20" s="183"/>
      <c r="BL20" s="183"/>
      <c r="BM20" s="183"/>
      <c r="BN20" s="183"/>
      <c r="BO20" s="183"/>
      <c r="BP20" s="183"/>
      <c r="BQ20" s="183"/>
    </row>
    <row r="21" spans="1:69" x14ac:dyDescent="0.3">
      <c r="A21" s="492"/>
      <c r="B21" s="488" t="s">
        <v>189</v>
      </c>
      <c r="C21" s="625" t="s">
        <v>802</v>
      </c>
      <c r="D21" s="187"/>
      <c r="E21" s="626"/>
      <c r="F21" s="627">
        <f>SUM(F16:F20)</f>
        <v>85666.161088798588</v>
      </c>
      <c r="G21" s="627">
        <f>SUM(G16:G20)</f>
        <v>11821.930230254209</v>
      </c>
      <c r="H21" s="627">
        <f>SUM(H16:H20)</f>
        <v>97488.091319052808</v>
      </c>
      <c r="J21" s="183"/>
      <c r="K21" s="183"/>
      <c r="L21" s="183"/>
      <c r="M21" s="183"/>
      <c r="N21" s="183"/>
      <c r="O21" s="183"/>
      <c r="P21" s="183"/>
      <c r="Q21" s="183"/>
      <c r="R21" s="183"/>
      <c r="S21" s="183"/>
      <c r="T21" s="183"/>
      <c r="U21" s="183"/>
      <c r="V21" s="183"/>
      <c r="W21" s="183"/>
      <c r="X21" s="183"/>
      <c r="Y21" s="183"/>
      <c r="Z21" s="183"/>
      <c r="AA21" s="183"/>
      <c r="AB21" s="183"/>
      <c r="AC21" s="183"/>
      <c r="AD21" s="183"/>
      <c r="AE21" s="183"/>
      <c r="AF21" s="183"/>
      <c r="AG21" s="183"/>
      <c r="AH21" s="183"/>
      <c r="AI21" s="183"/>
      <c r="AJ21" s="183"/>
      <c r="BG21" s="183"/>
      <c r="BH21" s="183"/>
      <c r="BI21" s="183"/>
      <c r="BJ21" s="183"/>
      <c r="BK21" s="183"/>
      <c r="BL21" s="183"/>
      <c r="BM21" s="183"/>
      <c r="BN21" s="183"/>
      <c r="BO21" s="183"/>
      <c r="BP21" s="183"/>
      <c r="BQ21" s="183"/>
    </row>
    <row r="22" spans="1:69" x14ac:dyDescent="0.3">
      <c r="A22" s="628" t="s">
        <v>603</v>
      </c>
      <c r="B22" s="629" t="s">
        <v>834</v>
      </c>
      <c r="C22" s="630"/>
      <c r="D22" s="631"/>
      <c r="E22" s="632"/>
      <c r="F22" s="633"/>
      <c r="G22" s="633"/>
      <c r="H22" s="633"/>
      <c r="J22" s="183"/>
      <c r="K22" s="183"/>
      <c r="L22" s="183"/>
      <c r="M22" s="183"/>
      <c r="N22" s="183"/>
      <c r="O22" s="183"/>
      <c r="P22" s="183"/>
      <c r="Q22" s="183"/>
      <c r="R22" s="183"/>
      <c r="S22" s="183"/>
      <c r="T22" s="183"/>
      <c r="U22" s="183"/>
      <c r="V22" s="183"/>
      <c r="W22" s="183"/>
      <c r="X22" s="183"/>
      <c r="Y22" s="183"/>
      <c r="Z22" s="183"/>
      <c r="AA22" s="183"/>
      <c r="AB22" s="183"/>
      <c r="AC22" s="183"/>
      <c r="AD22" s="183"/>
      <c r="AE22" s="183"/>
      <c r="AF22" s="183"/>
      <c r="AG22" s="183"/>
      <c r="AH22" s="183"/>
      <c r="AI22" s="183"/>
      <c r="AJ22" s="183"/>
      <c r="BG22" s="183"/>
      <c r="BH22" s="183"/>
      <c r="BI22" s="183"/>
      <c r="BJ22" s="183"/>
      <c r="BK22" s="183"/>
      <c r="BL22" s="183"/>
      <c r="BM22" s="183"/>
      <c r="BN22" s="183"/>
      <c r="BO22" s="183"/>
      <c r="BP22" s="183"/>
      <c r="BQ22" s="183"/>
    </row>
    <row r="23" spans="1:69" x14ac:dyDescent="0.3">
      <c r="A23" s="622" t="s">
        <v>268</v>
      </c>
      <c r="B23" s="661" t="s">
        <v>445</v>
      </c>
      <c r="C23" s="624" t="s">
        <v>964</v>
      </c>
      <c r="D23" s="773">
        <f>F23/E23</f>
        <v>24.042915624999999</v>
      </c>
      <c r="E23" s="770">
        <f>BOQ_T!D13</f>
        <v>320</v>
      </c>
      <c r="F23" s="621">
        <f>BOQ_T!F13</f>
        <v>7693.7330000000002</v>
      </c>
      <c r="G23" s="770">
        <f>BOQ_T!G13</f>
        <v>1384.8719399999995</v>
      </c>
      <c r="H23" s="621">
        <f>BOQ_T!H13</f>
        <v>9078.6049400000011</v>
      </c>
      <c r="J23" s="183"/>
      <c r="K23" s="183"/>
      <c r="L23" s="183"/>
      <c r="M23" s="183"/>
      <c r="N23" s="183"/>
      <c r="O23" s="183"/>
      <c r="P23" s="183"/>
      <c r="Q23" s="183"/>
      <c r="R23" s="183"/>
      <c r="S23" s="183"/>
      <c r="T23" s="183"/>
      <c r="U23" s="183"/>
      <c r="V23" s="183"/>
      <c r="W23" s="183"/>
      <c r="X23" s="183"/>
      <c r="Y23" s="183"/>
      <c r="Z23" s="183"/>
      <c r="AA23" s="183"/>
      <c r="AB23" s="183"/>
      <c r="AC23" s="183"/>
      <c r="AD23" s="183"/>
      <c r="AE23" s="183"/>
      <c r="AF23" s="183"/>
      <c r="AG23" s="183"/>
      <c r="AH23" s="183"/>
      <c r="AI23" s="183"/>
      <c r="AJ23" s="183"/>
      <c r="BG23" s="183"/>
      <c r="BH23" s="183"/>
      <c r="BI23" s="183"/>
      <c r="BJ23" s="183"/>
      <c r="BK23" s="183"/>
      <c r="BL23" s="183"/>
      <c r="BM23" s="183"/>
      <c r="BN23" s="183"/>
      <c r="BO23" s="183"/>
      <c r="BP23" s="183"/>
      <c r="BQ23" s="183"/>
    </row>
    <row r="24" spans="1:69" x14ac:dyDescent="0.3">
      <c r="A24" s="622" t="s">
        <v>270</v>
      </c>
      <c r="B24" s="661" t="s">
        <v>832</v>
      </c>
      <c r="C24" s="624" t="s">
        <v>219</v>
      </c>
      <c r="D24" s="773">
        <f>F24/E24</f>
        <v>282.71078896971255</v>
      </c>
      <c r="E24" s="770">
        <f>Input!D118</f>
        <v>4</v>
      </c>
      <c r="F24" s="621">
        <f>BOQ_T!F29</f>
        <v>1130.8431558788502</v>
      </c>
      <c r="G24" s="770">
        <f>BOQ_T!G29</f>
        <v>203.55176805819301</v>
      </c>
      <c r="H24" s="621">
        <f>BOQ_T!H29</f>
        <v>1334.3949239370431</v>
      </c>
      <c r="I24" s="204"/>
      <c r="J24" s="183"/>
      <c r="K24" s="183"/>
      <c r="L24" s="183"/>
      <c r="M24" s="183"/>
      <c r="N24" s="183"/>
      <c r="O24" s="183"/>
      <c r="P24" s="183"/>
      <c r="Q24" s="183"/>
      <c r="R24" s="183"/>
      <c r="S24" s="183"/>
      <c r="T24" s="183"/>
      <c r="U24" s="183"/>
      <c r="V24" s="183"/>
      <c r="W24" s="183"/>
      <c r="X24" s="183"/>
      <c r="Y24" s="183"/>
      <c r="Z24" s="183"/>
      <c r="AA24" s="183"/>
      <c r="AB24" s="183"/>
      <c r="AC24" s="183"/>
      <c r="AD24" s="183"/>
      <c r="AE24" s="183"/>
      <c r="AF24" s="183"/>
      <c r="AG24" s="183"/>
      <c r="AH24" s="183"/>
      <c r="AI24" s="183"/>
      <c r="AJ24" s="183"/>
      <c r="BG24" s="183"/>
      <c r="BH24" s="183"/>
      <c r="BI24" s="183"/>
      <c r="BJ24" s="183"/>
      <c r="BK24" s="183"/>
      <c r="BL24" s="183"/>
      <c r="BM24" s="183"/>
      <c r="BN24" s="183"/>
      <c r="BO24" s="183"/>
      <c r="BP24" s="183"/>
      <c r="BQ24" s="183"/>
    </row>
    <row r="25" spans="1:69" x14ac:dyDescent="0.3">
      <c r="A25" s="622" t="s">
        <v>272</v>
      </c>
      <c r="B25" s="661" t="s">
        <v>833</v>
      </c>
      <c r="C25" s="624" t="s">
        <v>802</v>
      </c>
      <c r="D25" s="773">
        <f>F25/E25</f>
        <v>422.06749999999994</v>
      </c>
      <c r="E25" s="770">
        <v>1</v>
      </c>
      <c r="F25" s="621">
        <f>BOQ_T!F34</f>
        <v>422.06749999999994</v>
      </c>
      <c r="G25" s="770">
        <f>BOQ_T!G34</f>
        <v>75.972149999999985</v>
      </c>
      <c r="H25" s="621">
        <f>BOQ_T!H34</f>
        <v>498.03964999999994</v>
      </c>
      <c r="J25" s="183"/>
      <c r="K25" s="183"/>
      <c r="L25" s="183"/>
      <c r="M25" s="183"/>
      <c r="N25" s="183"/>
      <c r="O25" s="183"/>
      <c r="P25" s="183"/>
      <c r="Q25" s="183"/>
      <c r="R25" s="183"/>
      <c r="S25" s="183"/>
      <c r="T25" s="183"/>
      <c r="U25" s="183"/>
      <c r="V25" s="183"/>
      <c r="W25" s="183"/>
      <c r="X25" s="183"/>
      <c r="Y25" s="183"/>
      <c r="Z25" s="183"/>
      <c r="AA25" s="183"/>
      <c r="AB25" s="183"/>
      <c r="AC25" s="183"/>
      <c r="AD25" s="183"/>
      <c r="AE25" s="183"/>
      <c r="AF25" s="183"/>
      <c r="AG25" s="183"/>
      <c r="AH25" s="183"/>
      <c r="AI25" s="183"/>
      <c r="AJ25" s="183"/>
      <c r="BG25" s="183"/>
      <c r="BH25" s="183"/>
      <c r="BI25" s="183"/>
      <c r="BJ25" s="183"/>
      <c r="BK25" s="183"/>
      <c r="BL25" s="183"/>
      <c r="BM25" s="183"/>
      <c r="BN25" s="183"/>
      <c r="BO25" s="183"/>
      <c r="BP25" s="183"/>
      <c r="BQ25" s="183"/>
    </row>
    <row r="26" spans="1:69" x14ac:dyDescent="0.3">
      <c r="A26" s="492"/>
      <c r="B26" s="488" t="s">
        <v>834</v>
      </c>
      <c r="C26" s="625" t="s">
        <v>802</v>
      </c>
      <c r="D26" s="187"/>
      <c r="E26" s="626"/>
      <c r="F26" s="627">
        <f>SUM(F23:F25)</f>
        <v>9246.64365587885</v>
      </c>
      <c r="G26" s="627">
        <f>SUM(G23:G25)</f>
        <v>1664.3958580581925</v>
      </c>
      <c r="H26" s="627">
        <f>SUM(H23:H25)</f>
        <v>10911.039513937045</v>
      </c>
      <c r="I26" s="204"/>
      <c r="J26" s="183"/>
      <c r="K26" s="183"/>
      <c r="L26" s="183"/>
      <c r="M26" s="183"/>
      <c r="N26" s="183"/>
      <c r="O26" s="183"/>
      <c r="P26" s="183"/>
      <c r="Q26" s="183"/>
      <c r="R26" s="183"/>
      <c r="S26" s="183"/>
      <c r="T26" s="183"/>
      <c r="U26" s="183"/>
      <c r="V26" s="183"/>
      <c r="W26" s="183"/>
      <c r="X26" s="183"/>
      <c r="Y26" s="183"/>
      <c r="Z26" s="183"/>
      <c r="AA26" s="183"/>
      <c r="AB26" s="183"/>
      <c r="AC26" s="183"/>
      <c r="AD26" s="183"/>
      <c r="AE26" s="183"/>
      <c r="AF26" s="183"/>
      <c r="AG26" s="183"/>
      <c r="AH26" s="183"/>
      <c r="AI26" s="183"/>
      <c r="AJ26" s="183"/>
      <c r="BG26" s="183"/>
      <c r="BH26" s="183"/>
      <c r="BI26" s="183"/>
      <c r="BJ26" s="183"/>
      <c r="BK26" s="183"/>
      <c r="BL26" s="183"/>
      <c r="BM26" s="183"/>
      <c r="BN26" s="183"/>
      <c r="BO26" s="183"/>
      <c r="BP26" s="183"/>
      <c r="BQ26" s="183"/>
    </row>
    <row r="27" spans="1:69" x14ac:dyDescent="0.3">
      <c r="A27" s="628" t="s">
        <v>577</v>
      </c>
      <c r="B27" s="629" t="s">
        <v>831</v>
      </c>
      <c r="C27" s="630"/>
      <c r="D27" s="631"/>
      <c r="E27" s="632"/>
      <c r="F27" s="633"/>
      <c r="G27" s="633"/>
      <c r="H27" s="633"/>
      <c r="I27" s="204"/>
      <c r="J27" s="183"/>
      <c r="K27" s="183"/>
      <c r="L27" s="183"/>
      <c r="M27" s="183"/>
      <c r="N27" s="183"/>
      <c r="O27" s="183"/>
      <c r="P27" s="183"/>
      <c r="Q27" s="183"/>
      <c r="R27" s="183"/>
      <c r="S27" s="183"/>
      <c r="T27" s="183"/>
      <c r="U27" s="183"/>
      <c r="V27" s="183"/>
      <c r="W27" s="183"/>
      <c r="X27" s="183"/>
      <c r="Y27" s="183"/>
      <c r="Z27" s="183"/>
      <c r="AA27" s="183"/>
      <c r="AB27" s="183"/>
      <c r="AC27" s="183"/>
      <c r="AD27" s="183"/>
      <c r="AE27" s="183"/>
      <c r="AF27" s="183"/>
      <c r="AG27" s="183"/>
      <c r="AH27" s="183"/>
      <c r="AI27" s="183"/>
      <c r="AJ27" s="183"/>
      <c r="BG27" s="183"/>
      <c r="BH27" s="183"/>
      <c r="BI27" s="183"/>
      <c r="BJ27" s="183"/>
      <c r="BK27" s="183"/>
      <c r="BL27" s="183"/>
      <c r="BM27" s="183"/>
      <c r="BN27" s="183"/>
      <c r="BO27" s="183"/>
      <c r="BP27" s="183"/>
      <c r="BQ27" s="183"/>
    </row>
    <row r="28" spans="1:69" x14ac:dyDescent="0.3">
      <c r="A28" s="622" t="s">
        <v>268</v>
      </c>
      <c r="B28" s="661" t="s">
        <v>920</v>
      </c>
      <c r="C28" s="624" t="s">
        <v>802</v>
      </c>
      <c r="D28" s="621">
        <f>BOQ_I!D3</f>
        <v>0</v>
      </c>
      <c r="E28" s="621">
        <f>BOQ_I!E3</f>
        <v>0</v>
      </c>
      <c r="F28" s="621">
        <f>BOQ_I!F3</f>
        <v>1502.05</v>
      </c>
      <c r="G28" s="770">
        <f>BOQ_I!G3</f>
        <v>270.36899999999997</v>
      </c>
      <c r="H28" s="621">
        <f>SUM(F28:G28)</f>
        <v>1772.4189999999999</v>
      </c>
      <c r="J28" s="183"/>
      <c r="K28" s="183"/>
      <c r="L28" s="183"/>
      <c r="M28" s="183"/>
      <c r="N28" s="183"/>
      <c r="O28" s="183"/>
      <c r="P28" s="183"/>
      <c r="Q28" s="183"/>
      <c r="R28" s="183"/>
      <c r="S28" s="183"/>
      <c r="T28" s="183"/>
      <c r="U28" s="183"/>
      <c r="V28" s="183"/>
      <c r="W28" s="183"/>
      <c r="X28" s="183"/>
      <c r="Y28" s="183"/>
      <c r="Z28" s="183"/>
      <c r="AA28" s="183"/>
      <c r="AB28" s="183"/>
      <c r="AC28" s="183"/>
      <c r="AD28" s="183"/>
      <c r="AE28" s="183"/>
      <c r="AF28" s="183"/>
      <c r="AG28" s="183"/>
      <c r="AH28" s="183"/>
      <c r="AI28" s="183"/>
      <c r="AJ28" s="183"/>
      <c r="BG28" s="183"/>
      <c r="BH28" s="183"/>
      <c r="BI28" s="183"/>
      <c r="BJ28" s="183"/>
      <c r="BK28" s="183"/>
      <c r="BL28" s="183"/>
      <c r="BM28" s="183"/>
      <c r="BN28" s="183"/>
      <c r="BO28" s="183"/>
      <c r="BP28" s="183"/>
      <c r="BQ28" s="183"/>
    </row>
    <row r="29" spans="1:69" x14ac:dyDescent="0.3">
      <c r="A29" s="622" t="s">
        <v>270</v>
      </c>
      <c r="B29" s="661" t="s">
        <v>432</v>
      </c>
      <c r="C29" s="624" t="s">
        <v>802</v>
      </c>
      <c r="D29" s="621">
        <f>BOQ_I!D4</f>
        <v>0</v>
      </c>
      <c r="E29" s="621">
        <f>BOQ_I!E4</f>
        <v>0</v>
      </c>
      <c r="F29" s="621">
        <f>BOQ_I!F4</f>
        <v>73.5</v>
      </c>
      <c r="G29" s="770">
        <f>BOQ_I!G4</f>
        <v>13.229999999999999</v>
      </c>
      <c r="H29" s="621">
        <f>SUM(F29:G29)</f>
        <v>86.73</v>
      </c>
      <c r="J29" s="183"/>
      <c r="K29" s="183"/>
      <c r="L29" s="183"/>
      <c r="M29" s="183"/>
      <c r="N29" s="183"/>
      <c r="O29" s="183"/>
      <c r="P29" s="183"/>
      <c r="Q29" s="183"/>
      <c r="R29" s="183"/>
      <c r="S29" s="183"/>
      <c r="T29" s="183"/>
      <c r="U29" s="183"/>
      <c r="V29" s="183"/>
      <c r="W29" s="183"/>
      <c r="X29" s="183"/>
      <c r="Y29" s="183"/>
      <c r="Z29" s="183"/>
      <c r="AA29" s="183"/>
      <c r="AB29" s="183"/>
      <c r="AC29" s="183"/>
      <c r="AD29" s="183"/>
      <c r="AE29" s="183"/>
      <c r="AF29" s="183"/>
      <c r="AG29" s="183"/>
      <c r="AH29" s="183"/>
      <c r="AI29" s="183"/>
      <c r="AJ29" s="183"/>
      <c r="BG29" s="183"/>
      <c r="BH29" s="183"/>
      <c r="BI29" s="183"/>
      <c r="BJ29" s="183"/>
      <c r="BK29" s="183"/>
      <c r="BL29" s="183"/>
      <c r="BM29" s="183"/>
      <c r="BN29" s="183"/>
      <c r="BO29" s="183"/>
      <c r="BP29" s="183"/>
      <c r="BQ29" s="183"/>
    </row>
    <row r="30" spans="1:69" x14ac:dyDescent="0.3">
      <c r="A30" s="492"/>
      <c r="B30" s="488" t="s">
        <v>831</v>
      </c>
      <c r="C30" s="625" t="s">
        <v>802</v>
      </c>
      <c r="D30" s="187"/>
      <c r="E30" s="626"/>
      <c r="F30" s="627">
        <f>SUM(F28:F29)</f>
        <v>1575.55</v>
      </c>
      <c r="G30" s="627">
        <f>SUM(G28:G29)</f>
        <v>283.59899999999999</v>
      </c>
      <c r="H30" s="627">
        <f>SUM(H28:H29)</f>
        <v>1859.1489999999999</v>
      </c>
      <c r="L30" s="183"/>
      <c r="M30" s="183"/>
      <c r="N30" s="183"/>
      <c r="O30" s="183"/>
      <c r="P30" s="183"/>
      <c r="Q30" s="183"/>
      <c r="R30" s="183"/>
      <c r="S30" s="183"/>
      <c r="T30" s="183"/>
      <c r="U30" s="183"/>
      <c r="V30" s="183"/>
      <c r="W30" s="183"/>
      <c r="X30" s="183"/>
      <c r="Y30" s="183"/>
      <c r="Z30" s="183"/>
      <c r="AA30" s="183"/>
      <c r="AB30" s="183"/>
      <c r="AC30" s="183"/>
      <c r="AD30" s="183"/>
      <c r="AE30" s="183"/>
      <c r="AF30" s="183"/>
      <c r="AG30" s="183"/>
      <c r="AH30" s="183"/>
      <c r="AI30" s="183"/>
      <c r="AJ30" s="183"/>
      <c r="BG30" s="183"/>
      <c r="BH30" s="183"/>
      <c r="BI30" s="183"/>
      <c r="BJ30" s="183"/>
      <c r="BK30" s="183"/>
      <c r="BL30" s="183"/>
      <c r="BM30" s="183"/>
      <c r="BN30" s="183"/>
      <c r="BO30" s="183"/>
      <c r="BP30" s="183"/>
      <c r="BQ30" s="183"/>
    </row>
    <row r="31" spans="1:69" x14ac:dyDescent="0.3">
      <c r="A31" s="628" t="s">
        <v>797</v>
      </c>
      <c r="B31" s="629" t="s">
        <v>845</v>
      </c>
      <c r="C31" s="630"/>
      <c r="D31" s="631"/>
      <c r="E31" s="632"/>
      <c r="F31" s="633"/>
      <c r="G31" s="633"/>
      <c r="H31" s="633"/>
      <c r="J31" s="183"/>
      <c r="K31" s="183"/>
      <c r="L31" s="183"/>
      <c r="M31" s="183"/>
      <c r="N31" s="183"/>
      <c r="O31" s="183"/>
      <c r="P31" s="183"/>
      <c r="Q31" s="183"/>
      <c r="R31" s="183"/>
      <c r="S31" s="183"/>
      <c r="T31" s="183"/>
      <c r="U31" s="183"/>
      <c r="V31" s="183"/>
      <c r="W31" s="183"/>
      <c r="X31" s="183"/>
      <c r="Y31" s="183"/>
      <c r="Z31" s="183"/>
      <c r="AA31" s="183"/>
      <c r="AB31" s="183"/>
      <c r="AC31" s="183"/>
      <c r="AD31" s="183"/>
      <c r="AE31" s="183"/>
      <c r="AF31" s="183"/>
      <c r="AG31" s="183"/>
      <c r="AH31" s="183"/>
      <c r="AI31" s="183"/>
      <c r="AJ31" s="183"/>
      <c r="BG31" s="183"/>
      <c r="BH31" s="183"/>
      <c r="BI31" s="183"/>
      <c r="BJ31" s="183"/>
      <c r="BK31" s="183"/>
      <c r="BL31" s="183"/>
      <c r="BM31" s="183"/>
      <c r="BN31" s="183"/>
      <c r="BO31" s="183"/>
      <c r="BP31" s="183"/>
      <c r="BQ31" s="183"/>
    </row>
    <row r="32" spans="1:69" x14ac:dyDescent="0.3">
      <c r="A32" s="762" t="s">
        <v>268</v>
      </c>
      <c r="B32" s="661" t="s">
        <v>956</v>
      </c>
      <c r="C32" s="624" t="s">
        <v>802</v>
      </c>
      <c r="D32" s="621"/>
      <c r="E32" s="621"/>
      <c r="F32" s="1172">
        <f>BOQ_G!F19+BOQ_G!F21</f>
        <v>9449.587382920934</v>
      </c>
      <c r="G32" s="770">
        <f>BOQ_G!G19+BOQ_G!G21</f>
        <v>1304.0430588430891</v>
      </c>
      <c r="H32" s="1172">
        <f>BOQ_G!H19+BOQ_G!H21</f>
        <v>10753.630441764024</v>
      </c>
      <c r="J32" s="183"/>
      <c r="K32" s="183"/>
      <c r="L32" s="183"/>
      <c r="M32" s="183"/>
      <c r="N32" s="183"/>
      <c r="O32" s="183"/>
      <c r="P32" s="183"/>
      <c r="Q32" s="183"/>
      <c r="R32" s="183"/>
      <c r="S32" s="183"/>
      <c r="T32" s="183"/>
      <c r="U32" s="183"/>
      <c r="V32" s="183"/>
      <c r="W32" s="183"/>
      <c r="X32" s="183"/>
      <c r="Y32" s="183"/>
      <c r="Z32" s="183"/>
      <c r="AA32" s="183"/>
      <c r="AB32" s="183"/>
      <c r="AC32" s="183"/>
      <c r="AD32" s="183"/>
      <c r="AE32" s="183"/>
      <c r="AF32" s="183"/>
      <c r="AG32" s="183"/>
      <c r="AH32" s="183"/>
      <c r="AI32" s="183"/>
      <c r="AJ32" s="183"/>
      <c r="BG32" s="183"/>
      <c r="BH32" s="183"/>
      <c r="BI32" s="183"/>
      <c r="BJ32" s="183"/>
      <c r="BK32" s="183"/>
      <c r="BL32" s="183"/>
      <c r="BM32" s="183"/>
      <c r="BN32" s="183"/>
      <c r="BO32" s="183"/>
      <c r="BP32" s="183"/>
      <c r="BQ32" s="183"/>
    </row>
    <row r="33" spans="1:69" x14ac:dyDescent="0.3">
      <c r="A33" s="762" t="s">
        <v>270</v>
      </c>
      <c r="B33" s="661" t="s">
        <v>955</v>
      </c>
      <c r="C33" s="624" t="s">
        <v>802</v>
      </c>
      <c r="D33" s="621"/>
      <c r="E33" s="621"/>
      <c r="F33" s="1172">
        <f>BOQ_T!F40</f>
        <v>327.33118541811132</v>
      </c>
      <c r="G33" s="770">
        <f>BOQ_T!G40</f>
        <v>58.919613375260035</v>
      </c>
      <c r="H33" s="1172">
        <f>BOQ_T!H40</f>
        <v>386.25079879337136</v>
      </c>
      <c r="J33" s="183"/>
      <c r="K33" s="183"/>
      <c r="L33" s="183"/>
      <c r="M33" s="183"/>
      <c r="N33" s="183"/>
      <c r="O33" s="183"/>
      <c r="P33" s="183"/>
      <c r="Q33" s="183"/>
      <c r="R33" s="183"/>
      <c r="S33" s="183"/>
      <c r="T33" s="183"/>
      <c r="U33" s="183"/>
      <c r="V33" s="183"/>
      <c r="W33" s="183"/>
      <c r="X33" s="183"/>
      <c r="Y33" s="183"/>
      <c r="Z33" s="183"/>
      <c r="AA33" s="183"/>
      <c r="AB33" s="183"/>
      <c r="AC33" s="183"/>
      <c r="AD33" s="183"/>
      <c r="AE33" s="183"/>
      <c r="AF33" s="183"/>
      <c r="AG33" s="183"/>
      <c r="AH33" s="183"/>
      <c r="AI33" s="183"/>
      <c r="AJ33" s="183"/>
      <c r="BG33" s="183"/>
      <c r="BH33" s="183"/>
      <c r="BI33" s="183"/>
      <c r="BJ33" s="183"/>
      <c r="BK33" s="183"/>
      <c r="BL33" s="183"/>
      <c r="BM33" s="183"/>
      <c r="BN33" s="183"/>
      <c r="BO33" s="183"/>
      <c r="BP33" s="183"/>
      <c r="BQ33" s="183"/>
    </row>
    <row r="34" spans="1:69" x14ac:dyDescent="0.3">
      <c r="A34" s="762" t="s">
        <v>272</v>
      </c>
      <c r="B34" s="661" t="s">
        <v>549</v>
      </c>
      <c r="C34" s="624" t="s">
        <v>802</v>
      </c>
      <c r="D34" s="621"/>
      <c r="E34" s="621"/>
      <c r="F34" s="1172">
        <f>BOQ_I!F6</f>
        <v>208.23999999999995</v>
      </c>
      <c r="G34" s="770">
        <f>BOQ_I!G6</f>
        <v>37.483199999999989</v>
      </c>
      <c r="H34" s="1172">
        <f>BOQ_I!H6</f>
        <v>245.72319999999993</v>
      </c>
      <c r="I34" s="409"/>
      <c r="J34" s="183"/>
      <c r="K34" s="183"/>
      <c r="L34" s="183"/>
      <c r="M34" s="183"/>
      <c r="N34" s="183"/>
      <c r="O34" s="183"/>
      <c r="P34" s="183"/>
      <c r="Q34" s="183"/>
      <c r="R34" s="183"/>
      <c r="S34" s="183"/>
      <c r="T34" s="183"/>
      <c r="U34" s="183"/>
      <c r="V34" s="183"/>
      <c r="W34" s="183"/>
      <c r="X34" s="183"/>
      <c r="Y34" s="183"/>
      <c r="Z34" s="183"/>
      <c r="AA34" s="183"/>
      <c r="AB34" s="183"/>
      <c r="AC34" s="183"/>
      <c r="AD34" s="183"/>
      <c r="AE34" s="183"/>
      <c r="AF34" s="183"/>
      <c r="AG34" s="183"/>
      <c r="AH34" s="183"/>
      <c r="AI34" s="183"/>
      <c r="AJ34" s="183"/>
      <c r="BG34" s="183"/>
      <c r="BH34" s="183"/>
      <c r="BI34" s="183"/>
      <c r="BJ34" s="183"/>
      <c r="BK34" s="183"/>
      <c r="BL34" s="183"/>
      <c r="BM34" s="183"/>
      <c r="BN34" s="183"/>
      <c r="BO34" s="183"/>
      <c r="BP34" s="183"/>
      <c r="BQ34" s="183"/>
    </row>
    <row r="35" spans="1:69" x14ac:dyDescent="0.3">
      <c r="A35" s="492"/>
      <c r="B35" s="488" t="s">
        <v>845</v>
      </c>
      <c r="C35" s="625" t="s">
        <v>802</v>
      </c>
      <c r="D35" s="187"/>
      <c r="E35" s="626"/>
      <c r="F35" s="1173">
        <f>SUM(F32:F34)</f>
        <v>9985.1585683390458</v>
      </c>
      <c r="G35" s="627">
        <f t="shared" ref="G35:H35" si="7">SUM(G32:G34)</f>
        <v>1400.445872218349</v>
      </c>
      <c r="H35" s="1202">
        <f t="shared" si="7"/>
        <v>11385.604440557396</v>
      </c>
      <c r="I35" s="409"/>
      <c r="J35" s="183"/>
      <c r="K35" s="183"/>
      <c r="L35" s="183"/>
      <c r="M35" s="183"/>
      <c r="N35" s="183"/>
      <c r="O35" s="183"/>
      <c r="P35" s="183"/>
      <c r="Q35" s="183"/>
      <c r="R35" s="183"/>
      <c r="S35" s="183"/>
      <c r="T35" s="183"/>
      <c r="U35" s="183"/>
      <c r="V35" s="183"/>
      <c r="W35" s="183"/>
      <c r="X35" s="183"/>
      <c r="Y35" s="183"/>
      <c r="Z35" s="183"/>
      <c r="AA35" s="183"/>
      <c r="AB35" s="183"/>
      <c r="AC35" s="183"/>
      <c r="AD35" s="183"/>
      <c r="AE35" s="183"/>
      <c r="AF35" s="183"/>
      <c r="AG35" s="183"/>
      <c r="AH35" s="183"/>
      <c r="AI35" s="183"/>
      <c r="AJ35" s="183"/>
      <c r="BG35" s="183"/>
      <c r="BH35" s="183"/>
      <c r="BI35" s="183"/>
      <c r="BJ35" s="183"/>
      <c r="BK35" s="183"/>
      <c r="BL35" s="183"/>
      <c r="BM35" s="183"/>
      <c r="BN35" s="183"/>
      <c r="BO35" s="183"/>
      <c r="BP35" s="183"/>
      <c r="BQ35" s="183"/>
    </row>
    <row r="36" spans="1:69" x14ac:dyDescent="0.3">
      <c r="A36" s="771"/>
      <c r="B36" s="553" t="s">
        <v>1136</v>
      </c>
      <c r="C36" s="554"/>
      <c r="D36" s="557"/>
      <c r="E36" s="556"/>
      <c r="F36" s="555">
        <f>F21+F26+F30+F35</f>
        <v>106473.51331301649</v>
      </c>
      <c r="G36" s="555">
        <f>G21+G26+G30+G35</f>
        <v>15170.370960530752</v>
      </c>
      <c r="H36" s="555">
        <f>H21+H26+H30+H35</f>
        <v>121643.88427354724</v>
      </c>
      <c r="I36" s="409"/>
      <c r="J36" s="183"/>
      <c r="K36" s="183"/>
      <c r="L36" s="183"/>
      <c r="M36" s="183"/>
      <c r="N36" s="183"/>
      <c r="O36" s="183"/>
      <c r="P36" s="183"/>
      <c r="Q36" s="183"/>
      <c r="R36" s="183"/>
      <c r="S36" s="183"/>
      <c r="T36" s="183"/>
      <c r="U36" s="183"/>
      <c r="V36" s="183"/>
      <c r="W36" s="183"/>
      <c r="X36" s="183"/>
      <c r="Y36" s="183"/>
      <c r="Z36" s="183"/>
      <c r="AA36" s="183"/>
      <c r="AB36" s="183"/>
      <c r="AC36" s="183"/>
      <c r="AD36" s="183"/>
      <c r="AE36" s="183"/>
      <c r="AF36" s="183"/>
      <c r="AG36" s="183"/>
      <c r="AH36" s="183"/>
      <c r="AI36" s="183"/>
      <c r="AJ36" s="183"/>
      <c r="BG36" s="183"/>
      <c r="BH36" s="183"/>
      <c r="BI36" s="183"/>
      <c r="BJ36" s="183"/>
      <c r="BK36" s="183"/>
      <c r="BL36" s="183"/>
      <c r="BM36" s="183"/>
      <c r="BN36" s="183"/>
      <c r="BO36" s="183"/>
      <c r="BP36" s="183"/>
      <c r="BQ36" s="183"/>
    </row>
    <row r="37" spans="1:69" x14ac:dyDescent="0.3">
      <c r="A37" s="762"/>
      <c r="B37" s="623" t="s">
        <v>963</v>
      </c>
      <c r="C37" s="624" t="s">
        <v>802</v>
      </c>
      <c r="D37" s="621"/>
      <c r="E37" s="621"/>
      <c r="F37" s="621"/>
      <c r="G37" s="621"/>
      <c r="H37" s="621">
        <f ca="1">D52*100</f>
        <v>2612.3189689629462</v>
      </c>
      <c r="I37" s="81"/>
      <c r="J37" s="183"/>
      <c r="K37" s="183"/>
      <c r="L37" s="183"/>
      <c r="M37" s="183"/>
      <c r="N37" s="183"/>
      <c r="O37" s="183"/>
      <c r="P37" s="183"/>
      <c r="Q37" s="183"/>
      <c r="R37" s="183"/>
      <c r="S37" s="183"/>
      <c r="T37" s="183"/>
      <c r="U37" s="183"/>
      <c r="V37" s="183"/>
      <c r="W37" s="183"/>
      <c r="X37" s="183"/>
      <c r="Y37" s="183"/>
      <c r="Z37" s="183"/>
      <c r="AA37" s="183"/>
      <c r="AB37" s="183"/>
      <c r="AC37" s="183"/>
      <c r="AD37" s="183"/>
      <c r="AE37" s="183"/>
      <c r="AF37" s="183"/>
      <c r="AG37" s="183"/>
      <c r="AH37" s="183"/>
      <c r="AI37" s="183"/>
      <c r="AJ37" s="183"/>
      <c r="BG37" s="183"/>
      <c r="BH37" s="183"/>
      <c r="BI37" s="183"/>
      <c r="BJ37" s="183"/>
      <c r="BK37" s="183"/>
      <c r="BL37" s="183"/>
      <c r="BM37" s="183"/>
      <c r="BN37" s="183"/>
      <c r="BO37" s="183"/>
      <c r="BP37" s="183"/>
      <c r="BQ37" s="183"/>
    </row>
    <row r="38" spans="1:69" x14ac:dyDescent="0.3">
      <c r="A38" s="492"/>
      <c r="B38" s="488" t="s">
        <v>811</v>
      </c>
      <c r="C38" s="625" t="s">
        <v>802</v>
      </c>
      <c r="D38" s="187"/>
      <c r="E38" s="626"/>
      <c r="F38" s="627">
        <f>F36+F37</f>
        <v>106473.51331301649</v>
      </c>
      <c r="G38" s="627">
        <f>G36+G37</f>
        <v>15170.370960530752</v>
      </c>
      <c r="H38" s="627">
        <f ca="1">H36+H37</f>
        <v>124256.20324251019</v>
      </c>
      <c r="J38" s="183"/>
      <c r="K38" s="183"/>
      <c r="L38" s="183"/>
      <c r="M38" s="183"/>
      <c r="N38" s="183"/>
      <c r="O38" s="183"/>
      <c r="P38" s="183"/>
      <c r="Q38" s="183"/>
      <c r="R38" s="183"/>
      <c r="S38" s="183"/>
      <c r="T38" s="183"/>
      <c r="U38" s="183"/>
      <c r="V38" s="183"/>
      <c r="W38" s="183"/>
      <c r="X38" s="183"/>
      <c r="Y38" s="183"/>
      <c r="Z38" s="183"/>
      <c r="AA38" s="183"/>
      <c r="AB38" s="183"/>
      <c r="AC38" s="183"/>
      <c r="AD38" s="183"/>
      <c r="AE38" s="183"/>
      <c r="AF38" s="183"/>
      <c r="AG38" s="183"/>
      <c r="AH38" s="183"/>
      <c r="AI38" s="183"/>
      <c r="AJ38" s="183"/>
      <c r="BG38" s="183"/>
      <c r="BH38" s="183"/>
      <c r="BI38" s="183"/>
      <c r="BJ38" s="183"/>
      <c r="BK38" s="183"/>
      <c r="BL38" s="183"/>
      <c r="BM38" s="183"/>
      <c r="BN38" s="183"/>
      <c r="BO38" s="183"/>
      <c r="BP38" s="183"/>
      <c r="BQ38" s="183"/>
    </row>
    <row r="39" spans="1:69" x14ac:dyDescent="0.3">
      <c r="A39" s="640"/>
      <c r="B39" s="641" t="s">
        <v>836</v>
      </c>
      <c r="C39" s="636"/>
      <c r="D39" s="637"/>
      <c r="E39" s="638"/>
      <c r="F39" s="639"/>
      <c r="G39" s="639"/>
      <c r="H39" s="639"/>
      <c r="J39" s="183"/>
      <c r="K39" s="183"/>
      <c r="L39" s="183"/>
      <c r="M39" s="183"/>
      <c r="N39" s="183"/>
      <c r="O39" s="183"/>
      <c r="P39" s="183"/>
      <c r="Q39" s="183"/>
      <c r="R39" s="183"/>
      <c r="S39" s="183"/>
      <c r="T39" s="183"/>
      <c r="U39" s="183"/>
      <c r="V39" s="183"/>
      <c r="W39" s="183"/>
      <c r="X39" s="183"/>
      <c r="Y39" s="183"/>
      <c r="Z39" s="183"/>
      <c r="AA39" s="183"/>
      <c r="AB39" s="183"/>
      <c r="AC39" s="183"/>
      <c r="AD39" s="183"/>
      <c r="AE39" s="183"/>
      <c r="AF39" s="183"/>
      <c r="AG39" s="183"/>
      <c r="AH39" s="183"/>
      <c r="AI39" s="183"/>
      <c r="AJ39" s="183"/>
      <c r="BG39" s="183"/>
      <c r="BH39" s="183"/>
      <c r="BI39" s="183"/>
      <c r="BJ39" s="183"/>
      <c r="BK39" s="183"/>
      <c r="BL39" s="183"/>
      <c r="BM39" s="183"/>
      <c r="BN39" s="183"/>
      <c r="BO39" s="183"/>
      <c r="BP39" s="183"/>
      <c r="BQ39" s="183"/>
    </row>
    <row r="40" spans="1:69" x14ac:dyDescent="0.3">
      <c r="A40" s="694">
        <v>1</v>
      </c>
      <c r="B40" s="695" t="s">
        <v>1046</v>
      </c>
      <c r="C40" s="696" t="s">
        <v>11</v>
      </c>
      <c r="D40" s="697"/>
      <c r="E40" s="698"/>
      <c r="F40" s="1084">
        <f>(F26+F21)/100</f>
        <v>949.12804744677442</v>
      </c>
      <c r="G40" s="1084">
        <f t="shared" ref="G40" si="8">(G26+G21)/100</f>
        <v>134.86326088312401</v>
      </c>
      <c r="H40" s="1084">
        <f>(H26+H21)/100</f>
        <v>1083.9913083298984</v>
      </c>
      <c r="I40" s="1136"/>
      <c r="J40" s="186"/>
      <c r="K40" s="183"/>
      <c r="L40" s="183"/>
      <c r="M40" s="183"/>
      <c r="N40" s="183"/>
      <c r="O40" s="183"/>
      <c r="P40" s="183"/>
      <c r="Q40" s="183"/>
      <c r="R40" s="183"/>
      <c r="S40" s="183"/>
      <c r="T40" s="183"/>
      <c r="U40" s="183"/>
      <c r="V40" s="183"/>
      <c r="W40" s="183"/>
      <c r="X40" s="183"/>
      <c r="Y40" s="183"/>
      <c r="Z40" s="183"/>
      <c r="AA40" s="183"/>
      <c r="AB40" s="183"/>
      <c r="AC40" s="183"/>
      <c r="AD40" s="183"/>
      <c r="AE40" s="183"/>
      <c r="AF40" s="183"/>
      <c r="AG40" s="183"/>
      <c r="AH40" s="183"/>
      <c r="AI40" s="183"/>
      <c r="AJ40" s="183"/>
      <c r="BG40" s="183"/>
      <c r="BH40" s="183"/>
      <c r="BI40" s="183"/>
      <c r="BJ40" s="183"/>
      <c r="BK40" s="183"/>
      <c r="BL40" s="183"/>
      <c r="BM40" s="183"/>
      <c r="BN40" s="183"/>
      <c r="BO40" s="183"/>
      <c r="BP40" s="183"/>
      <c r="BQ40" s="183"/>
    </row>
    <row r="41" spans="1:69" x14ac:dyDescent="0.3">
      <c r="A41" s="694">
        <v>2</v>
      </c>
      <c r="B41" s="695" t="s">
        <v>831</v>
      </c>
      <c r="C41" s="696" t="s">
        <v>11</v>
      </c>
      <c r="D41" s="697"/>
      <c r="E41" s="698"/>
      <c r="F41" s="1084">
        <f>F30/100</f>
        <v>15.7555</v>
      </c>
      <c r="G41" s="1084">
        <f t="shared" ref="G41:H41" si="9">G30/100</f>
        <v>2.8359899999999998</v>
      </c>
      <c r="H41" s="699">
        <f t="shared" si="9"/>
        <v>18.59149</v>
      </c>
      <c r="J41" s="186"/>
      <c r="K41" s="183"/>
      <c r="L41" s="183"/>
      <c r="M41" s="183"/>
      <c r="N41" s="183"/>
      <c r="O41" s="183"/>
      <c r="P41" s="183"/>
      <c r="Q41" s="183"/>
      <c r="R41" s="183"/>
      <c r="S41" s="183"/>
      <c r="T41" s="183"/>
      <c r="U41" s="183"/>
      <c r="V41" s="183"/>
      <c r="W41" s="183"/>
      <c r="X41" s="183"/>
      <c r="Y41" s="183"/>
      <c r="Z41" s="183"/>
      <c r="AA41" s="183"/>
      <c r="AB41" s="183"/>
      <c r="AC41" s="183"/>
      <c r="AD41" s="183"/>
      <c r="AE41" s="183"/>
      <c r="AF41" s="183"/>
      <c r="AG41" s="183"/>
      <c r="AH41" s="183"/>
      <c r="AI41" s="183"/>
      <c r="AJ41" s="183"/>
      <c r="BG41" s="183"/>
      <c r="BH41" s="183"/>
      <c r="BI41" s="183"/>
      <c r="BJ41" s="183"/>
      <c r="BK41" s="183"/>
      <c r="BL41" s="183"/>
      <c r="BM41" s="183"/>
      <c r="BN41" s="183"/>
      <c r="BO41" s="183"/>
      <c r="BP41" s="183"/>
      <c r="BQ41" s="183"/>
    </row>
    <row r="42" spans="1:69" x14ac:dyDescent="0.3">
      <c r="A42" s="694">
        <v>3</v>
      </c>
      <c r="B42" s="695" t="s">
        <v>845</v>
      </c>
      <c r="C42" s="696" t="s">
        <v>11</v>
      </c>
      <c r="D42" s="697"/>
      <c r="E42" s="698"/>
      <c r="F42" s="1084">
        <f>F35/100</f>
        <v>99.851585683390454</v>
      </c>
      <c r="G42" s="1084">
        <f t="shared" ref="G42:H42" si="10">G35/100</f>
        <v>14.00445872218349</v>
      </c>
      <c r="H42" s="1084">
        <f t="shared" si="10"/>
        <v>113.85604440557395</v>
      </c>
      <c r="J42" s="186"/>
      <c r="K42" s="183"/>
      <c r="L42" s="183"/>
      <c r="M42" s="183"/>
      <c r="N42" s="183"/>
      <c r="O42" s="183"/>
      <c r="P42" s="183"/>
      <c r="Q42" s="183"/>
      <c r="R42" s="183"/>
      <c r="S42" s="183"/>
      <c r="T42" s="183"/>
      <c r="U42" s="183"/>
      <c r="V42" s="183"/>
      <c r="W42" s="183"/>
      <c r="X42" s="183"/>
      <c r="Y42" s="183"/>
      <c r="Z42" s="183"/>
      <c r="AA42" s="183"/>
      <c r="AB42" s="183"/>
      <c r="AC42" s="183"/>
      <c r="AD42" s="183"/>
      <c r="AE42" s="183"/>
      <c r="AF42" s="183"/>
      <c r="AG42" s="183"/>
      <c r="AH42" s="183"/>
      <c r="AI42" s="183"/>
      <c r="AJ42" s="183"/>
      <c r="BG42" s="183"/>
      <c r="BH42" s="183"/>
      <c r="BI42" s="183"/>
      <c r="BJ42" s="183"/>
      <c r="BK42" s="183"/>
      <c r="BL42" s="183"/>
      <c r="BM42" s="183"/>
      <c r="BN42" s="183"/>
      <c r="BO42" s="183"/>
      <c r="BP42" s="183"/>
      <c r="BQ42" s="183"/>
    </row>
    <row r="43" spans="1:69" x14ac:dyDescent="0.3">
      <c r="A43" s="266"/>
      <c r="B43" s="266" t="s">
        <v>484</v>
      </c>
      <c r="C43" s="489" t="s">
        <v>11</v>
      </c>
      <c r="D43" s="379"/>
      <c r="E43" s="379"/>
      <c r="F43" s="490">
        <f>SUM(F40:F42)</f>
        <v>1064.7351331301647</v>
      </c>
      <c r="G43" s="490">
        <f>SUM(G40:G42)</f>
        <v>151.70370960530752</v>
      </c>
      <c r="H43" s="490">
        <f>SUM(H40:H42)</f>
        <v>1216.4388427354725</v>
      </c>
      <c r="I43" s="204"/>
      <c r="J43" s="183"/>
      <c r="K43" s="183"/>
      <c r="L43" s="183"/>
      <c r="M43" s="183"/>
      <c r="N43" s="183"/>
      <c r="O43" s="183"/>
      <c r="P43" s="183"/>
      <c r="Q43" s="183"/>
      <c r="R43" s="183"/>
      <c r="S43" s="183"/>
      <c r="T43" s="183"/>
      <c r="U43" s="183"/>
      <c r="V43" s="183"/>
      <c r="W43" s="183"/>
      <c r="X43" s="183"/>
      <c r="Y43" s="183"/>
      <c r="Z43" s="183"/>
      <c r="AA43" s="183"/>
      <c r="AB43" s="183"/>
      <c r="AC43" s="183"/>
      <c r="AD43" s="183"/>
      <c r="AE43" s="183"/>
      <c r="AF43" s="183"/>
      <c r="AG43" s="183"/>
      <c r="AH43" s="183"/>
      <c r="AI43" s="183"/>
      <c r="AJ43" s="183"/>
      <c r="BG43" s="183"/>
      <c r="BH43" s="183"/>
      <c r="BI43" s="183"/>
      <c r="BJ43" s="183"/>
      <c r="BK43" s="183"/>
      <c r="BL43" s="183"/>
      <c r="BM43" s="183"/>
      <c r="BN43" s="183"/>
      <c r="BO43" s="183"/>
      <c r="BP43" s="183"/>
      <c r="BQ43" s="183"/>
    </row>
    <row r="44" spans="1:69" x14ac:dyDescent="0.3">
      <c r="A44" s="1085"/>
      <c r="B44" s="1085" t="s">
        <v>958</v>
      </c>
      <c r="C44" s="1086" t="s">
        <v>11</v>
      </c>
      <c r="D44" s="697"/>
      <c r="E44" s="697"/>
      <c r="F44" s="699"/>
      <c r="G44" s="699"/>
      <c r="H44" s="699">
        <f ca="1">D52</f>
        <v>26.123189689629463</v>
      </c>
      <c r="J44" s="183"/>
      <c r="K44" s="183"/>
      <c r="L44" s="183"/>
      <c r="M44" s="183"/>
      <c r="N44" s="183"/>
      <c r="O44" s="183"/>
      <c r="P44" s="183"/>
      <c r="Q44" s="183"/>
      <c r="R44" s="183"/>
      <c r="S44" s="183"/>
      <c r="T44" s="183"/>
      <c r="U44" s="183"/>
      <c r="V44" s="183"/>
      <c r="W44" s="183"/>
      <c r="X44" s="183"/>
      <c r="Y44" s="183"/>
      <c r="Z44" s="183"/>
      <c r="AA44" s="183"/>
      <c r="AB44" s="183"/>
      <c r="AC44" s="183"/>
      <c r="AD44" s="183"/>
      <c r="AE44" s="183"/>
      <c r="AF44" s="183"/>
      <c r="AG44" s="183"/>
      <c r="AH44" s="183"/>
      <c r="AI44" s="183"/>
      <c r="AJ44" s="183"/>
      <c r="BG44" s="183"/>
      <c r="BH44" s="183"/>
      <c r="BI44" s="183"/>
      <c r="BJ44" s="183"/>
      <c r="BK44" s="183"/>
      <c r="BL44" s="183"/>
      <c r="BM44" s="183"/>
      <c r="BN44" s="183"/>
      <c r="BO44" s="183"/>
      <c r="BP44" s="183"/>
      <c r="BQ44" s="183"/>
    </row>
    <row r="45" spans="1:69" x14ac:dyDescent="0.3">
      <c r="A45" s="266"/>
      <c r="B45" s="266" t="s">
        <v>959</v>
      </c>
      <c r="C45" s="489" t="s">
        <v>11</v>
      </c>
      <c r="D45" s="379"/>
      <c r="E45" s="379"/>
      <c r="F45" s="490"/>
      <c r="G45" s="490"/>
      <c r="H45" s="490">
        <f ca="1">SUM(H43:H44)</f>
        <v>1242.562032425102</v>
      </c>
      <c r="J45" s="183"/>
      <c r="K45" s="183"/>
      <c r="L45" s="183"/>
      <c r="M45" s="183"/>
      <c r="N45" s="183"/>
      <c r="O45" s="183"/>
      <c r="P45" s="183"/>
      <c r="Q45" s="183"/>
      <c r="R45" s="183"/>
      <c r="S45" s="183"/>
      <c r="T45" s="183"/>
      <c r="U45" s="183"/>
      <c r="V45" s="183"/>
      <c r="W45" s="183"/>
      <c r="X45" s="183"/>
      <c r="Y45" s="183"/>
      <c r="Z45" s="183"/>
      <c r="AA45" s="183"/>
      <c r="AB45" s="183"/>
      <c r="AC45" s="183"/>
      <c r="AD45" s="183"/>
      <c r="AE45" s="183"/>
      <c r="AF45" s="183"/>
      <c r="AG45" s="183"/>
      <c r="AH45" s="183"/>
      <c r="AI45" s="183"/>
      <c r="BG45" s="183"/>
      <c r="BH45" s="183"/>
      <c r="BI45" s="183"/>
      <c r="BJ45" s="183"/>
      <c r="BK45" s="183"/>
      <c r="BL45" s="183"/>
      <c r="BM45" s="183"/>
      <c r="BN45" s="183"/>
      <c r="BO45" s="183"/>
      <c r="BP45" s="183"/>
      <c r="BQ45" s="183"/>
    </row>
    <row r="46" spans="1:69" x14ac:dyDescent="0.3">
      <c r="B46" s="80"/>
      <c r="C46" s="80"/>
      <c r="H46" s="81"/>
      <c r="I46" s="409"/>
      <c r="J46" s="183"/>
      <c r="K46" s="183"/>
      <c r="L46" s="183"/>
      <c r="M46" s="183"/>
      <c r="N46" s="183"/>
      <c r="O46" s="183"/>
      <c r="P46" s="183"/>
      <c r="Q46" s="183"/>
      <c r="R46" s="183"/>
      <c r="S46" s="183"/>
      <c r="T46" s="183"/>
      <c r="U46" s="183"/>
      <c r="V46" s="183"/>
      <c r="W46" s="183"/>
      <c r="X46" s="183"/>
      <c r="Y46" s="183"/>
      <c r="Z46" s="183"/>
      <c r="AA46" s="183"/>
      <c r="AB46" s="183"/>
      <c r="AC46" s="183"/>
      <c r="AD46" s="183"/>
      <c r="AE46" s="183"/>
      <c r="AF46" s="183"/>
      <c r="AG46" s="183"/>
      <c r="AH46" s="183"/>
      <c r="AI46" s="183"/>
      <c r="BG46" s="183"/>
      <c r="BH46" s="183"/>
      <c r="BI46" s="183"/>
      <c r="BJ46" s="183"/>
      <c r="BK46" s="183"/>
      <c r="BL46" s="183"/>
      <c r="BM46" s="183"/>
      <c r="BN46" s="183"/>
      <c r="BO46" s="183"/>
      <c r="BP46" s="183"/>
      <c r="BQ46" s="183"/>
    </row>
    <row r="47" spans="1:69" x14ac:dyDescent="0.3">
      <c r="A47" s="553" t="s">
        <v>12</v>
      </c>
      <c r="B47" s="553"/>
      <c r="C47" s="554"/>
      <c r="D47" s="555"/>
      <c r="E47" s="556"/>
      <c r="F47" s="557"/>
      <c r="G47" s="557"/>
      <c r="H47" s="557"/>
      <c r="I47" s="557"/>
      <c r="J47" s="557"/>
      <c r="K47" s="558"/>
      <c r="L47" s="558"/>
      <c r="M47" s="558"/>
      <c r="N47" s="558"/>
      <c r="O47" s="558"/>
      <c r="P47" s="558"/>
      <c r="Q47" s="558"/>
      <c r="R47" s="558"/>
      <c r="S47" s="558"/>
      <c r="T47" s="558"/>
      <c r="U47" s="558"/>
      <c r="V47" s="558"/>
      <c r="W47" s="558"/>
      <c r="X47" s="558"/>
      <c r="Y47" s="558"/>
      <c r="Z47" s="558"/>
      <c r="AA47" s="558"/>
      <c r="AB47" s="558"/>
      <c r="AC47" s="558"/>
      <c r="AD47" s="558"/>
      <c r="AE47" s="558"/>
      <c r="AF47" s="558"/>
      <c r="AG47" s="558"/>
      <c r="AH47" s="558"/>
      <c r="AI47" s="558"/>
      <c r="BG47" s="183"/>
      <c r="BH47" s="183"/>
      <c r="BI47" s="183"/>
      <c r="BJ47" s="183"/>
      <c r="BK47" s="183"/>
      <c r="BL47" s="183"/>
      <c r="BM47" s="183"/>
      <c r="BN47" s="183"/>
      <c r="BO47" s="183"/>
      <c r="BP47" s="183"/>
      <c r="BQ47" s="183"/>
    </row>
    <row r="48" spans="1:69" x14ac:dyDescent="0.3">
      <c r="A48" s="945">
        <v>1</v>
      </c>
      <c r="B48" s="3" t="s">
        <v>1046</v>
      </c>
      <c r="C48" s="191" t="s">
        <v>11</v>
      </c>
      <c r="D48" s="192">
        <f t="shared" ref="D48:D51" si="11">SUM(E48:AI48)</f>
        <v>1083.9913083298984</v>
      </c>
      <c r="E48" s="193">
        <f>$H$40*Input!E$241</f>
        <v>559.93325909780879</v>
      </c>
      <c r="F48" s="193">
        <f>$H$40*Input!F$241</f>
        <v>524.05804923208962</v>
      </c>
      <c r="G48" s="193">
        <f>$H$40*Input!H$241</f>
        <v>0</v>
      </c>
      <c r="H48" s="193">
        <f>$H$40*Input!I$241</f>
        <v>0</v>
      </c>
      <c r="I48" s="193">
        <f>$H$40*Input!J$241</f>
        <v>0</v>
      </c>
      <c r="J48" s="193">
        <f>$H$40*Input!K$241</f>
        <v>0</v>
      </c>
      <c r="K48" s="193">
        <f>$H$40*Input!L$241</f>
        <v>0</v>
      </c>
      <c r="L48" s="193">
        <f>$H$40*Input!M$241</f>
        <v>0</v>
      </c>
      <c r="M48" s="193">
        <f>$H$40*Input!N$241</f>
        <v>0</v>
      </c>
      <c r="N48" s="193">
        <f>$H$40*Input!O$241</f>
        <v>0</v>
      </c>
      <c r="O48" s="193">
        <f>$H$40*Input!P$241</f>
        <v>0</v>
      </c>
      <c r="P48" s="193">
        <f>$H$40*Input!Q$241</f>
        <v>0</v>
      </c>
      <c r="Q48" s="193">
        <f>$H$40*Input!R$241</f>
        <v>0</v>
      </c>
      <c r="R48" s="193">
        <f>$H$40*Input!S$241</f>
        <v>0</v>
      </c>
      <c r="S48" s="193">
        <f>$H$40*Input!T$241</f>
        <v>0</v>
      </c>
      <c r="T48" s="193">
        <f>$H$40*Input!U$241</f>
        <v>0</v>
      </c>
      <c r="U48" s="193">
        <f>$H$40*Input!V$241</f>
        <v>0</v>
      </c>
      <c r="V48" s="193">
        <f>$H$40*Input!W$241</f>
        <v>0</v>
      </c>
      <c r="W48" s="193">
        <f>$H$40*Input!X$241</f>
        <v>0</v>
      </c>
      <c r="X48" s="193">
        <f>$H$40*Input!Y$241</f>
        <v>0</v>
      </c>
      <c r="Y48" s="193">
        <f>$H$40*Input!Z$241</f>
        <v>0</v>
      </c>
      <c r="Z48" s="193">
        <f>$H$40*Input!AA$241</f>
        <v>0</v>
      </c>
      <c r="AA48" s="193">
        <f>$H$40*Input!AB$241</f>
        <v>0</v>
      </c>
      <c r="AB48" s="193">
        <f>$H$40*Input!AC$241</f>
        <v>0</v>
      </c>
      <c r="AC48" s="193">
        <f>$H$40*Input!AD$241</f>
        <v>0</v>
      </c>
      <c r="AD48" s="193">
        <f>$H$40*Input!AE$241</f>
        <v>0</v>
      </c>
      <c r="AE48" s="193">
        <f>$H$40*Input!AF$241</f>
        <v>0</v>
      </c>
      <c r="AF48" s="193">
        <f>$H$40*Input!AG$241</f>
        <v>0</v>
      </c>
      <c r="AG48" s="193">
        <f>$H$40*Input!AH$241</f>
        <v>0</v>
      </c>
      <c r="AH48" s="193">
        <f>$H$40*Input!AI$241</f>
        <v>0</v>
      </c>
      <c r="AI48" s="193">
        <f>$H$40*Input!AJ$241</f>
        <v>0</v>
      </c>
      <c r="BG48" s="183"/>
      <c r="BH48" s="183"/>
      <c r="BI48" s="183"/>
      <c r="BJ48" s="183"/>
      <c r="BK48" s="183"/>
      <c r="BL48" s="183"/>
      <c r="BM48" s="183"/>
      <c r="BN48" s="183"/>
      <c r="BO48" s="183"/>
      <c r="BP48" s="183"/>
      <c r="BQ48" s="183"/>
    </row>
    <row r="49" spans="1:69" x14ac:dyDescent="0.3">
      <c r="A49" s="945">
        <v>2</v>
      </c>
      <c r="B49" s="3" t="s">
        <v>831</v>
      </c>
      <c r="C49" s="191" t="s">
        <v>11</v>
      </c>
      <c r="D49" s="192">
        <f t="shared" si="11"/>
        <v>18.59149</v>
      </c>
      <c r="E49" s="193">
        <f>$H$41*Input!E$242</f>
        <v>5.5774470000000003</v>
      </c>
      <c r="F49" s="193">
        <f>$H$41*Input!F$242</f>
        <v>13.014042999999999</v>
      </c>
      <c r="G49" s="193">
        <f>$H$41*Input!H$242</f>
        <v>0</v>
      </c>
      <c r="H49" s="193">
        <f>$H$41*Input!I$242</f>
        <v>0</v>
      </c>
      <c r="I49" s="193">
        <f>$H$41*Input!J$242</f>
        <v>0</v>
      </c>
      <c r="J49" s="193">
        <f>$H$41*Input!K$242</f>
        <v>0</v>
      </c>
      <c r="K49" s="193">
        <f>$H$41*Input!L$242</f>
        <v>0</v>
      </c>
      <c r="L49" s="193">
        <f>$H$41*Input!M$242</f>
        <v>0</v>
      </c>
      <c r="M49" s="193">
        <f>$H$41*Input!N$242</f>
        <v>0</v>
      </c>
      <c r="N49" s="193">
        <f>$H$41*Input!O$242</f>
        <v>0</v>
      </c>
      <c r="O49" s="193">
        <f>$H$41*Input!P$242</f>
        <v>0</v>
      </c>
      <c r="P49" s="193">
        <f>$H$41*Input!Q$242</f>
        <v>0</v>
      </c>
      <c r="Q49" s="193">
        <f>$H$41*Input!R$242</f>
        <v>0</v>
      </c>
      <c r="R49" s="193">
        <f>$H$41*Input!S$242</f>
        <v>0</v>
      </c>
      <c r="S49" s="193">
        <f>$H$41*Input!T$242</f>
        <v>0</v>
      </c>
      <c r="T49" s="193">
        <f>$H$41*Input!U$242</f>
        <v>0</v>
      </c>
      <c r="U49" s="193">
        <f>$H$41*Input!V$242</f>
        <v>0</v>
      </c>
      <c r="V49" s="193">
        <f>$H$41*Input!W$242</f>
        <v>0</v>
      </c>
      <c r="W49" s="193">
        <f>$H$41*Input!X$242</f>
        <v>0</v>
      </c>
      <c r="X49" s="193">
        <f>$H$41*Input!Y$242</f>
        <v>0</v>
      </c>
      <c r="Y49" s="193">
        <f>$H$41*Input!Z$242</f>
        <v>0</v>
      </c>
      <c r="Z49" s="193">
        <f>$H$41*Input!AA$242</f>
        <v>0</v>
      </c>
      <c r="AA49" s="193">
        <f>$H$41*Input!AB$242</f>
        <v>0</v>
      </c>
      <c r="AB49" s="193">
        <f>$H$41*Input!AC$242</f>
        <v>0</v>
      </c>
      <c r="AC49" s="193">
        <f>$H$41*Input!AD$242</f>
        <v>0</v>
      </c>
      <c r="AD49" s="193">
        <f>$H$41*Input!AE$242</f>
        <v>0</v>
      </c>
      <c r="AE49" s="193">
        <f>$H$41*Input!AF$242</f>
        <v>0</v>
      </c>
      <c r="AF49" s="193">
        <f>$H$41*Input!AG$242</f>
        <v>0</v>
      </c>
      <c r="AG49" s="193">
        <f>$H$41*Input!AH$242</f>
        <v>0</v>
      </c>
      <c r="AH49" s="193">
        <f>$H$41*Input!AI$242</f>
        <v>0</v>
      </c>
      <c r="AI49" s="193">
        <f>$H$41*Input!AJ$242</f>
        <v>0</v>
      </c>
      <c r="BG49" s="183"/>
      <c r="BH49" s="183"/>
      <c r="BI49" s="183"/>
      <c r="BJ49" s="183"/>
      <c r="BK49" s="183"/>
      <c r="BL49" s="183"/>
      <c r="BM49" s="183"/>
      <c r="BN49" s="183"/>
      <c r="BO49" s="183"/>
      <c r="BP49" s="183"/>
      <c r="BQ49" s="183"/>
    </row>
    <row r="50" spans="1:69" x14ac:dyDescent="0.3">
      <c r="A50" s="1088">
        <v>3</v>
      </c>
      <c r="B50" s="3" t="s">
        <v>845</v>
      </c>
      <c r="C50" s="191" t="s">
        <v>11</v>
      </c>
      <c r="D50" s="192">
        <f t="shared" si="11"/>
        <v>113.85604440557397</v>
      </c>
      <c r="E50" s="194">
        <f>$H$42*Input!E$243</f>
        <v>11.385604440557396</v>
      </c>
      <c r="F50" s="194">
        <f>$H$42*Input!F$243</f>
        <v>102.47043996501657</v>
      </c>
      <c r="G50" s="194">
        <f>$H$42*Input!H$243</f>
        <v>0</v>
      </c>
      <c r="H50" s="194">
        <f>$H$42*Input!I$243</f>
        <v>0</v>
      </c>
      <c r="I50" s="194">
        <f>$H$42*Input!J$243</f>
        <v>0</v>
      </c>
      <c r="J50" s="194">
        <f>$H$42*Input!K$243</f>
        <v>0</v>
      </c>
      <c r="K50" s="194">
        <f>$H$42*Input!L$243</f>
        <v>0</v>
      </c>
      <c r="L50" s="194">
        <f>$H$42*Input!M$243</f>
        <v>0</v>
      </c>
      <c r="M50" s="194">
        <f>$H$42*Input!N$243</f>
        <v>0</v>
      </c>
      <c r="N50" s="194">
        <f>$H$42*Input!O$243</f>
        <v>0</v>
      </c>
      <c r="O50" s="194">
        <f>$H$42*Input!P$243</f>
        <v>0</v>
      </c>
      <c r="P50" s="194">
        <f>$H$42*Input!Q$243</f>
        <v>0</v>
      </c>
      <c r="Q50" s="194">
        <f>$H$42*Input!R$243</f>
        <v>0</v>
      </c>
      <c r="R50" s="194">
        <f>$H$42*Input!S$243</f>
        <v>0</v>
      </c>
      <c r="S50" s="194">
        <f>$H$42*Input!T$243</f>
        <v>0</v>
      </c>
      <c r="T50" s="194">
        <f>$H$42*Input!U$243</f>
        <v>0</v>
      </c>
      <c r="U50" s="194">
        <f>$H$42*Input!V$243</f>
        <v>0</v>
      </c>
      <c r="V50" s="194">
        <f>$H$42*Input!W$243</f>
        <v>0</v>
      </c>
      <c r="W50" s="194">
        <f>$H$42*Input!X$243</f>
        <v>0</v>
      </c>
      <c r="X50" s="194">
        <f>$H$42*Input!Y$243</f>
        <v>0</v>
      </c>
      <c r="Y50" s="194">
        <f>$H$42*Input!Z$243</f>
        <v>0</v>
      </c>
      <c r="Z50" s="194">
        <f>$H$42*Input!AA$243</f>
        <v>0</v>
      </c>
      <c r="AA50" s="194">
        <f>$H$42*Input!AB$243</f>
        <v>0</v>
      </c>
      <c r="AB50" s="194">
        <f>$H$42*Input!AC$243</f>
        <v>0</v>
      </c>
      <c r="AC50" s="194">
        <f>$H$42*Input!AD$243</f>
        <v>0</v>
      </c>
      <c r="AD50" s="194">
        <f>$H$42*Input!AE$243</f>
        <v>0</v>
      </c>
      <c r="AE50" s="194">
        <f>$H$42*Input!AF$243</f>
        <v>0</v>
      </c>
      <c r="AF50" s="194">
        <f>$H$42*Input!AG$243</f>
        <v>0</v>
      </c>
      <c r="AG50" s="194">
        <f>$H$42*Input!AH$243</f>
        <v>0</v>
      </c>
      <c r="AH50" s="194">
        <f>$H$42*Input!AI$243</f>
        <v>0</v>
      </c>
      <c r="AI50" s="194">
        <f>$H$42*Input!AJ$243</f>
        <v>0</v>
      </c>
      <c r="BG50" s="183"/>
      <c r="BH50" s="183"/>
      <c r="BI50" s="183"/>
      <c r="BJ50" s="183"/>
      <c r="BK50" s="183"/>
      <c r="BL50" s="183"/>
      <c r="BM50" s="183"/>
      <c r="BN50" s="183"/>
      <c r="BO50" s="183"/>
      <c r="BP50" s="183"/>
      <c r="BQ50" s="183"/>
    </row>
    <row r="51" spans="1:69" x14ac:dyDescent="0.3">
      <c r="A51" s="2"/>
      <c r="B51" s="178" t="s">
        <v>214</v>
      </c>
      <c r="C51" s="195" t="s">
        <v>11</v>
      </c>
      <c r="D51" s="196">
        <f t="shared" si="11"/>
        <v>1216.4388427354725</v>
      </c>
      <c r="E51" s="197">
        <f t="shared" ref="E51:AI51" si="12">SUM(E48:E50)</f>
        <v>576.89631053836615</v>
      </c>
      <c r="F51" s="197">
        <f t="shared" si="12"/>
        <v>639.5425321971062</v>
      </c>
      <c r="G51" s="197">
        <f t="shared" si="12"/>
        <v>0</v>
      </c>
      <c r="H51" s="197">
        <f t="shared" si="12"/>
        <v>0</v>
      </c>
      <c r="I51" s="197">
        <f t="shared" si="12"/>
        <v>0</v>
      </c>
      <c r="J51" s="197">
        <f t="shared" si="12"/>
        <v>0</v>
      </c>
      <c r="K51" s="197">
        <f t="shared" si="12"/>
        <v>0</v>
      </c>
      <c r="L51" s="197">
        <f t="shared" si="12"/>
        <v>0</v>
      </c>
      <c r="M51" s="197">
        <f t="shared" si="12"/>
        <v>0</v>
      </c>
      <c r="N51" s="197">
        <f t="shared" si="12"/>
        <v>0</v>
      </c>
      <c r="O51" s="197">
        <f t="shared" si="12"/>
        <v>0</v>
      </c>
      <c r="P51" s="197">
        <f t="shared" si="12"/>
        <v>0</v>
      </c>
      <c r="Q51" s="197">
        <f t="shared" si="12"/>
        <v>0</v>
      </c>
      <c r="R51" s="197">
        <f t="shared" si="12"/>
        <v>0</v>
      </c>
      <c r="S51" s="197">
        <f t="shared" si="12"/>
        <v>0</v>
      </c>
      <c r="T51" s="197">
        <f t="shared" si="12"/>
        <v>0</v>
      </c>
      <c r="U51" s="197">
        <f t="shared" si="12"/>
        <v>0</v>
      </c>
      <c r="V51" s="197">
        <f t="shared" si="12"/>
        <v>0</v>
      </c>
      <c r="W51" s="197">
        <f t="shared" si="12"/>
        <v>0</v>
      </c>
      <c r="X51" s="197">
        <f t="shared" si="12"/>
        <v>0</v>
      </c>
      <c r="Y51" s="197">
        <f t="shared" si="12"/>
        <v>0</v>
      </c>
      <c r="Z51" s="197">
        <f t="shared" si="12"/>
        <v>0</v>
      </c>
      <c r="AA51" s="197">
        <f t="shared" si="12"/>
        <v>0</v>
      </c>
      <c r="AB51" s="197">
        <f t="shared" si="12"/>
        <v>0</v>
      </c>
      <c r="AC51" s="197">
        <f t="shared" si="12"/>
        <v>0</v>
      </c>
      <c r="AD51" s="197">
        <f t="shared" si="12"/>
        <v>0</v>
      </c>
      <c r="AE51" s="197">
        <f t="shared" si="12"/>
        <v>0</v>
      </c>
      <c r="AF51" s="197">
        <f t="shared" si="12"/>
        <v>0</v>
      </c>
      <c r="AG51" s="197">
        <f t="shared" si="12"/>
        <v>0</v>
      </c>
      <c r="AH51" s="197">
        <f t="shared" si="12"/>
        <v>0</v>
      </c>
      <c r="AI51" s="197">
        <f t="shared" si="12"/>
        <v>0</v>
      </c>
    </row>
    <row r="52" spans="1:69" x14ac:dyDescent="0.3">
      <c r="A52" s="2"/>
      <c r="B52" s="3" t="s">
        <v>1</v>
      </c>
      <c r="C52" s="198" t="s">
        <v>11</v>
      </c>
      <c r="D52" s="1117">
        <f ca="1">SUM(E52:AI52)</f>
        <v>26.123189689629463</v>
      </c>
      <c r="E52" s="199">
        <f ca="1">IF(Input!$L$2,E90+E80,0)</f>
        <v>5.1522659275677096</v>
      </c>
      <c r="F52" s="199">
        <f ca="1">IF(Input!$L$2,F90+F80,0)</f>
        <v>20.970923762061755</v>
      </c>
      <c r="G52" s="199">
        <f ca="1">IF(Input!$L$2,G90+G80,0)</f>
        <v>0</v>
      </c>
      <c r="H52" s="199">
        <f ca="1">IF(Input!$L$2,H90+H80,0)</f>
        <v>0</v>
      </c>
      <c r="I52" s="199">
        <f ca="1">IF(Input!$L$2,I90+I80,0)</f>
        <v>0</v>
      </c>
      <c r="J52" s="199">
        <f ca="1">IF(Input!$L$2,J90+J80,0)</f>
        <v>0</v>
      </c>
      <c r="K52" s="199">
        <f ca="1">IF(Input!$L$2,K90+K80,0)</f>
        <v>0</v>
      </c>
      <c r="L52" s="199">
        <f ca="1">IF(Input!$L$2,L90+L80,0)</f>
        <v>0</v>
      </c>
      <c r="M52" s="199">
        <f ca="1">IF(Input!$L$2,M90+M80,0)</f>
        <v>0</v>
      </c>
      <c r="N52" s="199">
        <f ca="1">IF(Input!$L$2,N90+N80,0)</f>
        <v>0</v>
      </c>
      <c r="O52" s="199">
        <f ca="1">IF(Input!$L$2,O90+O80,0)</f>
        <v>0</v>
      </c>
      <c r="P52" s="199">
        <f ca="1">IF(Input!$L$2,P90+P80,0)</f>
        <v>0</v>
      </c>
      <c r="Q52" s="199">
        <f ca="1">IF(Input!$L$2,Q90+Q80,0)</f>
        <v>0</v>
      </c>
      <c r="R52" s="199">
        <f ca="1">IF(Input!$L$2,R90+R80,0)</f>
        <v>0</v>
      </c>
      <c r="S52" s="199">
        <f ca="1">IF(Input!$L$2,S90+S80,0)</f>
        <v>0</v>
      </c>
      <c r="T52" s="199">
        <f ca="1">IF(Input!$L$2,T90+T80,0)</f>
        <v>0</v>
      </c>
      <c r="U52" s="199">
        <f ca="1">IF(Input!$L$2,U90+U80,0)</f>
        <v>0</v>
      </c>
      <c r="V52" s="199">
        <f ca="1">IF(Input!$L$2,V90+V80,0)</f>
        <v>0</v>
      </c>
      <c r="W52" s="199">
        <f ca="1">IF(Input!$L$2,W90+W80,0)</f>
        <v>0</v>
      </c>
      <c r="X52" s="199">
        <f ca="1">IF(Input!$L$2,X90+X80,0)</f>
        <v>0</v>
      </c>
      <c r="Y52" s="199">
        <f ca="1">IF(Input!$L$2,Y90+Y80,0)</f>
        <v>0</v>
      </c>
      <c r="Z52" s="199">
        <f ca="1">IF(Input!$L$2,Z90+Z80,0)</f>
        <v>0</v>
      </c>
      <c r="AA52" s="199">
        <f ca="1">IF(Input!$L$2,AA90+AA80,0)</f>
        <v>0</v>
      </c>
      <c r="AB52" s="199">
        <f ca="1">IF(Input!$L$2,AB90+AB80,0)</f>
        <v>0</v>
      </c>
      <c r="AC52" s="199">
        <f ca="1">IF(Input!$L$2,AC90+AC80,0)</f>
        <v>0</v>
      </c>
      <c r="AD52" s="199">
        <f ca="1">IF(Input!$L$2,AD90+AD80,0)</f>
        <v>0</v>
      </c>
      <c r="AE52" s="199">
        <f ca="1">IF(Input!$L$2,AE90+AE80,0)</f>
        <v>0</v>
      </c>
      <c r="AF52" s="199">
        <f ca="1">IF(Input!$L$2,AF90+AF80,0)</f>
        <v>0</v>
      </c>
      <c r="AG52" s="199">
        <f ca="1">IF(Input!$L$2,AG90+AG80,0)</f>
        <v>0</v>
      </c>
      <c r="AH52" s="199">
        <f ca="1">IF(Input!$L$2,AH90+AH80,0)</f>
        <v>0</v>
      </c>
      <c r="AI52" s="199">
        <f ca="1">IF(Input!$L$2,AI90+AI80,0)</f>
        <v>0</v>
      </c>
    </row>
    <row r="53" spans="1:69" x14ac:dyDescent="0.3">
      <c r="A53" s="8"/>
      <c r="B53" s="7" t="s">
        <v>455</v>
      </c>
      <c r="C53" s="200" t="s">
        <v>11</v>
      </c>
      <c r="D53" s="192">
        <f ca="1">SUM(E53:AI53)</f>
        <v>1242.5620324251017</v>
      </c>
      <c r="E53" s="201">
        <f ca="1">(E51+E52)*(1+Input!$I$10)</f>
        <v>582.04857646593382</v>
      </c>
      <c r="F53" s="201">
        <f ca="1">(F51+F52)*(1+Input!$I$10)</f>
        <v>660.51345595916791</v>
      </c>
      <c r="G53" s="201">
        <f t="shared" ref="G53:AI53" ca="1" si="13">G51+G52</f>
        <v>0</v>
      </c>
      <c r="H53" s="201">
        <f t="shared" ca="1" si="13"/>
        <v>0</v>
      </c>
      <c r="I53" s="201">
        <f t="shared" ca="1" si="13"/>
        <v>0</v>
      </c>
      <c r="J53" s="201">
        <f t="shared" ca="1" si="13"/>
        <v>0</v>
      </c>
      <c r="K53" s="201">
        <f t="shared" ca="1" si="13"/>
        <v>0</v>
      </c>
      <c r="L53" s="201">
        <f t="shared" ca="1" si="13"/>
        <v>0</v>
      </c>
      <c r="M53" s="201">
        <f t="shared" ca="1" si="13"/>
        <v>0</v>
      </c>
      <c r="N53" s="201">
        <f t="shared" ca="1" si="13"/>
        <v>0</v>
      </c>
      <c r="O53" s="201">
        <f t="shared" ca="1" si="13"/>
        <v>0</v>
      </c>
      <c r="P53" s="201">
        <f t="shared" ca="1" si="13"/>
        <v>0</v>
      </c>
      <c r="Q53" s="201">
        <f t="shared" ca="1" si="13"/>
        <v>0</v>
      </c>
      <c r="R53" s="201">
        <f t="shared" ca="1" si="13"/>
        <v>0</v>
      </c>
      <c r="S53" s="201">
        <f t="shared" ca="1" si="13"/>
        <v>0</v>
      </c>
      <c r="T53" s="201">
        <f t="shared" ca="1" si="13"/>
        <v>0</v>
      </c>
      <c r="U53" s="201">
        <f t="shared" ca="1" si="13"/>
        <v>0</v>
      </c>
      <c r="V53" s="201">
        <f t="shared" ca="1" si="13"/>
        <v>0</v>
      </c>
      <c r="W53" s="201">
        <f t="shared" ca="1" si="13"/>
        <v>0</v>
      </c>
      <c r="X53" s="201">
        <f t="shared" ca="1" si="13"/>
        <v>0</v>
      </c>
      <c r="Y53" s="201">
        <f t="shared" ca="1" si="13"/>
        <v>0</v>
      </c>
      <c r="Z53" s="201">
        <f t="shared" ca="1" si="13"/>
        <v>0</v>
      </c>
      <c r="AA53" s="201">
        <f t="shared" ca="1" si="13"/>
        <v>0</v>
      </c>
      <c r="AB53" s="201">
        <f t="shared" ca="1" si="13"/>
        <v>0</v>
      </c>
      <c r="AC53" s="201">
        <f t="shared" ca="1" si="13"/>
        <v>0</v>
      </c>
      <c r="AD53" s="201">
        <f t="shared" ca="1" si="13"/>
        <v>0</v>
      </c>
      <c r="AE53" s="201">
        <f t="shared" ca="1" si="13"/>
        <v>0</v>
      </c>
      <c r="AF53" s="201">
        <f t="shared" ca="1" si="13"/>
        <v>0</v>
      </c>
      <c r="AG53" s="201">
        <f t="shared" ca="1" si="13"/>
        <v>0</v>
      </c>
      <c r="AH53" s="201">
        <f t="shared" ca="1" si="13"/>
        <v>0</v>
      </c>
      <c r="AI53" s="201">
        <f t="shared" ca="1" si="13"/>
        <v>0</v>
      </c>
    </row>
    <row r="54" spans="1:69" x14ac:dyDescent="0.3">
      <c r="A54" s="8"/>
      <c r="D54" s="5"/>
      <c r="E54" s="81"/>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row>
    <row r="55" spans="1:69" x14ac:dyDescent="0.3">
      <c r="A55" s="5"/>
      <c r="B55" s="5" t="s">
        <v>8</v>
      </c>
      <c r="C55" s="198" t="s">
        <v>0</v>
      </c>
      <c r="D55" s="205"/>
      <c r="E55" s="206">
        <f>Input!E245</f>
        <v>0.7</v>
      </c>
      <c r="F55" s="206">
        <f>Input!F245</f>
        <v>0.7</v>
      </c>
      <c r="G55" s="206">
        <f>Input!H245</f>
        <v>0.7</v>
      </c>
      <c r="H55" s="206">
        <f>Input!J245</f>
        <v>0.7</v>
      </c>
      <c r="I55" s="206">
        <f>Input!K245</f>
        <v>0.7</v>
      </c>
      <c r="J55" s="206">
        <f>Input!L245</f>
        <v>0.7</v>
      </c>
      <c r="K55" s="206">
        <f>Input!M245</f>
        <v>0.7</v>
      </c>
      <c r="L55" s="206">
        <f>Input!N245</f>
        <v>0.7</v>
      </c>
      <c r="M55" s="206">
        <f>Input!O245</f>
        <v>0.7</v>
      </c>
      <c r="N55" s="206">
        <f>Input!P245</f>
        <v>0.7</v>
      </c>
      <c r="O55" s="206">
        <f>Input!Q245</f>
        <v>0.7</v>
      </c>
      <c r="P55" s="206">
        <f>Input!R245</f>
        <v>0.7</v>
      </c>
      <c r="Q55" s="206">
        <f>Input!S245</f>
        <v>0.7</v>
      </c>
      <c r="R55" s="206">
        <f>Input!T245</f>
        <v>0.7</v>
      </c>
      <c r="S55" s="206">
        <f>Input!U245</f>
        <v>0.7</v>
      </c>
      <c r="T55" s="206">
        <f>Input!V245</f>
        <v>0.7</v>
      </c>
      <c r="U55" s="206">
        <f>Input!W245</f>
        <v>0.7</v>
      </c>
      <c r="V55" s="206">
        <f>Input!X245</f>
        <v>0.7</v>
      </c>
      <c r="W55" s="206">
        <f>Input!Y245</f>
        <v>0.7</v>
      </c>
      <c r="X55" s="206">
        <f>Input!Z245</f>
        <v>0.7</v>
      </c>
      <c r="Y55" s="206">
        <f>Input!AA245</f>
        <v>0.7</v>
      </c>
      <c r="Z55" s="206">
        <f>Input!AB245</f>
        <v>0.7</v>
      </c>
      <c r="AA55" s="206">
        <f>Input!AC245</f>
        <v>0.7</v>
      </c>
      <c r="AB55" s="206">
        <f>Input!AD245</f>
        <v>0.7</v>
      </c>
      <c r="AC55" s="206">
        <f>Input!AE245</f>
        <v>0.7</v>
      </c>
      <c r="AD55" s="206">
        <f>Input!AF245</f>
        <v>0.7</v>
      </c>
      <c r="AE55" s="206">
        <f>Input!AG245</f>
        <v>0.7</v>
      </c>
      <c r="AF55" s="206">
        <f>Input!AH245</f>
        <v>0.7</v>
      </c>
      <c r="AG55" s="206">
        <f>Input!AI245</f>
        <v>0.7</v>
      </c>
      <c r="AH55" s="206">
        <f>Input!AJ245</f>
        <v>0.7</v>
      </c>
      <c r="AI55" s="206">
        <f>Input!AK245</f>
        <v>0.7</v>
      </c>
    </row>
    <row r="56" spans="1:69" x14ac:dyDescent="0.3">
      <c r="A56" s="5"/>
      <c r="B56" s="5" t="s">
        <v>52</v>
      </c>
      <c r="C56" s="198" t="s">
        <v>0</v>
      </c>
      <c r="D56" s="205"/>
      <c r="E56" s="206">
        <f>Input!E246</f>
        <v>0</v>
      </c>
      <c r="F56" s="206">
        <f>Input!F246</f>
        <v>0</v>
      </c>
      <c r="G56" s="206">
        <f>Input!H246</f>
        <v>0</v>
      </c>
      <c r="H56" s="206">
        <f>Input!J246</f>
        <v>0</v>
      </c>
      <c r="I56" s="206">
        <f>Input!K246</f>
        <v>0</v>
      </c>
      <c r="J56" s="206">
        <f>Input!L246</f>
        <v>0</v>
      </c>
      <c r="K56" s="206">
        <f>Input!M246</f>
        <v>0</v>
      </c>
      <c r="L56" s="206">
        <f>Input!N246</f>
        <v>0</v>
      </c>
      <c r="M56" s="206">
        <f>Input!O246</f>
        <v>0</v>
      </c>
      <c r="N56" s="206">
        <f>Input!P246</f>
        <v>0</v>
      </c>
      <c r="O56" s="206">
        <f>Input!Q246</f>
        <v>0</v>
      </c>
      <c r="P56" s="206">
        <f>Input!R246</f>
        <v>0</v>
      </c>
      <c r="Q56" s="206">
        <f>Input!S246</f>
        <v>0</v>
      </c>
      <c r="R56" s="206">
        <f>Input!T246</f>
        <v>0</v>
      </c>
      <c r="S56" s="206">
        <f>Input!U246</f>
        <v>0</v>
      </c>
      <c r="T56" s="206">
        <f>Input!V246</f>
        <v>0</v>
      </c>
      <c r="U56" s="206">
        <f>Input!W246</f>
        <v>0</v>
      </c>
      <c r="V56" s="206">
        <f>Input!X246</f>
        <v>0</v>
      </c>
      <c r="W56" s="206">
        <f>Input!Y246</f>
        <v>0</v>
      </c>
      <c r="X56" s="206">
        <f>Input!Z246</f>
        <v>0</v>
      </c>
      <c r="Y56" s="206">
        <f>Input!AA246</f>
        <v>0</v>
      </c>
      <c r="Z56" s="206">
        <f>Input!AB246</f>
        <v>0</v>
      </c>
      <c r="AA56" s="206">
        <f>Input!AC246</f>
        <v>0</v>
      </c>
      <c r="AB56" s="206">
        <f>Input!AD246</f>
        <v>0</v>
      </c>
      <c r="AC56" s="206">
        <f>Input!AE246</f>
        <v>0</v>
      </c>
      <c r="AD56" s="206">
        <f>Input!AF246</f>
        <v>0</v>
      </c>
      <c r="AE56" s="206">
        <f>Input!AG246</f>
        <v>0</v>
      </c>
      <c r="AF56" s="206">
        <f>Input!AH246</f>
        <v>0</v>
      </c>
      <c r="AG56" s="206">
        <f>Input!AI246</f>
        <v>0</v>
      </c>
      <c r="AH56" s="206">
        <f>Input!AJ246</f>
        <v>0</v>
      </c>
      <c r="AI56" s="206">
        <f>Input!AK246</f>
        <v>0</v>
      </c>
    </row>
    <row r="57" spans="1:69" x14ac:dyDescent="0.3">
      <c r="A57" s="5"/>
      <c r="B57" s="5" t="s">
        <v>112</v>
      </c>
      <c r="C57" s="198" t="s">
        <v>0</v>
      </c>
      <c r="D57" s="205"/>
      <c r="E57" s="206">
        <f>Input!E247</f>
        <v>0</v>
      </c>
      <c r="F57" s="206">
        <f>Input!F247</f>
        <v>0</v>
      </c>
      <c r="G57" s="206">
        <f>Input!H247</f>
        <v>0</v>
      </c>
      <c r="H57" s="206">
        <f>Input!J247</f>
        <v>0</v>
      </c>
      <c r="I57" s="206">
        <f>Input!K247</f>
        <v>0</v>
      </c>
      <c r="J57" s="206">
        <f>Input!L247</f>
        <v>0</v>
      </c>
      <c r="K57" s="206">
        <f>Input!M247</f>
        <v>0</v>
      </c>
      <c r="L57" s="206">
        <f>Input!N247</f>
        <v>0</v>
      </c>
      <c r="M57" s="206">
        <f>Input!O247</f>
        <v>0</v>
      </c>
      <c r="N57" s="206">
        <f>Input!P247</f>
        <v>0</v>
      </c>
      <c r="O57" s="206">
        <f>Input!Q247</f>
        <v>0</v>
      </c>
      <c r="P57" s="206">
        <f>Input!R247</f>
        <v>0</v>
      </c>
      <c r="Q57" s="206">
        <f>Input!S247</f>
        <v>0</v>
      </c>
      <c r="R57" s="206">
        <f>Input!T247</f>
        <v>0</v>
      </c>
      <c r="S57" s="206">
        <f>Input!U247</f>
        <v>0</v>
      </c>
      <c r="T57" s="206">
        <f>Input!V247</f>
        <v>0</v>
      </c>
      <c r="U57" s="206">
        <f>Input!W247</f>
        <v>0</v>
      </c>
      <c r="V57" s="206">
        <f>Input!X247</f>
        <v>0</v>
      </c>
      <c r="W57" s="206">
        <f>Input!Y247</f>
        <v>0</v>
      </c>
      <c r="X57" s="206">
        <f>Input!Z247</f>
        <v>0</v>
      </c>
      <c r="Y57" s="206">
        <f>Input!AA247</f>
        <v>0</v>
      </c>
      <c r="Z57" s="206">
        <f>Input!AB247</f>
        <v>0</v>
      </c>
      <c r="AA57" s="206">
        <f>Input!AC247</f>
        <v>0</v>
      </c>
      <c r="AB57" s="206">
        <f>Input!AD247</f>
        <v>0</v>
      </c>
      <c r="AC57" s="206">
        <f>Input!AE247</f>
        <v>0</v>
      </c>
      <c r="AD57" s="206">
        <f>Input!AF247</f>
        <v>0</v>
      </c>
      <c r="AE57" s="206">
        <f>Input!AG247</f>
        <v>0</v>
      </c>
      <c r="AF57" s="206">
        <f>Input!AH247</f>
        <v>0</v>
      </c>
      <c r="AG57" s="206">
        <f>Input!AI247</f>
        <v>0</v>
      </c>
      <c r="AH57" s="206">
        <f>Input!AJ247</f>
        <v>0</v>
      </c>
      <c r="AI57" s="206">
        <f>Input!AK247</f>
        <v>0</v>
      </c>
    </row>
    <row r="58" spans="1:69" x14ac:dyDescent="0.3">
      <c r="A58" s="5"/>
      <c r="B58" s="5" t="s">
        <v>5</v>
      </c>
      <c r="C58" s="198" t="s">
        <v>0</v>
      </c>
      <c r="D58" s="205"/>
      <c r="E58" s="206">
        <f>Input!E248</f>
        <v>0.30000000000000004</v>
      </c>
      <c r="F58" s="206">
        <f>Input!F248</f>
        <v>0.30000000000000004</v>
      </c>
      <c r="G58" s="206">
        <f>Input!H248</f>
        <v>0.30000000000000004</v>
      </c>
      <c r="H58" s="206">
        <f>Input!J248</f>
        <v>0.30000000000000004</v>
      </c>
      <c r="I58" s="206">
        <f>Input!K248</f>
        <v>0.30000000000000004</v>
      </c>
      <c r="J58" s="206">
        <f>Input!L248</f>
        <v>0.30000000000000004</v>
      </c>
      <c r="K58" s="206">
        <f>Input!M248</f>
        <v>0.30000000000000004</v>
      </c>
      <c r="L58" s="206">
        <f>Input!N248</f>
        <v>0.30000000000000004</v>
      </c>
      <c r="M58" s="206">
        <f>Input!O248</f>
        <v>0.30000000000000004</v>
      </c>
      <c r="N58" s="206">
        <f>Input!P248</f>
        <v>0.30000000000000004</v>
      </c>
      <c r="O58" s="206">
        <f>Input!Q248</f>
        <v>0.30000000000000004</v>
      </c>
      <c r="P58" s="206">
        <f>Input!R248</f>
        <v>0.30000000000000004</v>
      </c>
      <c r="Q58" s="206">
        <f>Input!S248</f>
        <v>0.30000000000000004</v>
      </c>
      <c r="R58" s="206">
        <f>Input!T248</f>
        <v>0.30000000000000004</v>
      </c>
      <c r="S58" s="206">
        <f>Input!U248</f>
        <v>0.30000000000000004</v>
      </c>
      <c r="T58" s="206">
        <f>Input!V248</f>
        <v>0.30000000000000004</v>
      </c>
      <c r="U58" s="206">
        <f>Input!W248</f>
        <v>0.30000000000000004</v>
      </c>
      <c r="V58" s="206">
        <f>Input!X248</f>
        <v>0.30000000000000004</v>
      </c>
      <c r="W58" s="206">
        <f>Input!Y248</f>
        <v>0.30000000000000004</v>
      </c>
      <c r="X58" s="206">
        <f>Input!Z248</f>
        <v>0.30000000000000004</v>
      </c>
      <c r="Y58" s="206">
        <f>Input!AA248</f>
        <v>0.30000000000000004</v>
      </c>
      <c r="Z58" s="206">
        <f>Input!AB248</f>
        <v>0.30000000000000004</v>
      </c>
      <c r="AA58" s="206">
        <f>Input!AC248</f>
        <v>0.30000000000000004</v>
      </c>
      <c r="AB58" s="206">
        <f>Input!AD248</f>
        <v>0.30000000000000004</v>
      </c>
      <c r="AC58" s="206">
        <f>Input!AE248</f>
        <v>0.30000000000000004</v>
      </c>
      <c r="AD58" s="206">
        <f>Input!AF248</f>
        <v>0.30000000000000004</v>
      </c>
      <c r="AE58" s="206">
        <f>Input!AG248</f>
        <v>0.30000000000000004</v>
      </c>
      <c r="AF58" s="206">
        <f>Input!AH248</f>
        <v>0.30000000000000004</v>
      </c>
      <c r="AG58" s="206">
        <f>Input!AI248</f>
        <v>0.30000000000000004</v>
      </c>
      <c r="AH58" s="206">
        <f>Input!AJ248</f>
        <v>0.30000000000000004</v>
      </c>
      <c r="AI58" s="206">
        <f>Input!AK248</f>
        <v>0.30000000000000004</v>
      </c>
    </row>
    <row r="59" spans="1:69" x14ac:dyDescent="0.3">
      <c r="A59" s="5"/>
      <c r="B59" s="5"/>
      <c r="C59" s="198"/>
      <c r="D59" s="205"/>
      <c r="E59" s="206"/>
      <c r="F59" s="206"/>
      <c r="G59" s="206"/>
      <c r="H59" s="206"/>
      <c r="I59" s="206"/>
      <c r="J59" s="206"/>
      <c r="K59" s="206"/>
      <c r="L59" s="206"/>
      <c r="M59" s="206"/>
      <c r="N59" s="206"/>
      <c r="O59" s="206"/>
      <c r="P59" s="206"/>
      <c r="Q59" s="206"/>
      <c r="R59" s="206"/>
      <c r="S59" s="206"/>
      <c r="T59" s="206"/>
      <c r="U59" s="206"/>
      <c r="V59" s="206"/>
      <c r="W59" s="206"/>
      <c r="X59" s="206"/>
      <c r="Y59" s="206"/>
      <c r="Z59" s="206"/>
      <c r="AA59" s="206"/>
      <c r="AB59" s="206"/>
      <c r="AC59" s="206"/>
      <c r="AD59" s="206"/>
      <c r="AE59" s="206"/>
      <c r="AF59" s="206"/>
      <c r="AG59" s="206"/>
      <c r="AH59" s="206"/>
      <c r="AI59" s="206"/>
    </row>
    <row r="60" spans="1:69" x14ac:dyDescent="0.3">
      <c r="A60" s="5"/>
      <c r="B60" s="5" t="s">
        <v>8</v>
      </c>
      <c r="C60" s="198" t="s">
        <v>11</v>
      </c>
      <c r="D60" s="207">
        <f ca="1">SUM(E60:AI60)</f>
        <v>869.79342269757126</v>
      </c>
      <c r="E60" s="199">
        <f t="shared" ref="E60:AI60" ca="1" si="14">E$53*E55</f>
        <v>407.43400352615367</v>
      </c>
      <c r="F60" s="199">
        <f t="shared" ca="1" si="14"/>
        <v>462.35941917141753</v>
      </c>
      <c r="G60" s="199">
        <f t="shared" ca="1" si="14"/>
        <v>0</v>
      </c>
      <c r="H60" s="199">
        <f t="shared" ca="1" si="14"/>
        <v>0</v>
      </c>
      <c r="I60" s="199">
        <f t="shared" ca="1" si="14"/>
        <v>0</v>
      </c>
      <c r="J60" s="199">
        <f t="shared" ca="1" si="14"/>
        <v>0</v>
      </c>
      <c r="K60" s="199">
        <f t="shared" ca="1" si="14"/>
        <v>0</v>
      </c>
      <c r="L60" s="199">
        <f t="shared" ca="1" si="14"/>
        <v>0</v>
      </c>
      <c r="M60" s="199">
        <f t="shared" ca="1" si="14"/>
        <v>0</v>
      </c>
      <c r="N60" s="199">
        <f t="shared" ca="1" si="14"/>
        <v>0</v>
      </c>
      <c r="O60" s="199">
        <f t="shared" ca="1" si="14"/>
        <v>0</v>
      </c>
      <c r="P60" s="199">
        <f t="shared" ca="1" si="14"/>
        <v>0</v>
      </c>
      <c r="Q60" s="199">
        <f t="shared" ca="1" si="14"/>
        <v>0</v>
      </c>
      <c r="R60" s="199">
        <f t="shared" ca="1" si="14"/>
        <v>0</v>
      </c>
      <c r="S60" s="199">
        <f t="shared" ca="1" si="14"/>
        <v>0</v>
      </c>
      <c r="T60" s="199">
        <f t="shared" ca="1" si="14"/>
        <v>0</v>
      </c>
      <c r="U60" s="199">
        <f t="shared" ca="1" si="14"/>
        <v>0</v>
      </c>
      <c r="V60" s="199">
        <f t="shared" ca="1" si="14"/>
        <v>0</v>
      </c>
      <c r="W60" s="199">
        <f t="shared" ca="1" si="14"/>
        <v>0</v>
      </c>
      <c r="X60" s="199">
        <f t="shared" ca="1" si="14"/>
        <v>0</v>
      </c>
      <c r="Y60" s="199">
        <f t="shared" ca="1" si="14"/>
        <v>0</v>
      </c>
      <c r="Z60" s="199">
        <f t="shared" ca="1" si="14"/>
        <v>0</v>
      </c>
      <c r="AA60" s="199">
        <f t="shared" ca="1" si="14"/>
        <v>0</v>
      </c>
      <c r="AB60" s="199">
        <f t="shared" ca="1" si="14"/>
        <v>0</v>
      </c>
      <c r="AC60" s="199">
        <f t="shared" ca="1" si="14"/>
        <v>0</v>
      </c>
      <c r="AD60" s="199">
        <f t="shared" ca="1" si="14"/>
        <v>0</v>
      </c>
      <c r="AE60" s="199">
        <f t="shared" ca="1" si="14"/>
        <v>0</v>
      </c>
      <c r="AF60" s="199">
        <f t="shared" ca="1" si="14"/>
        <v>0</v>
      </c>
      <c r="AG60" s="199">
        <f t="shared" ca="1" si="14"/>
        <v>0</v>
      </c>
      <c r="AH60" s="199">
        <f t="shared" ca="1" si="14"/>
        <v>0</v>
      </c>
      <c r="AI60" s="199">
        <f t="shared" ca="1" si="14"/>
        <v>0</v>
      </c>
    </row>
    <row r="61" spans="1:69" x14ac:dyDescent="0.3">
      <c r="A61" s="5"/>
      <c r="B61" s="5" t="s">
        <v>7</v>
      </c>
      <c r="C61" s="198" t="s">
        <v>11</v>
      </c>
      <c r="D61" s="207">
        <f ca="1">SUM(E61:AI61)</f>
        <v>0</v>
      </c>
      <c r="E61" s="199">
        <f t="shared" ref="E61:AI61" ca="1" si="15">E$53*E56</f>
        <v>0</v>
      </c>
      <c r="F61" s="199">
        <f t="shared" ca="1" si="15"/>
        <v>0</v>
      </c>
      <c r="G61" s="199">
        <f t="shared" ca="1" si="15"/>
        <v>0</v>
      </c>
      <c r="H61" s="199">
        <f t="shared" ca="1" si="15"/>
        <v>0</v>
      </c>
      <c r="I61" s="199">
        <f t="shared" ca="1" si="15"/>
        <v>0</v>
      </c>
      <c r="J61" s="199">
        <f t="shared" ca="1" si="15"/>
        <v>0</v>
      </c>
      <c r="K61" s="199">
        <f t="shared" ca="1" si="15"/>
        <v>0</v>
      </c>
      <c r="L61" s="199">
        <f t="shared" ca="1" si="15"/>
        <v>0</v>
      </c>
      <c r="M61" s="199">
        <f t="shared" ca="1" si="15"/>
        <v>0</v>
      </c>
      <c r="N61" s="199">
        <f t="shared" ca="1" si="15"/>
        <v>0</v>
      </c>
      <c r="O61" s="199">
        <f t="shared" ca="1" si="15"/>
        <v>0</v>
      </c>
      <c r="P61" s="199">
        <f t="shared" ca="1" si="15"/>
        <v>0</v>
      </c>
      <c r="Q61" s="199">
        <f t="shared" ca="1" si="15"/>
        <v>0</v>
      </c>
      <c r="R61" s="199">
        <f t="shared" ca="1" si="15"/>
        <v>0</v>
      </c>
      <c r="S61" s="199">
        <f t="shared" ca="1" si="15"/>
        <v>0</v>
      </c>
      <c r="T61" s="199">
        <f t="shared" ca="1" si="15"/>
        <v>0</v>
      </c>
      <c r="U61" s="199">
        <f t="shared" ca="1" si="15"/>
        <v>0</v>
      </c>
      <c r="V61" s="199">
        <f t="shared" ca="1" si="15"/>
        <v>0</v>
      </c>
      <c r="W61" s="199">
        <f t="shared" ca="1" si="15"/>
        <v>0</v>
      </c>
      <c r="X61" s="199">
        <f t="shared" ca="1" si="15"/>
        <v>0</v>
      </c>
      <c r="Y61" s="199">
        <f t="shared" ca="1" si="15"/>
        <v>0</v>
      </c>
      <c r="Z61" s="199">
        <f t="shared" ca="1" si="15"/>
        <v>0</v>
      </c>
      <c r="AA61" s="199">
        <f t="shared" ca="1" si="15"/>
        <v>0</v>
      </c>
      <c r="AB61" s="199">
        <f t="shared" ca="1" si="15"/>
        <v>0</v>
      </c>
      <c r="AC61" s="199">
        <f t="shared" ca="1" si="15"/>
        <v>0</v>
      </c>
      <c r="AD61" s="199">
        <f t="shared" ca="1" si="15"/>
        <v>0</v>
      </c>
      <c r="AE61" s="199">
        <f t="shared" ca="1" si="15"/>
        <v>0</v>
      </c>
      <c r="AF61" s="199">
        <f t="shared" ca="1" si="15"/>
        <v>0</v>
      </c>
      <c r="AG61" s="199">
        <f t="shared" ca="1" si="15"/>
        <v>0</v>
      </c>
      <c r="AH61" s="199">
        <f t="shared" ca="1" si="15"/>
        <v>0</v>
      </c>
      <c r="AI61" s="199">
        <f t="shared" ca="1" si="15"/>
        <v>0</v>
      </c>
    </row>
    <row r="62" spans="1:69" x14ac:dyDescent="0.3">
      <c r="A62" s="5"/>
      <c r="B62" s="5" t="s">
        <v>112</v>
      </c>
      <c r="C62" s="198" t="s">
        <v>11</v>
      </c>
      <c r="D62" s="207">
        <f ca="1">SUM(E62:AI62)</f>
        <v>0</v>
      </c>
      <c r="E62" s="199">
        <f t="shared" ref="E62:AI62" ca="1" si="16">E$53*E57</f>
        <v>0</v>
      </c>
      <c r="F62" s="199">
        <f t="shared" ca="1" si="16"/>
        <v>0</v>
      </c>
      <c r="G62" s="199">
        <f t="shared" ca="1" si="16"/>
        <v>0</v>
      </c>
      <c r="H62" s="199">
        <f t="shared" ca="1" si="16"/>
        <v>0</v>
      </c>
      <c r="I62" s="199">
        <f t="shared" ca="1" si="16"/>
        <v>0</v>
      </c>
      <c r="J62" s="199">
        <f t="shared" ca="1" si="16"/>
        <v>0</v>
      </c>
      <c r="K62" s="199">
        <f t="shared" ca="1" si="16"/>
        <v>0</v>
      </c>
      <c r="L62" s="199">
        <f t="shared" ca="1" si="16"/>
        <v>0</v>
      </c>
      <c r="M62" s="199">
        <f t="shared" ca="1" si="16"/>
        <v>0</v>
      </c>
      <c r="N62" s="199">
        <f t="shared" ca="1" si="16"/>
        <v>0</v>
      </c>
      <c r="O62" s="199">
        <f t="shared" ca="1" si="16"/>
        <v>0</v>
      </c>
      <c r="P62" s="199">
        <f t="shared" ca="1" si="16"/>
        <v>0</v>
      </c>
      <c r="Q62" s="199">
        <f t="shared" ca="1" si="16"/>
        <v>0</v>
      </c>
      <c r="R62" s="199">
        <f t="shared" ca="1" si="16"/>
        <v>0</v>
      </c>
      <c r="S62" s="199">
        <f t="shared" ca="1" si="16"/>
        <v>0</v>
      </c>
      <c r="T62" s="199">
        <f t="shared" ca="1" si="16"/>
        <v>0</v>
      </c>
      <c r="U62" s="199">
        <f t="shared" ca="1" si="16"/>
        <v>0</v>
      </c>
      <c r="V62" s="199">
        <f t="shared" ca="1" si="16"/>
        <v>0</v>
      </c>
      <c r="W62" s="199">
        <f t="shared" ca="1" si="16"/>
        <v>0</v>
      </c>
      <c r="X62" s="199">
        <f t="shared" ca="1" si="16"/>
        <v>0</v>
      </c>
      <c r="Y62" s="199">
        <f t="shared" ca="1" si="16"/>
        <v>0</v>
      </c>
      <c r="Z62" s="199">
        <f t="shared" ca="1" si="16"/>
        <v>0</v>
      </c>
      <c r="AA62" s="199">
        <f t="shared" ca="1" si="16"/>
        <v>0</v>
      </c>
      <c r="AB62" s="199">
        <f t="shared" ca="1" si="16"/>
        <v>0</v>
      </c>
      <c r="AC62" s="199">
        <f t="shared" ca="1" si="16"/>
        <v>0</v>
      </c>
      <c r="AD62" s="199">
        <f t="shared" ca="1" si="16"/>
        <v>0</v>
      </c>
      <c r="AE62" s="199">
        <f t="shared" ca="1" si="16"/>
        <v>0</v>
      </c>
      <c r="AF62" s="199">
        <f t="shared" ca="1" si="16"/>
        <v>0</v>
      </c>
      <c r="AG62" s="199">
        <f t="shared" ca="1" si="16"/>
        <v>0</v>
      </c>
      <c r="AH62" s="199">
        <f t="shared" ca="1" si="16"/>
        <v>0</v>
      </c>
      <c r="AI62" s="199">
        <f t="shared" ca="1" si="16"/>
        <v>0</v>
      </c>
    </row>
    <row r="63" spans="1:69" x14ac:dyDescent="0.3">
      <c r="A63" s="5"/>
      <c r="B63" s="5" t="s">
        <v>5</v>
      </c>
      <c r="C63" s="198" t="s">
        <v>11</v>
      </c>
      <c r="D63" s="207">
        <f ca="1">SUM(E63:AI63)</f>
        <v>372.76860972753059</v>
      </c>
      <c r="E63" s="199">
        <f t="shared" ref="E63:AI63" ca="1" si="17">E$53*E58</f>
        <v>174.61457293978017</v>
      </c>
      <c r="F63" s="199">
        <f t="shared" ca="1" si="17"/>
        <v>198.15403678775041</v>
      </c>
      <c r="G63" s="199">
        <f t="shared" ca="1" si="17"/>
        <v>0</v>
      </c>
      <c r="H63" s="199">
        <f t="shared" ca="1" si="17"/>
        <v>0</v>
      </c>
      <c r="I63" s="199">
        <f t="shared" ca="1" si="17"/>
        <v>0</v>
      </c>
      <c r="J63" s="199">
        <f t="shared" ca="1" si="17"/>
        <v>0</v>
      </c>
      <c r="K63" s="199">
        <f t="shared" ca="1" si="17"/>
        <v>0</v>
      </c>
      <c r="L63" s="199">
        <f t="shared" ca="1" si="17"/>
        <v>0</v>
      </c>
      <c r="M63" s="199">
        <f t="shared" ca="1" si="17"/>
        <v>0</v>
      </c>
      <c r="N63" s="199">
        <f t="shared" ca="1" si="17"/>
        <v>0</v>
      </c>
      <c r="O63" s="199">
        <f t="shared" ca="1" si="17"/>
        <v>0</v>
      </c>
      <c r="P63" s="199">
        <f t="shared" ca="1" si="17"/>
        <v>0</v>
      </c>
      <c r="Q63" s="199">
        <f t="shared" ca="1" si="17"/>
        <v>0</v>
      </c>
      <c r="R63" s="199">
        <f t="shared" ca="1" si="17"/>
        <v>0</v>
      </c>
      <c r="S63" s="199">
        <f t="shared" ca="1" si="17"/>
        <v>0</v>
      </c>
      <c r="T63" s="199">
        <f t="shared" ca="1" si="17"/>
        <v>0</v>
      </c>
      <c r="U63" s="199">
        <f t="shared" ca="1" si="17"/>
        <v>0</v>
      </c>
      <c r="V63" s="199">
        <f t="shared" ca="1" si="17"/>
        <v>0</v>
      </c>
      <c r="W63" s="199">
        <f t="shared" ca="1" si="17"/>
        <v>0</v>
      </c>
      <c r="X63" s="199">
        <f t="shared" ca="1" si="17"/>
        <v>0</v>
      </c>
      <c r="Y63" s="199">
        <f t="shared" ca="1" si="17"/>
        <v>0</v>
      </c>
      <c r="Z63" s="199">
        <f t="shared" ca="1" si="17"/>
        <v>0</v>
      </c>
      <c r="AA63" s="199">
        <f t="shared" ca="1" si="17"/>
        <v>0</v>
      </c>
      <c r="AB63" s="199">
        <f t="shared" ca="1" si="17"/>
        <v>0</v>
      </c>
      <c r="AC63" s="199">
        <f t="shared" ca="1" si="17"/>
        <v>0</v>
      </c>
      <c r="AD63" s="199">
        <f t="shared" ca="1" si="17"/>
        <v>0</v>
      </c>
      <c r="AE63" s="199">
        <f t="shared" ca="1" si="17"/>
        <v>0</v>
      </c>
      <c r="AF63" s="199">
        <f t="shared" ca="1" si="17"/>
        <v>0</v>
      </c>
      <c r="AG63" s="199">
        <f t="shared" ca="1" si="17"/>
        <v>0</v>
      </c>
      <c r="AH63" s="199">
        <f t="shared" ca="1" si="17"/>
        <v>0</v>
      </c>
      <c r="AI63" s="199">
        <f t="shared" ca="1" si="17"/>
        <v>0</v>
      </c>
    </row>
    <row r="64" spans="1:69" x14ac:dyDescent="0.3">
      <c r="A64" s="5"/>
      <c r="B64" s="5"/>
      <c r="C64" s="198"/>
      <c r="D64" s="208">
        <f ca="1">SUM(D60:D63)-D53</f>
        <v>0</v>
      </c>
      <c r="E64" s="209"/>
      <c r="F64" s="209"/>
      <c r="G64" s="209"/>
      <c r="H64" s="206"/>
      <c r="I64" s="206"/>
      <c r="J64" s="206"/>
      <c r="K64" s="206"/>
      <c r="L64" s="206"/>
      <c r="M64" s="206"/>
      <c r="N64" s="206"/>
      <c r="O64" s="206"/>
      <c r="P64" s="206"/>
      <c r="Q64" s="206"/>
      <c r="R64" s="206"/>
      <c r="S64" s="206"/>
      <c r="T64" s="206"/>
      <c r="U64" s="206"/>
      <c r="V64" s="206"/>
      <c r="W64" s="206"/>
      <c r="X64" s="206"/>
      <c r="Y64" s="206"/>
      <c r="Z64" s="206"/>
      <c r="AA64" s="206"/>
      <c r="AB64" s="206"/>
      <c r="AC64" s="206"/>
      <c r="AD64" s="206"/>
      <c r="AE64" s="206"/>
      <c r="AF64" s="206"/>
      <c r="AG64" s="206"/>
      <c r="AH64" s="206"/>
      <c r="AI64" s="206"/>
    </row>
    <row r="65" spans="1:35" x14ac:dyDescent="0.3">
      <c r="A65" s="210" t="s">
        <v>179</v>
      </c>
      <c r="B65" s="178"/>
      <c r="C65" s="195"/>
      <c r="D65" s="211"/>
      <c r="E65" s="212"/>
      <c r="F65" s="212"/>
      <c r="G65" s="212"/>
      <c r="H65" s="212"/>
      <c r="I65" s="212"/>
      <c r="J65" s="212"/>
      <c r="K65" s="212"/>
      <c r="L65" s="212"/>
      <c r="M65" s="212"/>
      <c r="N65" s="212"/>
      <c r="O65" s="212"/>
      <c r="P65" s="212"/>
      <c r="Q65" s="212"/>
      <c r="R65" s="212"/>
      <c r="S65" s="212"/>
      <c r="T65" s="212"/>
      <c r="U65" s="211"/>
      <c r="V65" s="211"/>
      <c r="W65" s="211"/>
      <c r="X65" s="211"/>
      <c r="Y65" s="211"/>
      <c r="Z65" s="211"/>
      <c r="AA65" s="211"/>
      <c r="AB65" s="211"/>
      <c r="AC65" s="211"/>
      <c r="AD65" s="211"/>
      <c r="AE65" s="211"/>
      <c r="AF65" s="211"/>
      <c r="AG65" s="211"/>
      <c r="AH65" s="211"/>
      <c r="AI65" s="211"/>
    </row>
    <row r="66" spans="1:35" x14ac:dyDescent="0.3">
      <c r="A66" s="5"/>
      <c r="B66" s="5" t="s">
        <v>112</v>
      </c>
      <c r="C66" s="198" t="s">
        <v>11</v>
      </c>
      <c r="D66" s="208"/>
      <c r="E66" s="199">
        <f t="shared" ref="E66:AI66" ca="1" si="18">E62</f>
        <v>0</v>
      </c>
      <c r="F66" s="199">
        <f t="shared" ca="1" si="18"/>
        <v>0</v>
      </c>
      <c r="G66" s="199">
        <f t="shared" ca="1" si="18"/>
        <v>0</v>
      </c>
      <c r="H66" s="199">
        <f t="shared" ca="1" si="18"/>
        <v>0</v>
      </c>
      <c r="I66" s="199">
        <f t="shared" ca="1" si="18"/>
        <v>0</v>
      </c>
      <c r="J66" s="199">
        <f t="shared" ca="1" si="18"/>
        <v>0</v>
      </c>
      <c r="K66" s="199">
        <f t="shared" ca="1" si="18"/>
        <v>0</v>
      </c>
      <c r="L66" s="199">
        <f t="shared" ca="1" si="18"/>
        <v>0</v>
      </c>
      <c r="M66" s="199">
        <f t="shared" ca="1" si="18"/>
        <v>0</v>
      </c>
      <c r="N66" s="199">
        <f t="shared" ca="1" si="18"/>
        <v>0</v>
      </c>
      <c r="O66" s="199">
        <f t="shared" ca="1" si="18"/>
        <v>0</v>
      </c>
      <c r="P66" s="199">
        <f t="shared" ca="1" si="18"/>
        <v>0</v>
      </c>
      <c r="Q66" s="199">
        <f t="shared" ca="1" si="18"/>
        <v>0</v>
      </c>
      <c r="R66" s="199">
        <f t="shared" ca="1" si="18"/>
        <v>0</v>
      </c>
      <c r="S66" s="199">
        <f t="shared" ca="1" si="18"/>
        <v>0</v>
      </c>
      <c r="T66" s="199">
        <f t="shared" ca="1" si="18"/>
        <v>0</v>
      </c>
      <c r="U66" s="199">
        <f t="shared" ca="1" si="18"/>
        <v>0</v>
      </c>
      <c r="V66" s="199">
        <f t="shared" ca="1" si="18"/>
        <v>0</v>
      </c>
      <c r="W66" s="199">
        <f t="shared" ca="1" si="18"/>
        <v>0</v>
      </c>
      <c r="X66" s="199">
        <f t="shared" ca="1" si="18"/>
        <v>0</v>
      </c>
      <c r="Y66" s="199">
        <f t="shared" ca="1" si="18"/>
        <v>0</v>
      </c>
      <c r="Z66" s="199">
        <f t="shared" ca="1" si="18"/>
        <v>0</v>
      </c>
      <c r="AA66" s="199">
        <f t="shared" ca="1" si="18"/>
        <v>0</v>
      </c>
      <c r="AB66" s="199">
        <f t="shared" ca="1" si="18"/>
        <v>0</v>
      </c>
      <c r="AC66" s="199">
        <f t="shared" ca="1" si="18"/>
        <v>0</v>
      </c>
      <c r="AD66" s="199">
        <f t="shared" ca="1" si="18"/>
        <v>0</v>
      </c>
      <c r="AE66" s="199">
        <f t="shared" ca="1" si="18"/>
        <v>0</v>
      </c>
      <c r="AF66" s="199">
        <f t="shared" ca="1" si="18"/>
        <v>0</v>
      </c>
      <c r="AG66" s="199">
        <f t="shared" ca="1" si="18"/>
        <v>0</v>
      </c>
      <c r="AH66" s="199">
        <f t="shared" ca="1" si="18"/>
        <v>0</v>
      </c>
      <c r="AI66" s="199">
        <f t="shared" ca="1" si="18"/>
        <v>0</v>
      </c>
    </row>
    <row r="67" spans="1:35" x14ac:dyDescent="0.3">
      <c r="A67" s="5"/>
      <c r="B67" s="5" t="s">
        <v>178</v>
      </c>
      <c r="C67" s="198" t="s">
        <v>11</v>
      </c>
      <c r="D67" s="205"/>
      <c r="E67" s="175">
        <f t="shared" ref="E67:AI67" ca="1" si="19">D67+E66</f>
        <v>0</v>
      </c>
      <c r="F67" s="175">
        <f t="shared" ca="1" si="19"/>
        <v>0</v>
      </c>
      <c r="G67" s="175">
        <f t="shared" ca="1" si="19"/>
        <v>0</v>
      </c>
      <c r="H67" s="175">
        <f t="shared" ca="1" si="19"/>
        <v>0</v>
      </c>
      <c r="I67" s="175">
        <f t="shared" ca="1" si="19"/>
        <v>0</v>
      </c>
      <c r="J67" s="175">
        <f t="shared" ca="1" si="19"/>
        <v>0</v>
      </c>
      <c r="K67" s="175">
        <f t="shared" ca="1" si="19"/>
        <v>0</v>
      </c>
      <c r="L67" s="175">
        <f t="shared" ca="1" si="19"/>
        <v>0</v>
      </c>
      <c r="M67" s="175">
        <f t="shared" ca="1" si="19"/>
        <v>0</v>
      </c>
      <c r="N67" s="175">
        <f t="shared" ca="1" si="19"/>
        <v>0</v>
      </c>
      <c r="O67" s="175">
        <f t="shared" ca="1" si="19"/>
        <v>0</v>
      </c>
      <c r="P67" s="175">
        <f t="shared" ca="1" si="19"/>
        <v>0</v>
      </c>
      <c r="Q67" s="175">
        <f t="shared" ca="1" si="19"/>
        <v>0</v>
      </c>
      <c r="R67" s="175">
        <f t="shared" ca="1" si="19"/>
        <v>0</v>
      </c>
      <c r="S67" s="175">
        <f t="shared" ca="1" si="19"/>
        <v>0</v>
      </c>
      <c r="T67" s="175">
        <f t="shared" ca="1" si="19"/>
        <v>0</v>
      </c>
      <c r="U67" s="175">
        <f t="shared" ca="1" si="19"/>
        <v>0</v>
      </c>
      <c r="V67" s="175">
        <f t="shared" ca="1" si="19"/>
        <v>0</v>
      </c>
      <c r="W67" s="175">
        <f t="shared" ca="1" si="19"/>
        <v>0</v>
      </c>
      <c r="X67" s="175">
        <f t="shared" ca="1" si="19"/>
        <v>0</v>
      </c>
      <c r="Y67" s="175">
        <f t="shared" ca="1" si="19"/>
        <v>0</v>
      </c>
      <c r="Z67" s="175">
        <f t="shared" ca="1" si="19"/>
        <v>0</v>
      </c>
      <c r="AA67" s="175">
        <f t="shared" ca="1" si="19"/>
        <v>0</v>
      </c>
      <c r="AB67" s="175">
        <f t="shared" ca="1" si="19"/>
        <v>0</v>
      </c>
      <c r="AC67" s="175">
        <f t="shared" ca="1" si="19"/>
        <v>0</v>
      </c>
      <c r="AD67" s="175">
        <f t="shared" ca="1" si="19"/>
        <v>0</v>
      </c>
      <c r="AE67" s="175">
        <f t="shared" ca="1" si="19"/>
        <v>0</v>
      </c>
      <c r="AF67" s="175">
        <f t="shared" ca="1" si="19"/>
        <v>0</v>
      </c>
      <c r="AG67" s="175">
        <f t="shared" ca="1" si="19"/>
        <v>0</v>
      </c>
      <c r="AH67" s="175">
        <f t="shared" ca="1" si="19"/>
        <v>0</v>
      </c>
      <c r="AI67" s="175">
        <f t="shared" ca="1" si="19"/>
        <v>0</v>
      </c>
    </row>
    <row r="68" spans="1:35" x14ac:dyDescent="0.3">
      <c r="A68" s="5"/>
      <c r="B68" s="5"/>
      <c r="C68" s="198"/>
      <c r="D68" s="205"/>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row>
    <row r="69" spans="1:35" x14ac:dyDescent="0.3">
      <c r="A69" s="210" t="s">
        <v>177</v>
      </c>
      <c r="B69" s="178"/>
      <c r="C69" s="195"/>
      <c r="D69" s="211"/>
      <c r="E69" s="212"/>
      <c r="F69" s="212"/>
      <c r="G69" s="212"/>
      <c r="H69" s="212"/>
      <c r="I69" s="212"/>
      <c r="J69" s="212"/>
      <c r="K69" s="212"/>
      <c r="L69" s="212"/>
      <c r="M69" s="212"/>
      <c r="N69" s="212"/>
      <c r="O69" s="212"/>
      <c r="P69" s="212"/>
      <c r="Q69" s="212"/>
      <c r="R69" s="212"/>
      <c r="S69" s="212"/>
      <c r="T69" s="212"/>
      <c r="U69" s="211"/>
      <c r="V69" s="211"/>
      <c r="W69" s="211"/>
      <c r="X69" s="211"/>
      <c r="Y69" s="211"/>
      <c r="Z69" s="211"/>
      <c r="AA69" s="211"/>
      <c r="AB69" s="211"/>
      <c r="AC69" s="211"/>
      <c r="AD69" s="211"/>
      <c r="AE69" s="211"/>
      <c r="AF69" s="211"/>
      <c r="AG69" s="211"/>
      <c r="AH69" s="211"/>
      <c r="AI69" s="211"/>
    </row>
    <row r="70" spans="1:35" x14ac:dyDescent="0.3">
      <c r="A70" s="5"/>
      <c r="B70" s="5" t="s">
        <v>5</v>
      </c>
      <c r="C70" s="198" t="s">
        <v>11</v>
      </c>
      <c r="D70" s="208"/>
      <c r="E70" s="199">
        <f t="shared" ref="E70:AI70" ca="1" si="20">E63</f>
        <v>174.61457293978017</v>
      </c>
      <c r="F70" s="199">
        <f t="shared" ca="1" si="20"/>
        <v>198.15403678775041</v>
      </c>
      <c r="G70" s="199">
        <f t="shared" ca="1" si="20"/>
        <v>0</v>
      </c>
      <c r="H70" s="199">
        <f t="shared" ca="1" si="20"/>
        <v>0</v>
      </c>
      <c r="I70" s="199">
        <f t="shared" ca="1" si="20"/>
        <v>0</v>
      </c>
      <c r="J70" s="199">
        <f t="shared" ca="1" si="20"/>
        <v>0</v>
      </c>
      <c r="K70" s="199">
        <f t="shared" ca="1" si="20"/>
        <v>0</v>
      </c>
      <c r="L70" s="199">
        <f t="shared" ca="1" si="20"/>
        <v>0</v>
      </c>
      <c r="M70" s="199">
        <f t="shared" ca="1" si="20"/>
        <v>0</v>
      </c>
      <c r="N70" s="199">
        <f t="shared" ca="1" si="20"/>
        <v>0</v>
      </c>
      <c r="O70" s="199">
        <f t="shared" ca="1" si="20"/>
        <v>0</v>
      </c>
      <c r="P70" s="199">
        <f t="shared" ca="1" si="20"/>
        <v>0</v>
      </c>
      <c r="Q70" s="199">
        <f t="shared" ca="1" si="20"/>
        <v>0</v>
      </c>
      <c r="R70" s="199">
        <f t="shared" ca="1" si="20"/>
        <v>0</v>
      </c>
      <c r="S70" s="199">
        <f t="shared" ca="1" si="20"/>
        <v>0</v>
      </c>
      <c r="T70" s="199">
        <f t="shared" ca="1" si="20"/>
        <v>0</v>
      </c>
      <c r="U70" s="199">
        <f t="shared" ca="1" si="20"/>
        <v>0</v>
      </c>
      <c r="V70" s="199">
        <f t="shared" ca="1" si="20"/>
        <v>0</v>
      </c>
      <c r="W70" s="199">
        <f t="shared" ca="1" si="20"/>
        <v>0</v>
      </c>
      <c r="X70" s="199">
        <f t="shared" ca="1" si="20"/>
        <v>0</v>
      </c>
      <c r="Y70" s="199">
        <f t="shared" ca="1" si="20"/>
        <v>0</v>
      </c>
      <c r="Z70" s="199">
        <f t="shared" ca="1" si="20"/>
        <v>0</v>
      </c>
      <c r="AA70" s="199">
        <f t="shared" ca="1" si="20"/>
        <v>0</v>
      </c>
      <c r="AB70" s="199">
        <f t="shared" ca="1" si="20"/>
        <v>0</v>
      </c>
      <c r="AC70" s="199">
        <f t="shared" ca="1" si="20"/>
        <v>0</v>
      </c>
      <c r="AD70" s="199">
        <f t="shared" ca="1" si="20"/>
        <v>0</v>
      </c>
      <c r="AE70" s="199">
        <f t="shared" ca="1" si="20"/>
        <v>0</v>
      </c>
      <c r="AF70" s="199">
        <f t="shared" ca="1" si="20"/>
        <v>0</v>
      </c>
      <c r="AG70" s="199">
        <f t="shared" ca="1" si="20"/>
        <v>0</v>
      </c>
      <c r="AH70" s="199">
        <f t="shared" ca="1" si="20"/>
        <v>0</v>
      </c>
      <c r="AI70" s="199">
        <f t="shared" ca="1" si="20"/>
        <v>0</v>
      </c>
    </row>
    <row r="71" spans="1:35" x14ac:dyDescent="0.3">
      <c r="A71" s="5"/>
      <c r="B71" s="5" t="s">
        <v>149</v>
      </c>
      <c r="C71" s="198" t="s">
        <v>11</v>
      </c>
      <c r="D71" s="205"/>
      <c r="E71" s="175">
        <f t="shared" ref="E71:AI71" ca="1" si="21">D71+E70</f>
        <v>174.61457293978017</v>
      </c>
      <c r="F71" s="175">
        <f t="shared" ca="1" si="21"/>
        <v>372.76860972753059</v>
      </c>
      <c r="G71" s="175">
        <f t="shared" ca="1" si="21"/>
        <v>372.76860972753059</v>
      </c>
      <c r="H71" s="175">
        <f t="shared" ca="1" si="21"/>
        <v>372.76860972753059</v>
      </c>
      <c r="I71" s="175">
        <f t="shared" ca="1" si="21"/>
        <v>372.76860972753059</v>
      </c>
      <c r="J71" s="175">
        <f t="shared" ca="1" si="21"/>
        <v>372.76860972753059</v>
      </c>
      <c r="K71" s="175">
        <f t="shared" ca="1" si="21"/>
        <v>372.76860972753059</v>
      </c>
      <c r="L71" s="175">
        <f t="shared" ca="1" si="21"/>
        <v>372.76860972753059</v>
      </c>
      <c r="M71" s="175">
        <f t="shared" ca="1" si="21"/>
        <v>372.76860972753059</v>
      </c>
      <c r="N71" s="175">
        <f t="shared" ca="1" si="21"/>
        <v>372.76860972753059</v>
      </c>
      <c r="O71" s="175">
        <f t="shared" ca="1" si="21"/>
        <v>372.76860972753059</v>
      </c>
      <c r="P71" s="175">
        <f t="shared" ca="1" si="21"/>
        <v>372.76860972753059</v>
      </c>
      <c r="Q71" s="175">
        <f t="shared" ca="1" si="21"/>
        <v>372.76860972753059</v>
      </c>
      <c r="R71" s="175">
        <f t="shared" ca="1" si="21"/>
        <v>372.76860972753059</v>
      </c>
      <c r="S71" s="175">
        <f t="shared" ca="1" si="21"/>
        <v>372.76860972753059</v>
      </c>
      <c r="T71" s="175">
        <f t="shared" ca="1" si="21"/>
        <v>372.76860972753059</v>
      </c>
      <c r="U71" s="175">
        <f t="shared" ca="1" si="21"/>
        <v>372.76860972753059</v>
      </c>
      <c r="V71" s="175">
        <f t="shared" ca="1" si="21"/>
        <v>372.76860972753059</v>
      </c>
      <c r="W71" s="175">
        <f t="shared" ca="1" si="21"/>
        <v>372.76860972753059</v>
      </c>
      <c r="X71" s="175">
        <f t="shared" ca="1" si="21"/>
        <v>372.76860972753059</v>
      </c>
      <c r="Y71" s="175">
        <f t="shared" ca="1" si="21"/>
        <v>372.76860972753059</v>
      </c>
      <c r="Z71" s="175">
        <f t="shared" ca="1" si="21"/>
        <v>372.76860972753059</v>
      </c>
      <c r="AA71" s="175">
        <f t="shared" ca="1" si="21"/>
        <v>372.76860972753059</v>
      </c>
      <c r="AB71" s="175">
        <f t="shared" ca="1" si="21"/>
        <v>372.76860972753059</v>
      </c>
      <c r="AC71" s="175">
        <f t="shared" ca="1" si="21"/>
        <v>372.76860972753059</v>
      </c>
      <c r="AD71" s="175">
        <f t="shared" ca="1" si="21"/>
        <v>372.76860972753059</v>
      </c>
      <c r="AE71" s="175">
        <f t="shared" ca="1" si="21"/>
        <v>372.76860972753059</v>
      </c>
      <c r="AF71" s="175">
        <f t="shared" ca="1" si="21"/>
        <v>372.76860972753059</v>
      </c>
      <c r="AG71" s="175">
        <f t="shared" ca="1" si="21"/>
        <v>372.76860972753059</v>
      </c>
      <c r="AH71" s="175">
        <f t="shared" ca="1" si="21"/>
        <v>372.76860972753059</v>
      </c>
      <c r="AI71" s="175">
        <f t="shared" ca="1" si="21"/>
        <v>372.76860972753059</v>
      </c>
    </row>
    <row r="72" spans="1:35" x14ac:dyDescent="0.3">
      <c r="A72" s="8"/>
    </row>
    <row r="73" spans="1:35" x14ac:dyDescent="0.3">
      <c r="A73" s="210" t="s">
        <v>176</v>
      </c>
      <c r="B73" s="178"/>
      <c r="C73" s="195"/>
      <c r="D73" s="211"/>
      <c r="E73" s="197"/>
      <c r="F73" s="197"/>
      <c r="G73" s="197"/>
      <c r="H73" s="197"/>
      <c r="I73" s="197"/>
      <c r="J73" s="197"/>
      <c r="K73" s="197"/>
      <c r="L73" s="197"/>
      <c r="M73" s="197"/>
      <c r="N73" s="197"/>
      <c r="O73" s="197"/>
      <c r="P73" s="197"/>
      <c r="Q73" s="197"/>
      <c r="R73" s="197"/>
      <c r="S73" s="197"/>
      <c r="T73" s="197"/>
      <c r="U73" s="197"/>
      <c r="V73" s="197"/>
      <c r="W73" s="197"/>
      <c r="X73" s="211"/>
      <c r="Y73" s="211"/>
      <c r="Z73" s="211"/>
      <c r="AA73" s="211"/>
      <c r="AB73" s="211"/>
      <c r="AC73" s="211"/>
      <c r="AD73" s="211"/>
      <c r="AE73" s="211"/>
      <c r="AF73" s="211"/>
      <c r="AG73" s="211"/>
      <c r="AH73" s="211"/>
      <c r="AI73" s="211"/>
    </row>
    <row r="74" spans="1:35" x14ac:dyDescent="0.3">
      <c r="A74" s="5"/>
      <c r="B74" s="5" t="s">
        <v>138</v>
      </c>
      <c r="C74" s="198" t="s">
        <v>11</v>
      </c>
      <c r="D74" s="205"/>
      <c r="E74" s="208">
        <f t="shared" ref="E74" si="22">D77</f>
        <v>0</v>
      </c>
      <c r="F74" s="208">
        <f t="shared" ref="F74:AI74" ca="1" si="23">E77</f>
        <v>407.43400352615367</v>
      </c>
      <c r="G74" s="208">
        <f t="shared" ca="1" si="23"/>
        <v>840.80030860765225</v>
      </c>
      <c r="H74" s="208">
        <f t="shared" ca="1" si="23"/>
        <v>782.81408042781413</v>
      </c>
      <c r="I74" s="208">
        <f t="shared" ca="1" si="23"/>
        <v>724.82785224797601</v>
      </c>
      <c r="J74" s="208">
        <f t="shared" ca="1" si="23"/>
        <v>666.84162406813789</v>
      </c>
      <c r="K74" s="208">
        <f t="shared" ca="1" si="23"/>
        <v>608.85539588829977</v>
      </c>
      <c r="L74" s="208">
        <f t="shared" ca="1" si="23"/>
        <v>550.86916770846165</v>
      </c>
      <c r="M74" s="208">
        <f t="shared" ca="1" si="23"/>
        <v>492.88293952862358</v>
      </c>
      <c r="N74" s="208">
        <f t="shared" ca="1" si="23"/>
        <v>434.89671134878552</v>
      </c>
      <c r="O74" s="208">
        <f t="shared" ca="1" si="23"/>
        <v>376.91048316894745</v>
      </c>
      <c r="P74" s="208">
        <f t="shared" ca="1" si="23"/>
        <v>318.92425498910939</v>
      </c>
      <c r="Q74" s="208">
        <f t="shared" ca="1" si="23"/>
        <v>260.93802680927132</v>
      </c>
      <c r="R74" s="208">
        <f t="shared" ca="1" si="23"/>
        <v>202.95179862943323</v>
      </c>
      <c r="S74" s="208">
        <f t="shared" ca="1" si="23"/>
        <v>144.96557044959513</v>
      </c>
      <c r="T74" s="208">
        <f t="shared" ca="1" si="23"/>
        <v>86.979342269757041</v>
      </c>
      <c r="U74" s="208">
        <f t="shared" ca="1" si="23"/>
        <v>28.993114089918954</v>
      </c>
      <c r="V74" s="208">
        <f t="shared" ca="1" si="23"/>
        <v>0</v>
      </c>
      <c r="W74" s="208">
        <f t="shared" ca="1" si="23"/>
        <v>0</v>
      </c>
      <c r="X74" s="208">
        <f t="shared" ca="1" si="23"/>
        <v>0</v>
      </c>
      <c r="Y74" s="208">
        <f t="shared" ca="1" si="23"/>
        <v>0</v>
      </c>
      <c r="Z74" s="208">
        <f t="shared" ca="1" si="23"/>
        <v>0</v>
      </c>
      <c r="AA74" s="208">
        <f t="shared" ca="1" si="23"/>
        <v>0</v>
      </c>
      <c r="AB74" s="208">
        <f t="shared" ca="1" si="23"/>
        <v>0</v>
      </c>
      <c r="AC74" s="208">
        <f t="shared" ca="1" si="23"/>
        <v>0</v>
      </c>
      <c r="AD74" s="208">
        <f t="shared" ca="1" si="23"/>
        <v>0</v>
      </c>
      <c r="AE74" s="208">
        <f t="shared" ca="1" si="23"/>
        <v>0</v>
      </c>
      <c r="AF74" s="208">
        <f t="shared" ca="1" si="23"/>
        <v>0</v>
      </c>
      <c r="AG74" s="208">
        <f t="shared" ca="1" si="23"/>
        <v>0</v>
      </c>
      <c r="AH74" s="208">
        <f t="shared" ca="1" si="23"/>
        <v>0</v>
      </c>
      <c r="AI74" s="208">
        <f t="shared" ca="1" si="23"/>
        <v>0</v>
      </c>
    </row>
    <row r="75" spans="1:35" x14ac:dyDescent="0.3">
      <c r="A75" s="5"/>
      <c r="B75" s="5" t="s">
        <v>137</v>
      </c>
      <c r="C75" s="198" t="s">
        <v>11</v>
      </c>
      <c r="D75" s="208">
        <f ca="1">SUM(E75:V75)</f>
        <v>869.79342269757126</v>
      </c>
      <c r="E75" s="175">
        <f ca="1">SUMIF(IDC_Q!$E$6:$AJ$6,E$3,IDC_Q!$E$75:$AI$75)</f>
        <v>407.43400352615367</v>
      </c>
      <c r="F75" s="175">
        <f ca="1">SUMIF(IDC_Q!$E$6:$AJ$6,F$3,IDC_Q!$E$75:$AI$75)</f>
        <v>462.35941917141758</v>
      </c>
      <c r="G75" s="175">
        <f ca="1">SUMIF(IDC_Q!$E$6:$AJ$6,G$3,IDC_Q!$E$75:$AI$75)</f>
        <v>0</v>
      </c>
      <c r="H75" s="175">
        <f ca="1">SUMIF(IDC_Q!$E$6:$AJ$6,H$3,IDC_Q!$E$75:$AI$75)</f>
        <v>0</v>
      </c>
      <c r="I75" s="175">
        <f ca="1">SUMIF(IDC_Q!$E$6:$AJ$6,I$3,IDC_Q!$E$75:$AI$75)</f>
        <v>0</v>
      </c>
      <c r="J75" s="175">
        <f ca="1">SUMIF(IDC_Q!$E$6:$AJ$6,J$3,IDC_Q!$E$75:$AI$75)</f>
        <v>0</v>
      </c>
      <c r="K75" s="175">
        <f ca="1">SUMIF(IDC_Q!$E$6:$AJ$6,K$3,IDC_Q!$E$75:$AI$75)</f>
        <v>0</v>
      </c>
      <c r="L75" s="175">
        <f ca="1">SUMIF(IDC_Q!$E$6:$AJ$6,L$3,IDC_Q!$E$75:$AI$75)</f>
        <v>0</v>
      </c>
      <c r="M75" s="175">
        <f ca="1">SUMIF(IDC_Q!$E$6:$AJ$6,M$3,IDC_Q!$E$75:$AI$75)</f>
        <v>0</v>
      </c>
      <c r="N75" s="175">
        <f ca="1">SUMIF(IDC_Q!$E$6:$AJ$6,N$3,IDC_Q!$E$75:$AI$75)</f>
        <v>0</v>
      </c>
      <c r="O75" s="175">
        <f ca="1">SUMIF(IDC_Q!$E$6:$AJ$6,O$3,IDC_Q!$E$75:$AI$75)</f>
        <v>0</v>
      </c>
      <c r="P75" s="175">
        <f ca="1">SUMIF(IDC_Q!$E$6:$AJ$6,P$3,IDC_Q!$E$75:$AI$75)</f>
        <v>0</v>
      </c>
      <c r="Q75" s="175">
        <f ca="1">SUMIF(IDC_Q!$E$6:$AJ$6,Q$3,IDC_Q!$E$75:$AI$75)</f>
        <v>0</v>
      </c>
      <c r="R75" s="175">
        <f ca="1">SUMIF(IDC_Q!$E$6:$AJ$6,R$3,IDC_Q!$E$75:$AI$75)</f>
        <v>0</v>
      </c>
      <c r="S75" s="175">
        <f ca="1">SUMIF(IDC_Q!$E$6:$AJ$6,S$3,IDC_Q!$E$75:$AI$75)</f>
        <v>0</v>
      </c>
      <c r="T75" s="175">
        <f ca="1">SUMIF(IDC_Q!$E$6:$AJ$6,T$3,IDC_Q!$E$75:$AI$75)</f>
        <v>0</v>
      </c>
      <c r="U75" s="175">
        <f ca="1">SUMIF(IDC_Q!$E$6:$AJ$6,U$3,IDC_Q!$E$75:$AI$75)</f>
        <v>0</v>
      </c>
      <c r="V75" s="175">
        <f ca="1">SUMIF(IDC_Q!$E$6:$AJ$6,V$3,IDC_Q!$E$75:$AI$75)</f>
        <v>0</v>
      </c>
      <c r="W75" s="175">
        <f ca="1">SUMIF(IDC_Q!$E$6:$AJ$6,W$3,IDC_Q!$E$75:$AI$75)</f>
        <v>0</v>
      </c>
      <c r="X75" s="175">
        <f ca="1">SUMIF(IDC_Q!$E$6:$AJ$6,X$3,IDC_Q!$E$75:$AI$75)</f>
        <v>0</v>
      </c>
      <c r="Y75" s="175">
        <f ca="1">SUMIF(IDC_Q!$E$6:$AJ$6,Y$3,IDC_Q!$E$75:$AI$75)</f>
        <v>0</v>
      </c>
      <c r="Z75" s="175">
        <f ca="1">SUMIF(IDC_Q!$E$6:$AJ$6,Z$3,IDC_Q!$E$75:$AI$75)</f>
        <v>0</v>
      </c>
      <c r="AA75" s="175">
        <f ca="1">SUMIF(IDC_Q!$E$6:$AJ$6,AA$3,IDC_Q!$E$75:$AI$75)</f>
        <v>0</v>
      </c>
      <c r="AB75" s="175">
        <f ca="1">SUMIF(IDC_Q!$E$6:$AJ$6,AB$3,IDC_Q!$E$75:$AI$75)</f>
        <v>0</v>
      </c>
      <c r="AC75" s="175">
        <f ca="1">SUMIF(IDC_Q!$E$6:$AJ$6,AC$3,IDC_Q!$E$75:$AI$75)</f>
        <v>0</v>
      </c>
      <c r="AD75" s="175">
        <f ca="1">SUMIF(IDC_Q!$E$6:$AJ$6,AD$3,IDC_Q!$E$75:$AI$75)</f>
        <v>0</v>
      </c>
      <c r="AE75" s="175">
        <f ca="1">SUMIF(IDC_Q!$E$6:$AJ$6,AE$3,IDC_Q!$E$75:$AI$75)</f>
        <v>0</v>
      </c>
      <c r="AF75" s="175">
        <f ca="1">SUMIF(IDC_Q!$E$6:$AJ$6,AF$3,IDC_Q!$E$75:$AI$75)</f>
        <v>0</v>
      </c>
      <c r="AG75" s="175">
        <f ca="1">SUMIF(IDC_Q!$E$6:$AJ$6,AG$3,IDC_Q!$E$75:$AI$75)</f>
        <v>0</v>
      </c>
      <c r="AH75" s="175">
        <f ca="1">SUMIF(IDC_Q!$E$6:$AJ$6,AH$3,IDC_Q!$E$75:$AI$75)</f>
        <v>0</v>
      </c>
      <c r="AI75" s="175">
        <f ca="1">SUMIF(IDC_Q!$E$6:$AJ$6,AI$3,IDC_Q!$E$75:$AI$75)</f>
        <v>0</v>
      </c>
    </row>
    <row r="76" spans="1:35" x14ac:dyDescent="0.3">
      <c r="A76" s="5"/>
      <c r="B76" s="5" t="s">
        <v>136</v>
      </c>
      <c r="C76" s="198" t="s">
        <v>11</v>
      </c>
      <c r="D76" s="205"/>
      <c r="E76" s="208">
        <f>IF(E$10&gt;Input!$E$184,MIN(E74+E75,$D$75/(Input!$E$185)),0)</f>
        <v>0</v>
      </c>
      <c r="F76" s="208">
        <f ca="1">IF(F$10&gt;Input!$E$184,MIN(F74+F75,$D$75/(Input!$E$185*2)),0)</f>
        <v>28.993114089919043</v>
      </c>
      <c r="G76" s="208">
        <f ca="1">IF(G$10&gt;Input!$E$184,MIN(G74+G75,$D$75/(Input!$E$185)),0)</f>
        <v>57.986228179838086</v>
      </c>
      <c r="H76" s="208">
        <f ca="1">IF(H$10&gt;Input!$E$184,MIN(H74+H75,$D$75/(Input!$E$185)),0)</f>
        <v>57.986228179838086</v>
      </c>
      <c r="I76" s="208">
        <f ca="1">IF(I$10&gt;Input!$E$184,MIN(I74+I75,$D$75/(Input!$E$185)),0)</f>
        <v>57.986228179838086</v>
      </c>
      <c r="J76" s="208">
        <f ca="1">IF(J$10&gt;Input!$E$184,MIN(J74+J75,$D$75/(Input!$E$185)),0)</f>
        <v>57.986228179838086</v>
      </c>
      <c r="K76" s="208">
        <f ca="1">IF(K$10&gt;Input!$E$184,MIN(K74+K75,$D$75/(Input!$E$185)),0)</f>
        <v>57.986228179838086</v>
      </c>
      <c r="L76" s="208">
        <f ca="1">IF(L$10&gt;Input!$E$184,MIN(L74+L75,$D$75/(Input!$E$185)),0)</f>
        <v>57.986228179838086</v>
      </c>
      <c r="M76" s="208">
        <f ca="1">IF(M$10&gt;Input!$E$184,MIN(M74+M75,$D$75/(Input!$E$185)),0)</f>
        <v>57.986228179838086</v>
      </c>
      <c r="N76" s="208">
        <f ca="1">IF(N$10&gt;Input!$E$184,MIN(N74+N75,$D$75/(Input!$E$185)),0)</f>
        <v>57.986228179838086</v>
      </c>
      <c r="O76" s="208">
        <f ca="1">IF(O$10&gt;Input!$E$184,MIN(O74+O75,$D$75/(Input!$E$185)),0)</f>
        <v>57.986228179838086</v>
      </c>
      <c r="P76" s="208">
        <f ca="1">IF(P$10&gt;Input!$E$184,MIN(P74+P75,$D$75/(Input!$E$185)),0)</f>
        <v>57.986228179838086</v>
      </c>
      <c r="Q76" s="208">
        <f ca="1">IF(Q$10&gt;Input!$E$184,MIN(Q74+Q75,$D$75/(Input!$E$185)),0)</f>
        <v>57.986228179838086</v>
      </c>
      <c r="R76" s="208">
        <f ca="1">IF(R$10&gt;Input!$E$184,MIN(R74+R75,$D$75/(Input!$E$185)),0)</f>
        <v>57.986228179838086</v>
      </c>
      <c r="S76" s="208">
        <f ca="1">IF(S$10&gt;Input!$E$184,MIN(S74+S75,$D$75/(Input!$E$185)),0)</f>
        <v>57.986228179838086</v>
      </c>
      <c r="T76" s="208">
        <f ca="1">IF(T$10&gt;Input!$E$184,MIN(T74+T75,$D$75/(Input!$E$185)),0)</f>
        <v>57.986228179838086</v>
      </c>
      <c r="U76" s="208">
        <f ca="1">IF(U$10&gt;Input!$E$184,MIN(U74+U75,$D$75/(Input!$E$185)),0)</f>
        <v>28.993114089918954</v>
      </c>
      <c r="V76" s="208">
        <f ca="1">IF(V$10&gt;Input!$E$184,MIN(V74+V75,$D$75/(Input!$E$185)),0)</f>
        <v>0</v>
      </c>
      <c r="W76" s="208">
        <f ca="1">IF(W$10&gt;Input!$E$184,MIN(W74+W75,$D$75/(Input!$E$185)),0)</f>
        <v>0</v>
      </c>
      <c r="X76" s="208">
        <f ca="1">IF(X$10&gt;Input!$E$184,MIN(X74+X75,$D$75/(Input!$E$185)),0)</f>
        <v>0</v>
      </c>
      <c r="Y76" s="208">
        <f ca="1">IF(Y$10&gt;Input!$E$184,MIN(Y74+Y75,$D$75/(Input!$E$185)),0)</f>
        <v>0</v>
      </c>
      <c r="Z76" s="208">
        <f ca="1">IF(Z$10&gt;Input!$E$184,MIN(Z74+Z75,$D$75/(Input!$E$185)),0)</f>
        <v>0</v>
      </c>
      <c r="AA76" s="208">
        <f ca="1">IF(AA$10&gt;Input!$E$184,MIN(AA74+AA75,$D$75/(Input!$E$185)),0)</f>
        <v>0</v>
      </c>
      <c r="AB76" s="208">
        <f ca="1">IF(AB$10&gt;Input!$E$184,MIN(AB74+AB75,$D$75/(Input!$E$185)),0)</f>
        <v>0</v>
      </c>
      <c r="AC76" s="208">
        <f ca="1">IF(AC$10&gt;Input!$E$184,MIN(AC74+AC75,$D$75/(Input!$E$185)),0)</f>
        <v>0</v>
      </c>
      <c r="AD76" s="208">
        <f ca="1">IF(AD$10&gt;Input!$E$184,MIN(AD74+AD75,$D$75/(Input!$E$185)),0)</f>
        <v>0</v>
      </c>
      <c r="AE76" s="208">
        <f ca="1">IF(AE$10&gt;Input!$E$184,MIN(AE74+AE75,$D$75/(Input!$E$185)),0)</f>
        <v>0</v>
      </c>
      <c r="AF76" s="208">
        <f ca="1">IF(AF$10&gt;Input!$E$184,MIN(AF74+AF75,$D$75/(Input!$E$185)),0)</f>
        <v>0</v>
      </c>
      <c r="AG76" s="208">
        <f ca="1">IF(AG$10&gt;Input!$E$184,MIN(AG74+AG75,$D$75/(Input!$E$185)),0)</f>
        <v>0</v>
      </c>
      <c r="AH76" s="208">
        <f ca="1">IF(AH$10&gt;Input!$E$184,MIN(AH74+AH75,$D$75/(Input!$E$185)),0)</f>
        <v>0</v>
      </c>
      <c r="AI76" s="208">
        <f ca="1">IF(AI$10&gt;Input!$E$184,MIN(AI74+AI75,$D$75/(Input!$E$185)),0)</f>
        <v>0</v>
      </c>
    </row>
    <row r="77" spans="1:35" x14ac:dyDescent="0.3">
      <c r="A77" s="5"/>
      <c r="B77" s="5" t="s">
        <v>135</v>
      </c>
      <c r="C77" s="198" t="s">
        <v>11</v>
      </c>
      <c r="D77" s="205"/>
      <c r="E77" s="208">
        <f t="shared" ref="E77:AI77" ca="1" si="24">E74+E75-E76</f>
        <v>407.43400352615367</v>
      </c>
      <c r="F77" s="208">
        <f t="shared" ca="1" si="24"/>
        <v>840.80030860765225</v>
      </c>
      <c r="G77" s="208">
        <f t="shared" ca="1" si="24"/>
        <v>782.81408042781413</v>
      </c>
      <c r="H77" s="208">
        <f t="shared" ca="1" si="24"/>
        <v>724.82785224797601</v>
      </c>
      <c r="I77" s="208">
        <f t="shared" ca="1" si="24"/>
        <v>666.84162406813789</v>
      </c>
      <c r="J77" s="208">
        <f t="shared" ca="1" si="24"/>
        <v>608.85539588829977</v>
      </c>
      <c r="K77" s="208">
        <f t="shared" ca="1" si="24"/>
        <v>550.86916770846165</v>
      </c>
      <c r="L77" s="208">
        <f t="shared" ca="1" si="24"/>
        <v>492.88293952862358</v>
      </c>
      <c r="M77" s="208">
        <f t="shared" ca="1" si="24"/>
        <v>434.89671134878552</v>
      </c>
      <c r="N77" s="208">
        <f t="shared" ca="1" si="24"/>
        <v>376.91048316894745</v>
      </c>
      <c r="O77" s="208">
        <f t="shared" ca="1" si="24"/>
        <v>318.92425498910939</v>
      </c>
      <c r="P77" s="208">
        <f t="shared" ca="1" si="24"/>
        <v>260.93802680927132</v>
      </c>
      <c r="Q77" s="208">
        <f t="shared" ca="1" si="24"/>
        <v>202.95179862943323</v>
      </c>
      <c r="R77" s="208">
        <f t="shared" ca="1" si="24"/>
        <v>144.96557044959513</v>
      </c>
      <c r="S77" s="208">
        <f t="shared" ca="1" si="24"/>
        <v>86.979342269757041</v>
      </c>
      <c r="T77" s="208">
        <f t="shared" ca="1" si="24"/>
        <v>28.993114089918954</v>
      </c>
      <c r="U77" s="208">
        <f t="shared" ca="1" si="24"/>
        <v>0</v>
      </c>
      <c r="V77" s="208">
        <f t="shared" ca="1" si="24"/>
        <v>0</v>
      </c>
      <c r="W77" s="208">
        <f t="shared" ca="1" si="24"/>
        <v>0</v>
      </c>
      <c r="X77" s="208">
        <f t="shared" ca="1" si="24"/>
        <v>0</v>
      </c>
      <c r="Y77" s="208">
        <f t="shared" ca="1" si="24"/>
        <v>0</v>
      </c>
      <c r="Z77" s="208">
        <f t="shared" ca="1" si="24"/>
        <v>0</v>
      </c>
      <c r="AA77" s="208">
        <f t="shared" ca="1" si="24"/>
        <v>0</v>
      </c>
      <c r="AB77" s="208">
        <f t="shared" ca="1" si="24"/>
        <v>0</v>
      </c>
      <c r="AC77" s="208">
        <f t="shared" ca="1" si="24"/>
        <v>0</v>
      </c>
      <c r="AD77" s="208">
        <f t="shared" ca="1" si="24"/>
        <v>0</v>
      </c>
      <c r="AE77" s="208">
        <f t="shared" ca="1" si="24"/>
        <v>0</v>
      </c>
      <c r="AF77" s="208">
        <f t="shared" ca="1" si="24"/>
        <v>0</v>
      </c>
      <c r="AG77" s="208">
        <f t="shared" ca="1" si="24"/>
        <v>0</v>
      </c>
      <c r="AH77" s="208">
        <f t="shared" ca="1" si="24"/>
        <v>0</v>
      </c>
      <c r="AI77" s="208">
        <f t="shared" ca="1" si="24"/>
        <v>0</v>
      </c>
    </row>
    <row r="78" spans="1:35" x14ac:dyDescent="0.3">
      <c r="A78" s="5"/>
      <c r="B78" s="5"/>
      <c r="C78" s="198"/>
      <c r="D78" s="205"/>
      <c r="E78" s="208"/>
      <c r="F78" s="208"/>
      <c r="G78" s="208"/>
      <c r="H78" s="208"/>
      <c r="I78" s="208"/>
      <c r="J78" s="208"/>
      <c r="K78" s="208"/>
      <c r="L78" s="208"/>
      <c r="M78" s="208"/>
      <c r="N78" s="208"/>
      <c r="O78" s="208"/>
      <c r="P78" s="208"/>
      <c r="Q78" s="208"/>
      <c r="R78" s="208"/>
      <c r="S78" s="208"/>
      <c r="T78" s="208"/>
      <c r="U78" s="208"/>
      <c r="V78" s="208"/>
      <c r="W78" s="208"/>
      <c r="X78" s="208"/>
      <c r="Y78" s="208"/>
      <c r="Z78" s="208"/>
      <c r="AA78" s="208"/>
      <c r="AB78" s="208"/>
      <c r="AC78" s="208"/>
      <c r="AD78" s="208"/>
      <c r="AE78" s="208"/>
      <c r="AF78" s="208"/>
      <c r="AG78" s="208"/>
      <c r="AH78" s="208"/>
      <c r="AI78" s="208"/>
    </row>
    <row r="79" spans="1:35" x14ac:dyDescent="0.3">
      <c r="A79" s="5"/>
      <c r="B79" s="5" t="s">
        <v>53</v>
      </c>
      <c r="C79" s="198" t="s">
        <v>0</v>
      </c>
      <c r="D79" s="205"/>
      <c r="E79" s="318">
        <f>Input!$E$186</f>
        <v>0.06</v>
      </c>
      <c r="F79" s="318">
        <f>Input!$E$186</f>
        <v>0.06</v>
      </c>
      <c r="G79" s="318">
        <f>Input!$E$186</f>
        <v>0.06</v>
      </c>
      <c r="H79" s="318">
        <f>Input!$E$186</f>
        <v>0.06</v>
      </c>
      <c r="I79" s="318">
        <f>Input!$E$186</f>
        <v>0.06</v>
      </c>
      <c r="J79" s="318">
        <f>Input!$E$186</f>
        <v>0.06</v>
      </c>
      <c r="K79" s="318">
        <f>Input!$E$186</f>
        <v>0.06</v>
      </c>
      <c r="L79" s="318">
        <f>Input!$E$186</f>
        <v>0.06</v>
      </c>
      <c r="M79" s="318">
        <f>Input!$E$186</f>
        <v>0.06</v>
      </c>
      <c r="N79" s="318">
        <f>Input!$E$186</f>
        <v>0.06</v>
      </c>
      <c r="O79" s="318">
        <f>Input!$E$186</f>
        <v>0.06</v>
      </c>
      <c r="P79" s="318">
        <f>Input!$E$186</f>
        <v>0.06</v>
      </c>
      <c r="Q79" s="318">
        <f>Input!$E$186</f>
        <v>0.06</v>
      </c>
      <c r="R79" s="318">
        <f>Input!$E$186</f>
        <v>0.06</v>
      </c>
      <c r="S79" s="318">
        <f>Input!$E$186</f>
        <v>0.06</v>
      </c>
      <c r="T79" s="318">
        <f>Input!$E$186</f>
        <v>0.06</v>
      </c>
      <c r="U79" s="318">
        <f>Input!$E$186</f>
        <v>0.06</v>
      </c>
      <c r="V79" s="318">
        <f>Input!$E$186</f>
        <v>0.06</v>
      </c>
      <c r="W79" s="318">
        <f>Input!$E$186</f>
        <v>0.06</v>
      </c>
      <c r="X79" s="318">
        <f>Input!$E$186</f>
        <v>0.06</v>
      </c>
      <c r="Y79" s="318">
        <f>Input!$E$186</f>
        <v>0.06</v>
      </c>
      <c r="Z79" s="318">
        <f>Input!$E$186</f>
        <v>0.06</v>
      </c>
      <c r="AA79" s="318">
        <f>Input!$E$186</f>
        <v>0.06</v>
      </c>
      <c r="AB79" s="318">
        <f>Input!$E$186</f>
        <v>0.06</v>
      </c>
      <c r="AC79" s="318">
        <f>Input!$E$186</f>
        <v>0.06</v>
      </c>
      <c r="AD79" s="318">
        <f>Input!$E$186</f>
        <v>0.06</v>
      </c>
      <c r="AE79" s="318">
        <f>Input!$E$186</f>
        <v>0.06</v>
      </c>
      <c r="AF79" s="318">
        <f>Input!$E$186</f>
        <v>0.06</v>
      </c>
      <c r="AG79" s="318">
        <f>Input!$E$186</f>
        <v>0.06</v>
      </c>
      <c r="AH79" s="318">
        <f>Input!$E$186</f>
        <v>0.06</v>
      </c>
      <c r="AI79" s="318">
        <f>Input!$E$186</f>
        <v>0.06</v>
      </c>
    </row>
    <row r="80" spans="1:35" x14ac:dyDescent="0.3">
      <c r="A80" s="5"/>
      <c r="B80" s="5" t="s">
        <v>1</v>
      </c>
      <c r="C80" s="198" t="s">
        <v>11</v>
      </c>
      <c r="D80" s="205"/>
      <c r="E80" s="175">
        <f ca="1">SUMIF(IDC_Q!$E$6:$AJ$6,E$3,IDC_Q!$E$80:$AI$80)</f>
        <v>5.1522659275677096</v>
      </c>
      <c r="F80" s="175">
        <f ca="1">SUMIF(IDC_Q!$E$6:$AJ$6,F$3,IDC_Q!$E$80:$AI$80)</f>
        <v>20.970923762061755</v>
      </c>
      <c r="G80" s="175">
        <f ca="1">SUMIF(IDC_Q!$E$6:$AJ$6,G$3,IDC_Q!$E$80:$AI$80)</f>
        <v>0</v>
      </c>
      <c r="H80" s="175">
        <f ca="1">SUMIF(IDC_Q!$E$6:$AJ$6,H$3,IDC_Q!$E$80:$AI$80)</f>
        <v>0</v>
      </c>
      <c r="I80" s="175">
        <f ca="1">SUMIF(IDC_Q!$E$6:$AJ$6,I$3,IDC_Q!$E$80:$AI$80)</f>
        <v>0</v>
      </c>
      <c r="J80" s="175">
        <f ca="1">SUMIF(IDC_Q!$E$6:$AJ$6,J$3,IDC_Q!$E$80:$AI$80)</f>
        <v>0</v>
      </c>
      <c r="K80" s="175">
        <f ca="1">SUMIF(IDC_Q!$E$6:$AJ$6,K$3,IDC_Q!$E$80:$AI$80)</f>
        <v>0</v>
      </c>
      <c r="L80" s="175">
        <f ca="1">SUMIF(IDC_Q!$E$6:$AJ$6,L$3,IDC_Q!$E$80:$AI$80)</f>
        <v>0</v>
      </c>
      <c r="M80" s="175">
        <f ca="1">SUMIF(IDC_Q!$E$6:$AJ$6,M$3,IDC_Q!$E$80:$AI$80)</f>
        <v>0</v>
      </c>
      <c r="N80" s="175">
        <f ca="1">SUMIF(IDC_Q!$E$6:$AJ$6,N$3,IDC_Q!$E$80:$AI$80)</f>
        <v>0</v>
      </c>
      <c r="O80" s="175">
        <f ca="1">SUMIF(IDC_Q!$E$6:$AJ$6,O$3,IDC_Q!$E$80:$AI$80)</f>
        <v>0</v>
      </c>
      <c r="P80" s="175">
        <f ca="1">SUMIF(IDC_Q!$E$6:$AJ$6,P$3,IDC_Q!$E$80:$AI$80)</f>
        <v>0</v>
      </c>
      <c r="Q80" s="175">
        <f ca="1">SUMIF(IDC_Q!$E$6:$AJ$6,Q$3,IDC_Q!$E$80:$AI$80)</f>
        <v>0</v>
      </c>
      <c r="R80" s="175">
        <f ca="1">SUMIF(IDC_Q!$E$6:$AJ$6,R$3,IDC_Q!$E$80:$AI$80)</f>
        <v>0</v>
      </c>
      <c r="S80" s="175">
        <f ca="1">SUMIF(IDC_Q!$E$6:$AJ$6,S$3,IDC_Q!$E$80:$AI$80)</f>
        <v>0</v>
      </c>
      <c r="T80" s="175">
        <f ca="1">SUMIF(IDC_Q!$E$6:$AJ$6,T$3,IDC_Q!$E$80:$AI$80)</f>
        <v>0</v>
      </c>
      <c r="U80" s="175">
        <f ca="1">SUMIF(IDC_Q!$E$6:$AJ$6,U$3,IDC_Q!$E$80:$AI$80)</f>
        <v>0</v>
      </c>
      <c r="V80" s="175">
        <f ca="1">SUMIF(IDC_Q!$E$6:$AJ$6,V$3,IDC_Q!$E$80:$AI$80)</f>
        <v>0</v>
      </c>
      <c r="W80" s="175">
        <f ca="1">SUMIF(IDC_Q!$E$6:$AJ$6,W$3,IDC_Q!$E$80:$AI$80)</f>
        <v>0</v>
      </c>
      <c r="X80" s="175">
        <f ca="1">SUMIF(IDC_Q!$E$6:$AJ$6,X$3,IDC_Q!$E$80:$AI$80)</f>
        <v>0</v>
      </c>
      <c r="Y80" s="175">
        <f ca="1">SUMIF(IDC_Q!$E$6:$AJ$6,Y$3,IDC_Q!$E$80:$AI$80)</f>
        <v>0</v>
      </c>
      <c r="Z80" s="175">
        <f ca="1">SUMIF(IDC_Q!$E$6:$AJ$6,Z$3,IDC_Q!$E$80:$AI$80)</f>
        <v>0</v>
      </c>
      <c r="AA80" s="175">
        <f ca="1">SUMIF(IDC_Q!$E$6:$AJ$6,AA$3,IDC_Q!$E$80:$AI$80)</f>
        <v>0</v>
      </c>
      <c r="AB80" s="175">
        <f ca="1">SUMIF(IDC_Q!$E$6:$AJ$6,AB$3,IDC_Q!$E$80:$AI$80)</f>
        <v>0</v>
      </c>
      <c r="AC80" s="175">
        <f ca="1">SUMIF(IDC_Q!$E$6:$AJ$6,AC$3,IDC_Q!$E$80:$AI$80)</f>
        <v>0</v>
      </c>
      <c r="AD80" s="175">
        <f ca="1">SUMIF(IDC_Q!$E$6:$AJ$6,AD$3,IDC_Q!$E$80:$AI$80)</f>
        <v>0</v>
      </c>
      <c r="AE80" s="175">
        <f ca="1">SUMIF(IDC_Q!$E$6:$AJ$6,AE$3,IDC_Q!$E$80:$AI$80)</f>
        <v>0</v>
      </c>
      <c r="AF80" s="175">
        <f ca="1">SUMIF(IDC_Q!$E$6:$AJ$6,AF$3,IDC_Q!$E$80:$AI$80)</f>
        <v>0</v>
      </c>
      <c r="AG80" s="175">
        <f ca="1">SUMIF(IDC_Q!$E$6:$AJ$6,AG$3,IDC_Q!$E$80:$AI$80)</f>
        <v>0</v>
      </c>
      <c r="AH80" s="175">
        <f ca="1">SUMIF(IDC_Q!$E$6:$AJ$6,AH$3,IDC_Q!$E$80:$AI$80)</f>
        <v>0</v>
      </c>
      <c r="AI80" s="175">
        <f ca="1">SUMIF(IDC_Q!$E$6:$AJ$6,AI$3,IDC_Q!$E$80:$AI$80)</f>
        <v>0</v>
      </c>
    </row>
    <row r="81" spans="1:35" x14ac:dyDescent="0.3">
      <c r="A81" s="5"/>
      <c r="B81" s="5" t="s">
        <v>134</v>
      </c>
      <c r="C81" s="198" t="s">
        <v>11</v>
      </c>
      <c r="D81" s="208">
        <f ca="1">SUM(E81:AF81)</f>
        <v>384.85524833718586</v>
      </c>
      <c r="E81" s="175">
        <f t="shared" ref="E81:AI81" ca="1" si="25">AVERAGE(E74,E77)*E79*E9</f>
        <v>0</v>
      </c>
      <c r="F81" s="175">
        <f t="shared" ca="1" si="25"/>
        <v>18.672217381508435</v>
      </c>
      <c r="G81" s="175">
        <f t="shared" ca="1" si="25"/>
        <v>48.708431671063991</v>
      </c>
      <c r="H81" s="175">
        <f t="shared" ca="1" si="25"/>
        <v>45.229257980273701</v>
      </c>
      <c r="I81" s="175">
        <f t="shared" ca="1" si="25"/>
        <v>41.750084289483418</v>
      </c>
      <c r="J81" s="175">
        <f t="shared" ca="1" si="25"/>
        <v>38.270910598693128</v>
      </c>
      <c r="K81" s="175">
        <f t="shared" ca="1" si="25"/>
        <v>34.791736907902845</v>
      </c>
      <c r="L81" s="175">
        <f t="shared" ca="1" si="25"/>
        <v>31.312563217112558</v>
      </c>
      <c r="M81" s="175">
        <f t="shared" ca="1" si="25"/>
        <v>27.833389526322271</v>
      </c>
      <c r="N81" s="175">
        <f t="shared" ca="1" si="25"/>
        <v>24.354215835531988</v>
      </c>
      <c r="O81" s="175">
        <f t="shared" ca="1" si="25"/>
        <v>20.875042144741702</v>
      </c>
      <c r="P81" s="175">
        <f t="shared" ca="1" si="25"/>
        <v>17.395868453951422</v>
      </c>
      <c r="Q81" s="175">
        <f t="shared" ca="1" si="25"/>
        <v>13.916694763161136</v>
      </c>
      <c r="R81" s="175">
        <f t="shared" ca="1" si="25"/>
        <v>10.437521072370851</v>
      </c>
      <c r="S81" s="175">
        <f t="shared" ca="1" si="25"/>
        <v>6.9583473815805652</v>
      </c>
      <c r="T81" s="175">
        <f t="shared" ca="1" si="25"/>
        <v>3.4791736907902795</v>
      </c>
      <c r="U81" s="175">
        <f t="shared" ca="1" si="25"/>
        <v>0.86979342269756865</v>
      </c>
      <c r="V81" s="175">
        <f t="shared" ca="1" si="25"/>
        <v>0</v>
      </c>
      <c r="W81" s="175">
        <f t="shared" ca="1" si="25"/>
        <v>0</v>
      </c>
      <c r="X81" s="175">
        <f t="shared" ca="1" si="25"/>
        <v>0</v>
      </c>
      <c r="Y81" s="175">
        <f t="shared" ca="1" si="25"/>
        <v>0</v>
      </c>
      <c r="Z81" s="175">
        <f t="shared" ca="1" si="25"/>
        <v>0</v>
      </c>
      <c r="AA81" s="175">
        <f t="shared" ca="1" si="25"/>
        <v>0</v>
      </c>
      <c r="AB81" s="175">
        <f t="shared" ca="1" si="25"/>
        <v>0</v>
      </c>
      <c r="AC81" s="175">
        <f t="shared" ca="1" si="25"/>
        <v>0</v>
      </c>
      <c r="AD81" s="175">
        <f t="shared" ca="1" si="25"/>
        <v>0</v>
      </c>
      <c r="AE81" s="175">
        <f t="shared" ca="1" si="25"/>
        <v>0</v>
      </c>
      <c r="AF81" s="175">
        <f t="shared" ca="1" si="25"/>
        <v>0</v>
      </c>
      <c r="AG81" s="175">
        <f t="shared" ca="1" si="25"/>
        <v>0</v>
      </c>
      <c r="AH81" s="175">
        <f t="shared" ca="1" si="25"/>
        <v>0</v>
      </c>
      <c r="AI81" s="175">
        <f t="shared" ca="1" si="25"/>
        <v>0</v>
      </c>
    </row>
    <row r="82" spans="1:35" x14ac:dyDescent="0.3">
      <c r="A82" s="8"/>
    </row>
    <row r="83" spans="1:35" x14ac:dyDescent="0.3">
      <c r="A83" s="210" t="s">
        <v>175</v>
      </c>
      <c r="B83" s="178"/>
      <c r="C83" s="195"/>
      <c r="D83" s="211"/>
      <c r="E83" s="212"/>
      <c r="F83" s="212"/>
      <c r="G83" s="212"/>
      <c r="H83" s="212"/>
      <c r="I83" s="212"/>
      <c r="J83" s="212"/>
      <c r="K83" s="212"/>
      <c r="L83" s="212"/>
      <c r="M83" s="212"/>
      <c r="N83" s="212"/>
      <c r="O83" s="212"/>
      <c r="P83" s="212"/>
      <c r="Q83" s="212"/>
      <c r="R83" s="212"/>
      <c r="S83" s="212"/>
      <c r="T83" s="212"/>
      <c r="U83" s="211"/>
      <c r="V83" s="211"/>
      <c r="W83" s="211"/>
      <c r="X83" s="211"/>
      <c r="Y83" s="211"/>
      <c r="Z83" s="211"/>
      <c r="AA83" s="211"/>
      <c r="AB83" s="211"/>
      <c r="AC83" s="211"/>
      <c r="AD83" s="211"/>
      <c r="AE83" s="211"/>
      <c r="AF83" s="211"/>
      <c r="AG83" s="211"/>
      <c r="AH83" s="211"/>
      <c r="AI83" s="211"/>
    </row>
    <row r="84" spans="1:35" x14ac:dyDescent="0.3">
      <c r="A84" s="5"/>
      <c r="B84" s="5" t="s">
        <v>138</v>
      </c>
      <c r="C84" s="198" t="s">
        <v>11</v>
      </c>
      <c r="D84" s="205"/>
      <c r="E84" s="208">
        <f t="shared" ref="E84" si="26">D87</f>
        <v>0</v>
      </c>
      <c r="F84" s="208">
        <f t="shared" ref="F84:AI84" ca="1" si="27">E87</f>
        <v>0</v>
      </c>
      <c r="G84" s="208">
        <f t="shared" ca="1" si="27"/>
        <v>0</v>
      </c>
      <c r="H84" s="208">
        <f t="shared" ca="1" si="27"/>
        <v>0</v>
      </c>
      <c r="I84" s="208">
        <f t="shared" ca="1" si="27"/>
        <v>0</v>
      </c>
      <c r="J84" s="208">
        <f t="shared" ca="1" si="27"/>
        <v>0</v>
      </c>
      <c r="K84" s="208">
        <f t="shared" ca="1" si="27"/>
        <v>0</v>
      </c>
      <c r="L84" s="208">
        <f t="shared" ca="1" si="27"/>
        <v>0</v>
      </c>
      <c r="M84" s="208">
        <f t="shared" ca="1" si="27"/>
        <v>0</v>
      </c>
      <c r="N84" s="208">
        <f t="shared" ca="1" si="27"/>
        <v>0</v>
      </c>
      <c r="O84" s="208">
        <f t="shared" ca="1" si="27"/>
        <v>0</v>
      </c>
      <c r="P84" s="208">
        <f t="shared" ca="1" si="27"/>
        <v>0</v>
      </c>
      <c r="Q84" s="208">
        <f t="shared" ca="1" si="27"/>
        <v>0</v>
      </c>
      <c r="R84" s="208">
        <f t="shared" ca="1" si="27"/>
        <v>0</v>
      </c>
      <c r="S84" s="208">
        <f t="shared" ca="1" si="27"/>
        <v>0</v>
      </c>
      <c r="T84" s="208">
        <f t="shared" ca="1" si="27"/>
        <v>0</v>
      </c>
      <c r="U84" s="208">
        <f t="shared" ca="1" si="27"/>
        <v>0</v>
      </c>
      <c r="V84" s="208">
        <f t="shared" ca="1" si="27"/>
        <v>0</v>
      </c>
      <c r="W84" s="208">
        <f t="shared" ca="1" si="27"/>
        <v>0</v>
      </c>
      <c r="X84" s="208">
        <f t="shared" ca="1" si="27"/>
        <v>0</v>
      </c>
      <c r="Y84" s="208">
        <f t="shared" ca="1" si="27"/>
        <v>0</v>
      </c>
      <c r="Z84" s="208">
        <f t="shared" ca="1" si="27"/>
        <v>0</v>
      </c>
      <c r="AA84" s="208">
        <f t="shared" ca="1" si="27"/>
        <v>0</v>
      </c>
      <c r="AB84" s="208">
        <f t="shared" ca="1" si="27"/>
        <v>0</v>
      </c>
      <c r="AC84" s="208">
        <f t="shared" ca="1" si="27"/>
        <v>0</v>
      </c>
      <c r="AD84" s="208">
        <f t="shared" ca="1" si="27"/>
        <v>0</v>
      </c>
      <c r="AE84" s="208">
        <f t="shared" ca="1" si="27"/>
        <v>0</v>
      </c>
      <c r="AF84" s="208">
        <f t="shared" ca="1" si="27"/>
        <v>0</v>
      </c>
      <c r="AG84" s="208">
        <f t="shared" ca="1" si="27"/>
        <v>0</v>
      </c>
      <c r="AH84" s="208">
        <f t="shared" ca="1" si="27"/>
        <v>0</v>
      </c>
      <c r="AI84" s="208">
        <f t="shared" ca="1" si="27"/>
        <v>0</v>
      </c>
    </row>
    <row r="85" spans="1:35" x14ac:dyDescent="0.3">
      <c r="A85" s="5"/>
      <c r="B85" s="5" t="s">
        <v>137</v>
      </c>
      <c r="C85" s="198" t="s">
        <v>11</v>
      </c>
      <c r="D85" s="208">
        <f ca="1">SUM(E85:V85)</f>
        <v>0</v>
      </c>
      <c r="E85" s="175">
        <f ca="1">SUMIF(IDC_Q!$E$6:$AJ$6,E$3,IDC_Q!$E85:$AI85)</f>
        <v>0</v>
      </c>
      <c r="F85" s="175">
        <f ca="1">SUMIF(IDC_Q!$E$6:$AJ$6,F$3,IDC_Q!$E85:$AI85)</f>
        <v>0</v>
      </c>
      <c r="G85" s="175">
        <f ca="1">SUMIF(IDC_Q!$E$6:$AJ$6,G$3,IDC_Q!$E85:$AI85)</f>
        <v>0</v>
      </c>
      <c r="H85" s="175">
        <f ca="1">SUMIF(IDC_Q!$E$6:$AJ$6,H$3,IDC_Q!$E85:$AI85)</f>
        <v>0</v>
      </c>
      <c r="I85" s="175">
        <f ca="1">SUMIF(IDC_Q!$E$6:$AJ$6,I$3,IDC_Q!$E85:$AI85)</f>
        <v>0</v>
      </c>
      <c r="J85" s="175">
        <f ca="1">SUMIF(IDC_Q!$E$6:$AJ$6,J$3,IDC_Q!$E85:$AI85)</f>
        <v>0</v>
      </c>
      <c r="K85" s="175">
        <f ca="1">SUMIF(IDC_Q!$E$6:$AJ$6,K$3,IDC_Q!$E85:$AI85)</f>
        <v>0</v>
      </c>
      <c r="L85" s="175">
        <f ca="1">SUMIF(IDC_Q!$E$6:$AJ$6,L$3,IDC_Q!$E85:$AI85)</f>
        <v>0</v>
      </c>
      <c r="M85" s="175">
        <f ca="1">SUMIF(IDC_Q!$E$6:$AJ$6,M$3,IDC_Q!$E85:$AI85)</f>
        <v>0</v>
      </c>
      <c r="N85" s="175">
        <f ca="1">SUMIF(IDC_Q!$E$6:$AJ$6,N$3,IDC_Q!$E85:$AI85)</f>
        <v>0</v>
      </c>
      <c r="O85" s="175">
        <f ca="1">SUMIF(IDC_Q!$E$6:$AJ$6,O$3,IDC_Q!$E85:$AI85)</f>
        <v>0</v>
      </c>
      <c r="P85" s="175">
        <f ca="1">SUMIF(IDC_Q!$E$6:$AJ$6,P$3,IDC_Q!$E85:$AI85)</f>
        <v>0</v>
      </c>
      <c r="Q85" s="175">
        <f ca="1">SUMIF(IDC_Q!$E$6:$AJ$6,Q$3,IDC_Q!$E85:$AI85)</f>
        <v>0</v>
      </c>
      <c r="R85" s="175">
        <f ca="1">SUMIF(IDC_Q!$E$6:$AJ$6,R$3,IDC_Q!$E85:$AI85)</f>
        <v>0</v>
      </c>
      <c r="S85" s="175">
        <f ca="1">SUMIF(IDC_Q!$E$6:$AJ$6,S$3,IDC_Q!$E85:$AI85)</f>
        <v>0</v>
      </c>
      <c r="T85" s="175">
        <f ca="1">SUMIF(IDC_Q!$E$6:$AJ$6,T$3,IDC_Q!$E85:$AI85)</f>
        <v>0</v>
      </c>
      <c r="U85" s="175">
        <f ca="1">SUMIF(IDC_Q!$E$6:$AJ$6,U$3,IDC_Q!$E85:$AI85)</f>
        <v>0</v>
      </c>
      <c r="V85" s="175">
        <f ca="1">SUMIF(IDC_Q!$E$6:$AJ$6,V$3,IDC_Q!$E85:$AI85)</f>
        <v>0</v>
      </c>
      <c r="W85" s="175">
        <f ca="1">SUMIF(IDC_Q!$E$6:$AJ$6,W$3,IDC_Q!$E85:$AI85)</f>
        <v>0</v>
      </c>
      <c r="X85" s="175">
        <f ca="1">SUMIF(IDC_Q!$E$6:$AJ$6,X$3,IDC_Q!$E85:$AI85)</f>
        <v>0</v>
      </c>
      <c r="Y85" s="175">
        <f ca="1">SUMIF(IDC_Q!$E$6:$AJ$6,Y$3,IDC_Q!$E85:$AI85)</f>
        <v>0</v>
      </c>
      <c r="Z85" s="175">
        <f ca="1">SUMIF(IDC_Q!$E$6:$AJ$6,Z$3,IDC_Q!$E85:$AI85)</f>
        <v>0</v>
      </c>
      <c r="AA85" s="175">
        <f ca="1">SUMIF(IDC_Q!$E$6:$AJ$6,AA$3,IDC_Q!$E85:$AI85)</f>
        <v>0</v>
      </c>
      <c r="AB85" s="175">
        <f ca="1">SUMIF(IDC_Q!$E$6:$AJ$6,AB$3,IDC_Q!$E85:$AI85)</f>
        <v>0</v>
      </c>
      <c r="AC85" s="175">
        <f ca="1">SUMIF(IDC_Q!$E$6:$AJ$6,AC$3,IDC_Q!$E85:$AI85)</f>
        <v>0</v>
      </c>
      <c r="AD85" s="175">
        <f ca="1">SUMIF(IDC_Q!$E$6:$AJ$6,AD$3,IDC_Q!$E85:$AI85)</f>
        <v>0</v>
      </c>
      <c r="AE85" s="175">
        <f ca="1">SUMIF(IDC_Q!$E$6:$AJ$6,AE$3,IDC_Q!$E85:$AI85)</f>
        <v>0</v>
      </c>
      <c r="AF85" s="175">
        <f ca="1">SUMIF(IDC_Q!$E$6:$AJ$6,AF$3,IDC_Q!$E85:$AI85)</f>
        <v>0</v>
      </c>
      <c r="AG85" s="175">
        <f ca="1">SUMIF(IDC_Q!$E$6:$AJ$6,AG$3,IDC_Q!$E85:$AI85)</f>
        <v>0</v>
      </c>
      <c r="AH85" s="175">
        <f ca="1">SUMIF(IDC_Q!$E$6:$AJ$6,AH$3,IDC_Q!$E85:$AI85)</f>
        <v>0</v>
      </c>
      <c r="AI85" s="175">
        <f ca="1">SUMIF(IDC_Q!$E$6:$AJ$6,AI$3,IDC_Q!$E85:$AI85)</f>
        <v>0</v>
      </c>
    </row>
    <row r="86" spans="1:35" x14ac:dyDescent="0.3">
      <c r="A86" s="5"/>
      <c r="B86" s="5" t="s">
        <v>136</v>
      </c>
      <c r="C86" s="198" t="s">
        <v>11</v>
      </c>
      <c r="D86" s="205"/>
      <c r="E86" s="208">
        <f>IF(E$10&gt;Input!$E$188,MIN(E84+E85,$D$85/(Input!$E$189)),0)</f>
        <v>0</v>
      </c>
      <c r="F86" s="208">
        <f ca="1">IF(F$10&gt;Input!$E$188,MIN(F84+F85,$D$85/(Input!$E$189)),0)</f>
        <v>0</v>
      </c>
      <c r="G86" s="208">
        <f ca="1">IF(G$10&gt;Input!$E$188,MIN(G84+G85,$D$85/(Input!$E$189)),0)</f>
        <v>0</v>
      </c>
      <c r="H86" s="208">
        <f ca="1">IF(H$10&gt;Input!$E$188,MIN(H84+H85,$D$85/(Input!$E$189)),0)</f>
        <v>0</v>
      </c>
      <c r="I86" s="208">
        <f ca="1">IF(I$10&gt;Input!$E$188,MIN(I84+I85,$D$85/(Input!$E$189)),0)</f>
        <v>0</v>
      </c>
      <c r="J86" s="208">
        <f ca="1">IF(J$10&gt;Input!$E$188,MIN(J84+J85,$D$85/(Input!$E$189)),0)</f>
        <v>0</v>
      </c>
      <c r="K86" s="208">
        <f ca="1">IF(K$10&gt;Input!$E$188,MIN(K84+K85,$D$85/(Input!$E$189)),0)</f>
        <v>0</v>
      </c>
      <c r="L86" s="208">
        <f ca="1">IF(L$10&gt;Input!$E$188,MIN(L84+L85,$D$85/(Input!$E$189)),0)</f>
        <v>0</v>
      </c>
      <c r="M86" s="208">
        <f ca="1">IF(M$10&gt;Input!$E$188,MIN(M84+M85,$D$85/(Input!$E$189)),0)</f>
        <v>0</v>
      </c>
      <c r="N86" s="208">
        <f ca="1">IF(N$10&gt;Input!$E$188,MIN(N84+N85,$D$85/(Input!$E$189)),0)</f>
        <v>0</v>
      </c>
      <c r="O86" s="208">
        <f ca="1">IF(O$10&gt;Input!$E$188,MIN(O84+O85,$D$85/(Input!$E$189)),0)</f>
        <v>0</v>
      </c>
      <c r="P86" s="208">
        <f ca="1">IF(P$10&gt;Input!$E$188,MIN(P84+P85,$D$85/(Input!$E$189)),0)</f>
        <v>0</v>
      </c>
      <c r="Q86" s="208">
        <f ca="1">IF(Q$10&gt;Input!$E$188,MIN(Q84+Q85,$D$85/(Input!$E$189)),0)</f>
        <v>0</v>
      </c>
      <c r="R86" s="208">
        <f ca="1">IF(R$10&gt;Input!$E$188,MIN(R84+R85,$D$85/(Input!$E$189)),0)</f>
        <v>0</v>
      </c>
      <c r="S86" s="208">
        <f ca="1">IF(S$10&gt;Input!$E$188,MIN(S84+S85,$D$85/(Input!$E$189)),0)</f>
        <v>0</v>
      </c>
      <c r="T86" s="208">
        <f ca="1">IF(T$10&gt;Input!$E$188,MIN(T84+T85,$D$85/(Input!$E$189)),0)</f>
        <v>0</v>
      </c>
      <c r="U86" s="208">
        <f ca="1">IF(U$10&gt;Input!$E$188,MIN(U84+U85,$D$85/(Input!$E$189)),0)</f>
        <v>0</v>
      </c>
      <c r="V86" s="208">
        <f ca="1">IF(V$10&gt;Input!$E$188,MIN(V84+V85,$D$85/(Input!$E$189)),0)</f>
        <v>0</v>
      </c>
      <c r="W86" s="208">
        <f ca="1">IF(W$10&gt;Input!$E$188,MIN(W84+W85,$D$85/(Input!$E$189)),0)</f>
        <v>0</v>
      </c>
      <c r="X86" s="208">
        <f ca="1">IF(X$10&gt;Input!$E$188,MIN(X84+X85,$D$85/(Input!$E$189)),0)</f>
        <v>0</v>
      </c>
      <c r="Y86" s="208">
        <f ca="1">IF(Y$10&gt;Input!$E$188,MIN(Y84+Y85,$D$85/(Input!$E$189)),0)</f>
        <v>0</v>
      </c>
      <c r="Z86" s="208">
        <f ca="1">IF(Z$10&gt;Input!$E$188,MIN(Z84+Z85,$D$85/(Input!$E$189)),0)</f>
        <v>0</v>
      </c>
      <c r="AA86" s="208">
        <f ca="1">IF(AA$10&gt;Input!$E$188,MIN(AA84+AA85,$D$85/(Input!$E$189)),0)</f>
        <v>0</v>
      </c>
      <c r="AB86" s="208">
        <f ca="1">IF(AB$10&gt;Input!$E$188,MIN(AB84+AB85,$D$85/(Input!$E$189)),0)</f>
        <v>0</v>
      </c>
      <c r="AC86" s="208">
        <f ca="1">IF(AC$10&gt;Input!$E$188,MIN(AC84+AC85,$D$85/(Input!$E$189)),0)</f>
        <v>0</v>
      </c>
      <c r="AD86" s="208">
        <f ca="1">IF(AD$10&gt;Input!$E$188,MIN(AD84+AD85,$D$85/(Input!$E$189)),0)</f>
        <v>0</v>
      </c>
      <c r="AE86" s="208">
        <f ca="1">IF(AE$10&gt;Input!$E$188,MIN(AE84+AE85,$D$85/(Input!$E$189)),0)</f>
        <v>0</v>
      </c>
      <c r="AF86" s="208">
        <f ca="1">IF(AF$10&gt;Input!$E$188,MIN(AF84+AF85,$D$85/(Input!$E$189)),0)</f>
        <v>0</v>
      </c>
      <c r="AG86" s="208">
        <f ca="1">IF(AG$10&gt;Input!$E$188,MIN(AG84+AG85,$D$85/(Input!$E$189)),0)</f>
        <v>0</v>
      </c>
      <c r="AH86" s="208">
        <f ca="1">IF(AH$10&gt;Input!$E$188,MIN(AH84+AH85,$D$85/(Input!$E$189)),0)</f>
        <v>0</v>
      </c>
      <c r="AI86" s="208">
        <f ca="1">IF(AI$10&gt;Input!$E$188,MIN(AI84+AI85,$D$85/(Input!$E$189)),0)</f>
        <v>0</v>
      </c>
    </row>
    <row r="87" spans="1:35" x14ac:dyDescent="0.3">
      <c r="A87" s="5"/>
      <c r="B87" s="5" t="s">
        <v>135</v>
      </c>
      <c r="C87" s="198" t="s">
        <v>11</v>
      </c>
      <c r="D87" s="205"/>
      <c r="E87" s="208">
        <f t="shared" ref="E87:AI87" ca="1" si="28">E84+E85-E86</f>
        <v>0</v>
      </c>
      <c r="F87" s="208">
        <f t="shared" ca="1" si="28"/>
        <v>0</v>
      </c>
      <c r="G87" s="208">
        <f t="shared" ca="1" si="28"/>
        <v>0</v>
      </c>
      <c r="H87" s="208">
        <f t="shared" ca="1" si="28"/>
        <v>0</v>
      </c>
      <c r="I87" s="208">
        <f t="shared" ca="1" si="28"/>
        <v>0</v>
      </c>
      <c r="J87" s="208">
        <f t="shared" ca="1" si="28"/>
        <v>0</v>
      </c>
      <c r="K87" s="208">
        <f t="shared" ca="1" si="28"/>
        <v>0</v>
      </c>
      <c r="L87" s="208">
        <f t="shared" ca="1" si="28"/>
        <v>0</v>
      </c>
      <c r="M87" s="208">
        <f t="shared" ca="1" si="28"/>
        <v>0</v>
      </c>
      <c r="N87" s="208">
        <f t="shared" ca="1" si="28"/>
        <v>0</v>
      </c>
      <c r="O87" s="208">
        <f t="shared" ca="1" si="28"/>
        <v>0</v>
      </c>
      <c r="P87" s="208">
        <f t="shared" ca="1" si="28"/>
        <v>0</v>
      </c>
      <c r="Q87" s="208">
        <f t="shared" ca="1" si="28"/>
        <v>0</v>
      </c>
      <c r="R87" s="208">
        <f t="shared" ca="1" si="28"/>
        <v>0</v>
      </c>
      <c r="S87" s="208">
        <f t="shared" ca="1" si="28"/>
        <v>0</v>
      </c>
      <c r="T87" s="208">
        <f t="shared" ca="1" si="28"/>
        <v>0</v>
      </c>
      <c r="U87" s="208">
        <f t="shared" ca="1" si="28"/>
        <v>0</v>
      </c>
      <c r="V87" s="208">
        <f t="shared" ca="1" si="28"/>
        <v>0</v>
      </c>
      <c r="W87" s="208">
        <f t="shared" ca="1" si="28"/>
        <v>0</v>
      </c>
      <c r="X87" s="208">
        <f t="shared" ca="1" si="28"/>
        <v>0</v>
      </c>
      <c r="Y87" s="208">
        <f t="shared" ca="1" si="28"/>
        <v>0</v>
      </c>
      <c r="Z87" s="208">
        <f t="shared" ca="1" si="28"/>
        <v>0</v>
      </c>
      <c r="AA87" s="208">
        <f t="shared" ca="1" si="28"/>
        <v>0</v>
      </c>
      <c r="AB87" s="208">
        <f t="shared" ca="1" si="28"/>
        <v>0</v>
      </c>
      <c r="AC87" s="208">
        <f t="shared" ca="1" si="28"/>
        <v>0</v>
      </c>
      <c r="AD87" s="208">
        <f t="shared" ca="1" si="28"/>
        <v>0</v>
      </c>
      <c r="AE87" s="208">
        <f t="shared" ca="1" si="28"/>
        <v>0</v>
      </c>
      <c r="AF87" s="208">
        <f t="shared" ca="1" si="28"/>
        <v>0</v>
      </c>
      <c r="AG87" s="208">
        <f t="shared" ca="1" si="28"/>
        <v>0</v>
      </c>
      <c r="AH87" s="208">
        <f t="shared" ca="1" si="28"/>
        <v>0</v>
      </c>
      <c r="AI87" s="208">
        <f t="shared" ca="1" si="28"/>
        <v>0</v>
      </c>
    </row>
    <row r="88" spans="1:35" x14ac:dyDescent="0.3">
      <c r="A88" s="5"/>
      <c r="B88" s="5"/>
      <c r="C88" s="198"/>
      <c r="D88" s="205"/>
      <c r="E88" s="208"/>
      <c r="F88" s="208"/>
      <c r="G88" s="208"/>
      <c r="H88" s="208"/>
      <c r="I88" s="208"/>
      <c r="J88" s="208"/>
      <c r="K88" s="208"/>
      <c r="L88" s="208"/>
      <c r="M88" s="208"/>
      <c r="N88" s="208"/>
      <c r="O88" s="208"/>
      <c r="P88" s="208"/>
      <c r="Q88" s="208"/>
      <c r="R88" s="208"/>
      <c r="S88" s="208"/>
      <c r="T88" s="208"/>
      <c r="U88" s="208"/>
      <c r="V88" s="208"/>
      <c r="W88" s="208"/>
      <c r="X88" s="208"/>
      <c r="Y88" s="208"/>
      <c r="Z88" s="208"/>
      <c r="AA88" s="208"/>
      <c r="AB88" s="208"/>
      <c r="AC88" s="208"/>
      <c r="AD88" s="208"/>
      <c r="AE88" s="208"/>
      <c r="AF88" s="208"/>
      <c r="AG88" s="208"/>
      <c r="AH88" s="208"/>
      <c r="AI88" s="208"/>
    </row>
    <row r="89" spans="1:35" x14ac:dyDescent="0.3">
      <c r="A89" s="5"/>
      <c r="B89" s="5" t="s">
        <v>53</v>
      </c>
      <c r="C89" s="198" t="s">
        <v>0</v>
      </c>
      <c r="D89" s="205"/>
      <c r="E89" s="318">
        <f>Input!$E$190</f>
        <v>8.5000000000000006E-2</v>
      </c>
      <c r="F89" s="318">
        <f>Input!$E$190</f>
        <v>8.5000000000000006E-2</v>
      </c>
      <c r="G89" s="318">
        <f>Input!$E$190</f>
        <v>8.5000000000000006E-2</v>
      </c>
      <c r="H89" s="318">
        <f>Input!$E$190</f>
        <v>8.5000000000000006E-2</v>
      </c>
      <c r="I89" s="318">
        <f>Input!$E$190</f>
        <v>8.5000000000000006E-2</v>
      </c>
      <c r="J89" s="318">
        <f>Input!$E$190</f>
        <v>8.5000000000000006E-2</v>
      </c>
      <c r="K89" s="318">
        <f>Input!$E$190</f>
        <v>8.5000000000000006E-2</v>
      </c>
      <c r="L89" s="318">
        <f>Input!$E$190</f>
        <v>8.5000000000000006E-2</v>
      </c>
      <c r="M89" s="318">
        <f>Input!$E$190</f>
        <v>8.5000000000000006E-2</v>
      </c>
      <c r="N89" s="318">
        <f>Input!$E$190</f>
        <v>8.5000000000000006E-2</v>
      </c>
      <c r="O89" s="318">
        <f>Input!$E$190</f>
        <v>8.5000000000000006E-2</v>
      </c>
      <c r="P89" s="318">
        <f>Input!$E$190</f>
        <v>8.5000000000000006E-2</v>
      </c>
      <c r="Q89" s="318">
        <f>Input!$E$190</f>
        <v>8.5000000000000006E-2</v>
      </c>
      <c r="R89" s="318">
        <f>Input!$E$190</f>
        <v>8.5000000000000006E-2</v>
      </c>
      <c r="S89" s="318">
        <f>Input!$E$190</f>
        <v>8.5000000000000006E-2</v>
      </c>
      <c r="T89" s="318">
        <f>Input!$E$190</f>
        <v>8.5000000000000006E-2</v>
      </c>
      <c r="U89" s="318">
        <f>Input!$E$190</f>
        <v>8.5000000000000006E-2</v>
      </c>
      <c r="V89" s="318">
        <f>Input!$E$190</f>
        <v>8.5000000000000006E-2</v>
      </c>
      <c r="W89" s="318">
        <f>Input!$E$190</f>
        <v>8.5000000000000006E-2</v>
      </c>
      <c r="X89" s="318">
        <f>Input!$E$190</f>
        <v>8.5000000000000006E-2</v>
      </c>
      <c r="Y89" s="318">
        <f>Input!$E$190</f>
        <v>8.5000000000000006E-2</v>
      </c>
      <c r="Z89" s="318">
        <f>Input!$E$190</f>
        <v>8.5000000000000006E-2</v>
      </c>
      <c r="AA89" s="318">
        <f>Input!$E$190</f>
        <v>8.5000000000000006E-2</v>
      </c>
      <c r="AB89" s="318">
        <f>Input!$E$190</f>
        <v>8.5000000000000006E-2</v>
      </c>
      <c r="AC89" s="318">
        <f>Input!$E$190</f>
        <v>8.5000000000000006E-2</v>
      </c>
      <c r="AD89" s="318">
        <f>Input!$E$190</f>
        <v>8.5000000000000006E-2</v>
      </c>
      <c r="AE89" s="318">
        <f>Input!$E$190</f>
        <v>8.5000000000000006E-2</v>
      </c>
      <c r="AF89" s="318">
        <f>Input!$E$190</f>
        <v>8.5000000000000006E-2</v>
      </c>
      <c r="AG89" s="318">
        <f>Input!$E$190</f>
        <v>8.5000000000000006E-2</v>
      </c>
      <c r="AH89" s="318">
        <f>Input!$E$190</f>
        <v>8.5000000000000006E-2</v>
      </c>
      <c r="AI89" s="318">
        <f>Input!$E$190</f>
        <v>8.5000000000000006E-2</v>
      </c>
    </row>
    <row r="90" spans="1:35" x14ac:dyDescent="0.3">
      <c r="A90" s="5"/>
      <c r="B90" s="5" t="s">
        <v>1</v>
      </c>
      <c r="C90" s="198" t="s">
        <v>11</v>
      </c>
      <c r="D90" s="205"/>
      <c r="E90" s="175">
        <f ca="1">SUMIF(IDC_Q!$E$6:$AJ$6,E$3,IDC_Q!$E90:$AI90)</f>
        <v>0</v>
      </c>
      <c r="F90" s="175">
        <f ca="1">SUMIF(IDC_Q!$E$6:$AJ$6,F$3,IDC_Q!$E90:$AI90)</f>
        <v>0</v>
      </c>
      <c r="G90" s="175">
        <f ca="1">SUMIF(IDC_Q!$E$6:$AJ$6,G$3,IDC_Q!$E90:$AI90)</f>
        <v>0</v>
      </c>
      <c r="H90" s="175">
        <f ca="1">SUMIF(IDC_Q!$E$6:$AJ$6,H$3,IDC_Q!$E90:$AI90)</f>
        <v>0</v>
      </c>
      <c r="I90" s="175">
        <f ca="1">SUMIF(IDC_Q!$E$6:$AJ$6,I$3,IDC_Q!$E90:$AI90)</f>
        <v>0</v>
      </c>
      <c r="J90" s="175">
        <f ca="1">SUMIF(IDC_Q!$E$6:$AJ$6,J$3,IDC_Q!$E90:$AI90)</f>
        <v>0</v>
      </c>
      <c r="K90" s="175">
        <f ca="1">SUMIF(IDC_Q!$E$6:$AJ$6,K$3,IDC_Q!$E90:$AI90)</f>
        <v>0</v>
      </c>
      <c r="L90" s="175">
        <f ca="1">SUMIF(IDC_Q!$E$6:$AJ$6,L$3,IDC_Q!$E90:$AI90)</f>
        <v>0</v>
      </c>
      <c r="M90" s="175">
        <f ca="1">SUMIF(IDC_Q!$E$6:$AJ$6,M$3,IDC_Q!$E90:$AI90)</f>
        <v>0</v>
      </c>
      <c r="N90" s="175">
        <f ca="1">SUMIF(IDC_Q!$E$6:$AJ$6,N$3,IDC_Q!$E90:$AI90)</f>
        <v>0</v>
      </c>
      <c r="O90" s="175">
        <f ca="1">SUMIF(IDC_Q!$E$6:$AJ$6,O$3,IDC_Q!$E90:$AI90)</f>
        <v>0</v>
      </c>
      <c r="P90" s="175">
        <f ca="1">SUMIF(IDC_Q!$E$6:$AJ$6,P$3,IDC_Q!$E90:$AI90)</f>
        <v>0</v>
      </c>
      <c r="Q90" s="175">
        <f ca="1">SUMIF(IDC_Q!$E$6:$AJ$6,Q$3,IDC_Q!$E90:$AI90)</f>
        <v>0</v>
      </c>
      <c r="R90" s="175">
        <f ca="1">SUMIF(IDC_Q!$E$6:$AJ$6,R$3,IDC_Q!$E90:$AI90)</f>
        <v>0</v>
      </c>
      <c r="S90" s="175">
        <f ca="1">SUMIF(IDC_Q!$E$6:$AJ$6,S$3,IDC_Q!$E90:$AI90)</f>
        <v>0</v>
      </c>
      <c r="T90" s="175">
        <f ca="1">SUMIF(IDC_Q!$E$6:$AJ$6,T$3,IDC_Q!$E90:$AI90)</f>
        <v>0</v>
      </c>
      <c r="U90" s="175">
        <f ca="1">SUMIF(IDC_Q!$E$6:$AJ$6,U$3,IDC_Q!$E90:$AI90)</f>
        <v>0</v>
      </c>
      <c r="V90" s="175">
        <f ca="1">SUMIF(IDC_Q!$E$6:$AJ$6,V$3,IDC_Q!$E90:$AI90)</f>
        <v>0</v>
      </c>
      <c r="W90" s="175">
        <f ca="1">SUMIF(IDC_Q!$E$6:$AJ$6,W$3,IDC_Q!$E90:$AI90)</f>
        <v>0</v>
      </c>
      <c r="X90" s="175">
        <f ca="1">SUMIF(IDC_Q!$E$6:$AJ$6,X$3,IDC_Q!$E90:$AI90)</f>
        <v>0</v>
      </c>
      <c r="Y90" s="175">
        <f ca="1">SUMIF(IDC_Q!$E$6:$AJ$6,Y$3,IDC_Q!$E90:$AI90)</f>
        <v>0</v>
      </c>
      <c r="Z90" s="175">
        <f ca="1">SUMIF(IDC_Q!$E$6:$AJ$6,Z$3,IDC_Q!$E90:$AI90)</f>
        <v>0</v>
      </c>
      <c r="AA90" s="175">
        <f ca="1">SUMIF(IDC_Q!$E$6:$AJ$6,AA$3,IDC_Q!$E90:$AI90)</f>
        <v>0</v>
      </c>
      <c r="AB90" s="175">
        <f ca="1">SUMIF(IDC_Q!$E$6:$AJ$6,AB$3,IDC_Q!$E90:$AI90)</f>
        <v>0</v>
      </c>
      <c r="AC90" s="175">
        <f ca="1">SUMIF(IDC_Q!$E$6:$AJ$6,AC$3,IDC_Q!$E90:$AI90)</f>
        <v>0</v>
      </c>
      <c r="AD90" s="175">
        <f ca="1">SUMIF(IDC_Q!$E$6:$AJ$6,AD$3,IDC_Q!$E90:$AI90)</f>
        <v>0</v>
      </c>
      <c r="AE90" s="175">
        <f ca="1">SUMIF(IDC_Q!$E$6:$AJ$6,AE$3,IDC_Q!$E90:$AI90)</f>
        <v>0</v>
      </c>
      <c r="AF90" s="175">
        <f ca="1">SUMIF(IDC_Q!$E$6:$AJ$6,AF$3,IDC_Q!$E90:$AI90)</f>
        <v>0</v>
      </c>
      <c r="AG90" s="175">
        <f ca="1">SUMIF(IDC_Q!$E$6:$AJ$6,AG$3,IDC_Q!$E90:$AI90)</f>
        <v>0</v>
      </c>
      <c r="AH90" s="175">
        <f ca="1">SUMIF(IDC_Q!$E$6:$AJ$6,AH$3,IDC_Q!$E90:$AI90)</f>
        <v>0</v>
      </c>
      <c r="AI90" s="175">
        <f ca="1">SUMIF(IDC_Q!$E$6:$AJ$6,AI$3,IDC_Q!$E90:$AI90)</f>
        <v>0</v>
      </c>
    </row>
    <row r="91" spans="1:35" x14ac:dyDescent="0.3">
      <c r="A91" s="5"/>
      <c r="B91" s="5" t="s">
        <v>134</v>
      </c>
      <c r="C91" s="198" t="s">
        <v>11</v>
      </c>
      <c r="D91" s="205"/>
      <c r="E91" s="175">
        <f t="shared" ref="E91:AI91" ca="1" si="29">AVERAGE(E84,E87)*E89*E9</f>
        <v>0</v>
      </c>
      <c r="F91" s="175">
        <f t="shared" ca="1" si="29"/>
        <v>0</v>
      </c>
      <c r="G91" s="175">
        <f t="shared" ca="1" si="29"/>
        <v>0</v>
      </c>
      <c r="H91" s="175">
        <f t="shared" ca="1" si="29"/>
        <v>0</v>
      </c>
      <c r="I91" s="175">
        <f t="shared" ca="1" si="29"/>
        <v>0</v>
      </c>
      <c r="J91" s="175">
        <f t="shared" ca="1" si="29"/>
        <v>0</v>
      </c>
      <c r="K91" s="175">
        <f t="shared" ca="1" si="29"/>
        <v>0</v>
      </c>
      <c r="L91" s="175">
        <f t="shared" ca="1" si="29"/>
        <v>0</v>
      </c>
      <c r="M91" s="175">
        <f t="shared" ca="1" si="29"/>
        <v>0</v>
      </c>
      <c r="N91" s="175">
        <f t="shared" ca="1" si="29"/>
        <v>0</v>
      </c>
      <c r="O91" s="175">
        <f t="shared" ca="1" si="29"/>
        <v>0</v>
      </c>
      <c r="P91" s="175">
        <f t="shared" ca="1" si="29"/>
        <v>0</v>
      </c>
      <c r="Q91" s="175">
        <f t="shared" ca="1" si="29"/>
        <v>0</v>
      </c>
      <c r="R91" s="175">
        <f t="shared" ca="1" si="29"/>
        <v>0</v>
      </c>
      <c r="S91" s="175">
        <f t="shared" ca="1" si="29"/>
        <v>0</v>
      </c>
      <c r="T91" s="175">
        <f t="shared" ca="1" si="29"/>
        <v>0</v>
      </c>
      <c r="U91" s="175">
        <f t="shared" ca="1" si="29"/>
        <v>0</v>
      </c>
      <c r="V91" s="175">
        <f t="shared" ca="1" si="29"/>
        <v>0</v>
      </c>
      <c r="W91" s="175">
        <f t="shared" ca="1" si="29"/>
        <v>0</v>
      </c>
      <c r="X91" s="175">
        <f t="shared" ca="1" si="29"/>
        <v>0</v>
      </c>
      <c r="Y91" s="175">
        <f t="shared" ca="1" si="29"/>
        <v>0</v>
      </c>
      <c r="Z91" s="175">
        <f t="shared" ca="1" si="29"/>
        <v>0</v>
      </c>
      <c r="AA91" s="175">
        <f t="shared" ca="1" si="29"/>
        <v>0</v>
      </c>
      <c r="AB91" s="175">
        <f t="shared" ca="1" si="29"/>
        <v>0</v>
      </c>
      <c r="AC91" s="175">
        <f t="shared" ca="1" si="29"/>
        <v>0</v>
      </c>
      <c r="AD91" s="175">
        <f t="shared" ca="1" si="29"/>
        <v>0</v>
      </c>
      <c r="AE91" s="175">
        <f t="shared" ca="1" si="29"/>
        <v>0</v>
      </c>
      <c r="AF91" s="175">
        <f t="shared" ca="1" si="29"/>
        <v>0</v>
      </c>
      <c r="AG91" s="175">
        <f t="shared" ca="1" si="29"/>
        <v>0</v>
      </c>
      <c r="AH91" s="175">
        <f t="shared" ca="1" si="29"/>
        <v>0</v>
      </c>
      <c r="AI91" s="175">
        <f t="shared" ca="1" si="29"/>
        <v>0</v>
      </c>
    </row>
    <row r="92" spans="1:35" x14ac:dyDescent="0.3">
      <c r="A92" s="8"/>
    </row>
    <row r="93" spans="1:35" x14ac:dyDescent="0.3">
      <c r="A93" s="210" t="s">
        <v>174</v>
      </c>
      <c r="B93" s="178"/>
      <c r="C93" s="195"/>
      <c r="D93" s="211"/>
      <c r="E93" s="212"/>
      <c r="F93" s="212"/>
      <c r="G93" s="212"/>
      <c r="H93" s="212"/>
      <c r="I93" s="212"/>
      <c r="J93" s="212"/>
      <c r="K93" s="212"/>
      <c r="L93" s="212"/>
      <c r="M93" s="212"/>
      <c r="N93" s="212"/>
      <c r="O93" s="212"/>
      <c r="P93" s="212"/>
      <c r="Q93" s="212"/>
      <c r="R93" s="212"/>
      <c r="S93" s="212"/>
      <c r="T93" s="212"/>
      <c r="U93" s="211"/>
      <c r="V93" s="211"/>
      <c r="W93" s="211"/>
      <c r="X93" s="211"/>
      <c r="Y93" s="211"/>
      <c r="Z93" s="211"/>
      <c r="AA93" s="211"/>
      <c r="AB93" s="211"/>
      <c r="AC93" s="211"/>
      <c r="AD93" s="211"/>
      <c r="AE93" s="211"/>
      <c r="AF93" s="211"/>
      <c r="AG93" s="211"/>
      <c r="AH93" s="211"/>
      <c r="AI93" s="211"/>
    </row>
    <row r="94" spans="1:35" x14ac:dyDescent="0.3">
      <c r="A94" s="214" t="s">
        <v>173</v>
      </c>
      <c r="C94" s="198"/>
      <c r="E94" s="9"/>
      <c r="F94" s="9"/>
      <c r="G94" s="9"/>
      <c r="H94" s="9"/>
      <c r="I94" s="9"/>
      <c r="J94" s="9"/>
      <c r="K94" s="9"/>
      <c r="L94" s="9"/>
      <c r="M94" s="9"/>
      <c r="N94" s="9"/>
      <c r="O94" s="9"/>
      <c r="P94" s="9"/>
    </row>
    <row r="95" spans="1:35" x14ac:dyDescent="0.3">
      <c r="A95" s="214"/>
      <c r="B95" s="8" t="s">
        <v>138</v>
      </c>
      <c r="C95" s="198" t="s">
        <v>11</v>
      </c>
      <c r="E95" s="9">
        <f t="shared" ref="E95" si="30">D98</f>
        <v>0</v>
      </c>
      <c r="F95" s="9">
        <f t="shared" ref="F95:AI95" ca="1" si="31">E98</f>
        <v>582.04857646593382</v>
      </c>
      <c r="G95" s="9">
        <f t="shared" ca="1" si="31"/>
        <v>0</v>
      </c>
      <c r="H95" s="9">
        <f t="shared" ca="1" si="31"/>
        <v>0</v>
      </c>
      <c r="I95" s="9">
        <f t="shared" ca="1" si="31"/>
        <v>0</v>
      </c>
      <c r="J95" s="9">
        <f t="shared" ca="1" si="31"/>
        <v>0</v>
      </c>
      <c r="K95" s="9">
        <f t="shared" ca="1" si="31"/>
        <v>0</v>
      </c>
      <c r="L95" s="9">
        <f t="shared" ca="1" si="31"/>
        <v>0</v>
      </c>
      <c r="M95" s="9">
        <f t="shared" ca="1" si="31"/>
        <v>0</v>
      </c>
      <c r="N95" s="9">
        <f t="shared" ca="1" si="31"/>
        <v>0</v>
      </c>
      <c r="O95" s="9">
        <f t="shared" ca="1" si="31"/>
        <v>0</v>
      </c>
      <c r="P95" s="9">
        <f t="shared" ca="1" si="31"/>
        <v>0</v>
      </c>
      <c r="Q95" s="9">
        <f t="shared" ca="1" si="31"/>
        <v>0</v>
      </c>
      <c r="R95" s="9">
        <f t="shared" ca="1" si="31"/>
        <v>0</v>
      </c>
      <c r="S95" s="9">
        <f t="shared" ca="1" si="31"/>
        <v>0</v>
      </c>
      <c r="T95" s="9">
        <f t="shared" ca="1" si="31"/>
        <v>0</v>
      </c>
      <c r="U95" s="9">
        <f t="shared" ca="1" si="31"/>
        <v>0</v>
      </c>
      <c r="V95" s="9">
        <f t="shared" ca="1" si="31"/>
        <v>0</v>
      </c>
      <c r="W95" s="9">
        <f t="shared" ca="1" si="31"/>
        <v>0</v>
      </c>
      <c r="X95" s="9">
        <f t="shared" ca="1" si="31"/>
        <v>0</v>
      </c>
      <c r="Y95" s="9">
        <f t="shared" ca="1" si="31"/>
        <v>0</v>
      </c>
      <c r="Z95" s="9">
        <f t="shared" ca="1" si="31"/>
        <v>0</v>
      </c>
      <c r="AA95" s="9">
        <f t="shared" ca="1" si="31"/>
        <v>0</v>
      </c>
      <c r="AB95" s="9">
        <f t="shared" ca="1" si="31"/>
        <v>0</v>
      </c>
      <c r="AC95" s="9">
        <f t="shared" ca="1" si="31"/>
        <v>0</v>
      </c>
      <c r="AD95" s="9">
        <f t="shared" ca="1" si="31"/>
        <v>0</v>
      </c>
      <c r="AE95" s="9">
        <f t="shared" ca="1" si="31"/>
        <v>0</v>
      </c>
      <c r="AF95" s="9">
        <f t="shared" ca="1" si="31"/>
        <v>0</v>
      </c>
      <c r="AG95" s="9">
        <f t="shared" ca="1" si="31"/>
        <v>0</v>
      </c>
      <c r="AH95" s="9">
        <f t="shared" ca="1" si="31"/>
        <v>0</v>
      </c>
      <c r="AI95" s="9">
        <f t="shared" ca="1" si="31"/>
        <v>0</v>
      </c>
    </row>
    <row r="96" spans="1:35" x14ac:dyDescent="0.3">
      <c r="A96" s="214"/>
      <c r="B96" s="8" t="s">
        <v>137</v>
      </c>
      <c r="C96" s="198" t="s">
        <v>11</v>
      </c>
      <c r="E96" s="9">
        <f t="shared" ref="E96:AI96" ca="1" si="32">E53</f>
        <v>582.04857646593382</v>
      </c>
      <c r="F96" s="9">
        <f t="shared" ca="1" si="32"/>
        <v>660.51345595916791</v>
      </c>
      <c r="G96" s="9">
        <f t="shared" ca="1" si="32"/>
        <v>0</v>
      </c>
      <c r="H96" s="9">
        <f t="shared" ca="1" si="32"/>
        <v>0</v>
      </c>
      <c r="I96" s="9">
        <f t="shared" ca="1" si="32"/>
        <v>0</v>
      </c>
      <c r="J96" s="9">
        <f t="shared" ca="1" si="32"/>
        <v>0</v>
      </c>
      <c r="K96" s="9">
        <f t="shared" ca="1" si="32"/>
        <v>0</v>
      </c>
      <c r="L96" s="9">
        <f t="shared" ca="1" si="32"/>
        <v>0</v>
      </c>
      <c r="M96" s="9">
        <f t="shared" ca="1" si="32"/>
        <v>0</v>
      </c>
      <c r="N96" s="9">
        <f t="shared" ca="1" si="32"/>
        <v>0</v>
      </c>
      <c r="O96" s="9">
        <f t="shared" ca="1" si="32"/>
        <v>0</v>
      </c>
      <c r="P96" s="9">
        <f t="shared" ca="1" si="32"/>
        <v>0</v>
      </c>
      <c r="Q96" s="9">
        <f t="shared" ca="1" si="32"/>
        <v>0</v>
      </c>
      <c r="R96" s="9">
        <f t="shared" ca="1" si="32"/>
        <v>0</v>
      </c>
      <c r="S96" s="9">
        <f t="shared" ca="1" si="32"/>
        <v>0</v>
      </c>
      <c r="T96" s="9">
        <f t="shared" ca="1" si="32"/>
        <v>0</v>
      </c>
      <c r="U96" s="9">
        <f t="shared" ca="1" si="32"/>
        <v>0</v>
      </c>
      <c r="V96" s="9">
        <f t="shared" ca="1" si="32"/>
        <v>0</v>
      </c>
      <c r="W96" s="9">
        <f t="shared" ca="1" si="32"/>
        <v>0</v>
      </c>
      <c r="X96" s="9">
        <f t="shared" ca="1" si="32"/>
        <v>0</v>
      </c>
      <c r="Y96" s="9">
        <f t="shared" ca="1" si="32"/>
        <v>0</v>
      </c>
      <c r="Z96" s="9">
        <f t="shared" ca="1" si="32"/>
        <v>0</v>
      </c>
      <c r="AA96" s="9">
        <f t="shared" ca="1" si="32"/>
        <v>0</v>
      </c>
      <c r="AB96" s="9">
        <f t="shared" ca="1" si="32"/>
        <v>0</v>
      </c>
      <c r="AC96" s="9">
        <f t="shared" ca="1" si="32"/>
        <v>0</v>
      </c>
      <c r="AD96" s="9">
        <f t="shared" ca="1" si="32"/>
        <v>0</v>
      </c>
      <c r="AE96" s="9">
        <f t="shared" ca="1" si="32"/>
        <v>0</v>
      </c>
      <c r="AF96" s="9">
        <f t="shared" ca="1" si="32"/>
        <v>0</v>
      </c>
      <c r="AG96" s="9">
        <f t="shared" ca="1" si="32"/>
        <v>0</v>
      </c>
      <c r="AH96" s="9">
        <f t="shared" ca="1" si="32"/>
        <v>0</v>
      </c>
      <c r="AI96" s="9">
        <f t="shared" ca="1" si="32"/>
        <v>0</v>
      </c>
    </row>
    <row r="97" spans="1:35" x14ac:dyDescent="0.3">
      <c r="A97" s="214"/>
      <c r="B97" s="8" t="s">
        <v>172</v>
      </c>
      <c r="C97" s="198" t="s">
        <v>11</v>
      </c>
      <c r="E97" s="9">
        <f t="shared" ref="E97:AI97" si="33">IF(E5=1,E95+E96,0)</f>
        <v>0</v>
      </c>
      <c r="F97" s="9">
        <f ca="1">IF(F5=1,F95+F96,0)</f>
        <v>1242.5620324251017</v>
      </c>
      <c r="G97" s="9">
        <f t="shared" si="33"/>
        <v>0</v>
      </c>
      <c r="H97" s="9">
        <f t="shared" si="33"/>
        <v>0</v>
      </c>
      <c r="I97" s="9">
        <f t="shared" si="33"/>
        <v>0</v>
      </c>
      <c r="J97" s="9">
        <f t="shared" si="33"/>
        <v>0</v>
      </c>
      <c r="K97" s="9">
        <f t="shared" si="33"/>
        <v>0</v>
      </c>
      <c r="L97" s="9">
        <f t="shared" si="33"/>
        <v>0</v>
      </c>
      <c r="M97" s="9">
        <f t="shared" si="33"/>
        <v>0</v>
      </c>
      <c r="N97" s="9">
        <f t="shared" si="33"/>
        <v>0</v>
      </c>
      <c r="O97" s="9">
        <f t="shared" si="33"/>
        <v>0</v>
      </c>
      <c r="P97" s="9">
        <f t="shared" si="33"/>
        <v>0</v>
      </c>
      <c r="Q97" s="9">
        <f t="shared" si="33"/>
        <v>0</v>
      </c>
      <c r="R97" s="9">
        <f t="shared" si="33"/>
        <v>0</v>
      </c>
      <c r="S97" s="9">
        <f t="shared" si="33"/>
        <v>0</v>
      </c>
      <c r="T97" s="9">
        <f t="shared" si="33"/>
        <v>0</v>
      </c>
      <c r="U97" s="9">
        <f t="shared" si="33"/>
        <v>0</v>
      </c>
      <c r="V97" s="9">
        <f t="shared" si="33"/>
        <v>0</v>
      </c>
      <c r="W97" s="9">
        <f t="shared" si="33"/>
        <v>0</v>
      </c>
      <c r="X97" s="9">
        <f t="shared" si="33"/>
        <v>0</v>
      </c>
      <c r="Y97" s="9">
        <f t="shared" si="33"/>
        <v>0</v>
      </c>
      <c r="Z97" s="9">
        <f t="shared" si="33"/>
        <v>0</v>
      </c>
      <c r="AA97" s="9">
        <f t="shared" si="33"/>
        <v>0</v>
      </c>
      <c r="AB97" s="9">
        <f t="shared" si="33"/>
        <v>0</v>
      </c>
      <c r="AC97" s="9">
        <f t="shared" si="33"/>
        <v>0</v>
      </c>
      <c r="AD97" s="9">
        <f t="shared" si="33"/>
        <v>0</v>
      </c>
      <c r="AE97" s="9">
        <f t="shared" si="33"/>
        <v>0</v>
      </c>
      <c r="AF97" s="9">
        <f t="shared" si="33"/>
        <v>0</v>
      </c>
      <c r="AG97" s="9">
        <f t="shared" si="33"/>
        <v>0</v>
      </c>
      <c r="AH97" s="9">
        <f t="shared" si="33"/>
        <v>0</v>
      </c>
      <c r="AI97" s="9">
        <f t="shared" si="33"/>
        <v>0</v>
      </c>
    </row>
    <row r="98" spans="1:35" x14ac:dyDescent="0.3">
      <c r="A98" s="214"/>
      <c r="B98" s="8" t="s">
        <v>135</v>
      </c>
      <c r="C98" s="198" t="s">
        <v>11</v>
      </c>
      <c r="E98" s="9">
        <f t="shared" ref="E98:AI98" ca="1" si="34">E95+E96-E97</f>
        <v>582.04857646593382</v>
      </c>
      <c r="F98" s="9">
        <f t="shared" ca="1" si="34"/>
        <v>0</v>
      </c>
      <c r="G98" s="9">
        <f t="shared" ca="1" si="34"/>
        <v>0</v>
      </c>
      <c r="H98" s="9">
        <f t="shared" ca="1" si="34"/>
        <v>0</v>
      </c>
      <c r="I98" s="9">
        <f t="shared" ca="1" si="34"/>
        <v>0</v>
      </c>
      <c r="J98" s="9">
        <f t="shared" ca="1" si="34"/>
        <v>0</v>
      </c>
      <c r="K98" s="9">
        <f t="shared" ca="1" si="34"/>
        <v>0</v>
      </c>
      <c r="L98" s="9">
        <f t="shared" ca="1" si="34"/>
        <v>0</v>
      </c>
      <c r="M98" s="9">
        <f t="shared" ca="1" si="34"/>
        <v>0</v>
      </c>
      <c r="N98" s="9">
        <f t="shared" ca="1" si="34"/>
        <v>0</v>
      </c>
      <c r="O98" s="9">
        <f t="shared" ca="1" si="34"/>
        <v>0</v>
      </c>
      <c r="P98" s="9">
        <f t="shared" ca="1" si="34"/>
        <v>0</v>
      </c>
      <c r="Q98" s="9">
        <f t="shared" ca="1" si="34"/>
        <v>0</v>
      </c>
      <c r="R98" s="9">
        <f t="shared" ca="1" si="34"/>
        <v>0</v>
      </c>
      <c r="S98" s="9">
        <f t="shared" ca="1" si="34"/>
        <v>0</v>
      </c>
      <c r="T98" s="9">
        <f t="shared" ca="1" si="34"/>
        <v>0</v>
      </c>
      <c r="U98" s="9">
        <f t="shared" ca="1" si="34"/>
        <v>0</v>
      </c>
      <c r="V98" s="9">
        <f t="shared" ca="1" si="34"/>
        <v>0</v>
      </c>
      <c r="W98" s="9">
        <f t="shared" ca="1" si="34"/>
        <v>0</v>
      </c>
      <c r="X98" s="9">
        <f t="shared" ca="1" si="34"/>
        <v>0</v>
      </c>
      <c r="Y98" s="9">
        <f t="shared" ca="1" si="34"/>
        <v>0</v>
      </c>
      <c r="Z98" s="9">
        <f t="shared" ca="1" si="34"/>
        <v>0</v>
      </c>
      <c r="AA98" s="9">
        <f t="shared" ca="1" si="34"/>
        <v>0</v>
      </c>
      <c r="AB98" s="9">
        <f t="shared" ca="1" si="34"/>
        <v>0</v>
      </c>
      <c r="AC98" s="9">
        <f t="shared" ca="1" si="34"/>
        <v>0</v>
      </c>
      <c r="AD98" s="9">
        <f t="shared" ca="1" si="34"/>
        <v>0</v>
      </c>
      <c r="AE98" s="9">
        <f t="shared" ca="1" si="34"/>
        <v>0</v>
      </c>
      <c r="AF98" s="9">
        <f t="shared" ca="1" si="34"/>
        <v>0</v>
      </c>
      <c r="AG98" s="9">
        <f t="shared" ca="1" si="34"/>
        <v>0</v>
      </c>
      <c r="AH98" s="9">
        <f t="shared" ca="1" si="34"/>
        <v>0</v>
      </c>
      <c r="AI98" s="9">
        <f t="shared" ca="1" si="34"/>
        <v>0</v>
      </c>
    </row>
    <row r="99" spans="1:35" x14ac:dyDescent="0.3">
      <c r="A99" s="214"/>
      <c r="C99" s="198"/>
      <c r="E99" s="9"/>
      <c r="F99" s="9"/>
      <c r="G99" s="9"/>
      <c r="H99" s="9"/>
      <c r="I99" s="9"/>
      <c r="J99" s="9"/>
      <c r="K99" s="9"/>
      <c r="L99" s="9"/>
      <c r="M99" s="9"/>
      <c r="N99" s="9"/>
      <c r="O99" s="9"/>
      <c r="P99" s="9"/>
    </row>
    <row r="100" spans="1:35" x14ac:dyDescent="0.3">
      <c r="A100" s="214" t="s">
        <v>171</v>
      </c>
      <c r="C100" s="198"/>
      <c r="E100" s="9"/>
      <c r="F100" s="9"/>
      <c r="G100" s="9"/>
      <c r="H100" s="9"/>
      <c r="I100" s="9"/>
      <c r="J100" s="9"/>
      <c r="K100" s="9"/>
      <c r="L100" s="9"/>
      <c r="M100" s="9"/>
      <c r="N100" s="9"/>
      <c r="O100" s="9"/>
      <c r="P100" s="9"/>
      <c r="S100" s="204">
        <f ca="1">(S102+S103)*15%</f>
        <v>186.38430486376527</v>
      </c>
    </row>
    <row r="101" spans="1:35" x14ac:dyDescent="0.3">
      <c r="A101" s="8"/>
      <c r="B101" s="214" t="s">
        <v>170</v>
      </c>
      <c r="C101" s="198"/>
      <c r="E101" s="9"/>
      <c r="F101" s="9"/>
      <c r="G101" s="9"/>
      <c r="H101" s="9"/>
      <c r="I101" s="9"/>
      <c r="J101" s="9"/>
      <c r="K101" s="9"/>
      <c r="L101" s="9"/>
      <c r="M101" s="9"/>
      <c r="N101" s="9"/>
      <c r="O101" s="9"/>
      <c r="P101" s="9"/>
      <c r="S101" s="204">
        <f t="shared" ref="S101:Z101" ca="1" si="35">S107-R105</f>
        <v>393.03973268171819</v>
      </c>
      <c r="T101" s="204">
        <f t="shared" ca="1" si="35"/>
        <v>335.01208576746592</v>
      </c>
      <c r="U101" s="204">
        <f t="shared" ca="1" si="35"/>
        <v>276.98443885321365</v>
      </c>
      <c r="V101" s="204">
        <f t="shared" ca="1" si="35"/>
        <v>252.13319820471156</v>
      </c>
      <c r="W101" s="204">
        <f t="shared" ca="1" si="35"/>
        <v>227.28195755620948</v>
      </c>
      <c r="X101" s="204">
        <f t="shared" ca="1" si="35"/>
        <v>202.43071690770739</v>
      </c>
      <c r="Y101" s="204">
        <f t="shared" ca="1" si="35"/>
        <v>177.57947625920531</v>
      </c>
      <c r="Z101" s="204">
        <f t="shared" ca="1" si="35"/>
        <v>152.72823561070322</v>
      </c>
    </row>
    <row r="102" spans="1:35" x14ac:dyDescent="0.3">
      <c r="A102" s="8"/>
      <c r="B102" s="8" t="s">
        <v>169</v>
      </c>
      <c r="C102" s="198" t="s">
        <v>11</v>
      </c>
      <c r="E102" s="82">
        <f t="shared" ref="E102:F102" si="36">D106</f>
        <v>0</v>
      </c>
      <c r="F102" s="82">
        <f t="shared" si="36"/>
        <v>0</v>
      </c>
      <c r="G102" s="82">
        <f t="shared" ref="G102:AI102" ca="1" si="37">F106</f>
        <v>1242.5620324251017</v>
      </c>
      <c r="H102" s="82">
        <f t="shared" ca="1" si="37"/>
        <v>1242.5620324251017</v>
      </c>
      <c r="I102" s="82">
        <f t="shared" ca="1" si="37"/>
        <v>1242.5620324251017</v>
      </c>
      <c r="J102" s="82">
        <f t="shared" ca="1" si="37"/>
        <v>1242.5620324251017</v>
      </c>
      <c r="K102" s="82">
        <f t="shared" ca="1" si="37"/>
        <v>1242.5620324251017</v>
      </c>
      <c r="L102" s="82">
        <f t="shared" ca="1" si="37"/>
        <v>1242.5620324251017</v>
      </c>
      <c r="M102" s="82">
        <f t="shared" ca="1" si="37"/>
        <v>1242.5620324251017</v>
      </c>
      <c r="N102" s="82">
        <f t="shared" ca="1" si="37"/>
        <v>1242.5620324251017</v>
      </c>
      <c r="O102" s="82">
        <f t="shared" ca="1" si="37"/>
        <v>1242.5620324251017</v>
      </c>
      <c r="P102" s="82">
        <f t="shared" ca="1" si="37"/>
        <v>1242.5620324251017</v>
      </c>
      <c r="Q102" s="82">
        <f t="shared" ca="1" si="37"/>
        <v>1242.5620324251017</v>
      </c>
      <c r="R102" s="82">
        <f t="shared" ca="1" si="37"/>
        <v>1242.5620324251017</v>
      </c>
      <c r="S102" s="82">
        <f t="shared" ca="1" si="37"/>
        <v>1242.5620324251017</v>
      </c>
      <c r="T102" s="82">
        <f t="shared" ca="1" si="37"/>
        <v>1242.5620324251017</v>
      </c>
      <c r="U102" s="82">
        <f t="shared" ca="1" si="37"/>
        <v>1242.5620324251017</v>
      </c>
      <c r="V102" s="82">
        <f t="shared" ca="1" si="37"/>
        <v>1242.5620324251017</v>
      </c>
      <c r="W102" s="82">
        <f t="shared" ca="1" si="37"/>
        <v>1242.5620324251017</v>
      </c>
      <c r="X102" s="82">
        <f t="shared" ca="1" si="37"/>
        <v>1242.5620324251017</v>
      </c>
      <c r="Y102" s="82">
        <f t="shared" ca="1" si="37"/>
        <v>1242.5620324251017</v>
      </c>
      <c r="Z102" s="82">
        <f t="shared" ca="1" si="37"/>
        <v>1242.5620324251017</v>
      </c>
      <c r="AA102" s="82">
        <f t="shared" ca="1" si="37"/>
        <v>1242.5620324251017</v>
      </c>
      <c r="AB102" s="82">
        <f t="shared" ca="1" si="37"/>
        <v>1242.5620324251017</v>
      </c>
      <c r="AC102" s="82">
        <f t="shared" ca="1" si="37"/>
        <v>1242.5620324251017</v>
      </c>
      <c r="AD102" s="82">
        <f t="shared" ca="1" si="37"/>
        <v>1242.5620324251017</v>
      </c>
      <c r="AE102" s="82">
        <f t="shared" ca="1" si="37"/>
        <v>1242.5620324251017</v>
      </c>
      <c r="AF102" s="82">
        <f t="shared" ca="1" si="37"/>
        <v>1242.5620324251017</v>
      </c>
      <c r="AG102" s="82">
        <f t="shared" ca="1" si="37"/>
        <v>1242.5620324251017</v>
      </c>
      <c r="AH102" s="82">
        <f t="shared" ca="1" si="37"/>
        <v>1242.5620324251017</v>
      </c>
      <c r="AI102" s="82">
        <f t="shared" ca="1" si="37"/>
        <v>1242.5620324251017</v>
      </c>
    </row>
    <row r="103" spans="1:35" x14ac:dyDescent="0.3">
      <c r="A103" s="8"/>
      <c r="B103" s="8" t="s">
        <v>168</v>
      </c>
      <c r="C103" s="198" t="s">
        <v>11</v>
      </c>
      <c r="D103" s="201">
        <f ca="1">SUM(E103:AI103)</f>
        <v>1242.5620324251017</v>
      </c>
      <c r="E103" s="82">
        <f t="shared" ref="E103:AI103" si="38">E97</f>
        <v>0</v>
      </c>
      <c r="F103" s="82">
        <f ca="1">F97</f>
        <v>1242.5620324251017</v>
      </c>
      <c r="G103" s="82">
        <f>G97</f>
        <v>0</v>
      </c>
      <c r="H103" s="82">
        <f t="shared" si="38"/>
        <v>0</v>
      </c>
      <c r="I103" s="82">
        <f t="shared" si="38"/>
        <v>0</v>
      </c>
      <c r="J103" s="82">
        <f t="shared" si="38"/>
        <v>0</v>
      </c>
      <c r="K103" s="82">
        <f t="shared" si="38"/>
        <v>0</v>
      </c>
      <c r="L103" s="82">
        <f t="shared" si="38"/>
        <v>0</v>
      </c>
      <c r="M103" s="82">
        <f t="shared" si="38"/>
        <v>0</v>
      </c>
      <c r="N103" s="82">
        <f t="shared" si="38"/>
        <v>0</v>
      </c>
      <c r="O103" s="82">
        <f t="shared" si="38"/>
        <v>0</v>
      </c>
      <c r="P103" s="82">
        <f t="shared" si="38"/>
        <v>0</v>
      </c>
      <c r="Q103" s="82">
        <f t="shared" si="38"/>
        <v>0</v>
      </c>
      <c r="R103" s="82">
        <f t="shared" si="38"/>
        <v>0</v>
      </c>
      <c r="S103" s="82">
        <f t="shared" si="38"/>
        <v>0</v>
      </c>
      <c r="T103" s="82">
        <f t="shared" si="38"/>
        <v>0</v>
      </c>
      <c r="U103" s="82">
        <f t="shared" si="38"/>
        <v>0</v>
      </c>
      <c r="V103" s="82">
        <f t="shared" si="38"/>
        <v>0</v>
      </c>
      <c r="W103" s="82">
        <f t="shared" si="38"/>
        <v>0</v>
      </c>
      <c r="X103" s="82">
        <f t="shared" si="38"/>
        <v>0</v>
      </c>
      <c r="Y103" s="82">
        <f t="shared" si="38"/>
        <v>0</v>
      </c>
      <c r="Z103" s="82">
        <f t="shared" si="38"/>
        <v>0</v>
      </c>
      <c r="AA103" s="82">
        <f t="shared" si="38"/>
        <v>0</v>
      </c>
      <c r="AB103" s="82">
        <f t="shared" si="38"/>
        <v>0</v>
      </c>
      <c r="AC103" s="82">
        <f t="shared" si="38"/>
        <v>0</v>
      </c>
      <c r="AD103" s="82">
        <f t="shared" si="38"/>
        <v>0</v>
      </c>
      <c r="AE103" s="82">
        <f t="shared" si="38"/>
        <v>0</v>
      </c>
      <c r="AF103" s="82">
        <f t="shared" si="38"/>
        <v>0</v>
      </c>
      <c r="AG103" s="82">
        <f t="shared" si="38"/>
        <v>0</v>
      </c>
      <c r="AH103" s="82">
        <f t="shared" si="38"/>
        <v>0</v>
      </c>
      <c r="AI103" s="82">
        <f t="shared" si="38"/>
        <v>0</v>
      </c>
    </row>
    <row r="104" spans="1:35" x14ac:dyDescent="0.3">
      <c r="A104" s="214"/>
      <c r="B104" s="8" t="s">
        <v>4</v>
      </c>
      <c r="C104" s="198" t="s">
        <v>11</v>
      </c>
      <c r="D104" s="201">
        <f ca="1">SUM(E104:AI104)</f>
        <v>1102.2594171386495</v>
      </c>
      <c r="E104" s="9">
        <f>IF(E$4,MIN(E107-D105,(E102+E103)*Input!E250*E$9),0)</f>
        <v>0</v>
      </c>
      <c r="F104" s="9">
        <f ca="1">IF(F$4,MIN(F107-E105,(F102+F103)*Input!F250*F$9),0)</f>
        <v>28.934333529846327</v>
      </c>
      <c r="G104" s="9">
        <f ca="1">IF(G$4,MIN(G107-F105,(G102+G103)*Input!H250*G$9),0)</f>
        <v>58.027646914252252</v>
      </c>
      <c r="H104" s="9">
        <f ca="1">IF(H$4,MIN(H107-G105,(H102+H103)*Input!I250*H$9),0)</f>
        <v>58.027646914252252</v>
      </c>
      <c r="I104" s="9">
        <f ca="1">IF(I$4,MIN(I107-H105,(I102+I103)*Input!J250*I$9),0)</f>
        <v>58.027646914252252</v>
      </c>
      <c r="J104" s="9">
        <f ca="1">IF(J$4,MIN(J107-I105,(J102+J103)*Input!K250*J$9),0)</f>
        <v>58.027646914252252</v>
      </c>
      <c r="K104" s="9">
        <f ca="1">IF(K$4,MIN(K107-J105,(K102+K103)*Input!L250*K$9),0)</f>
        <v>58.027646914252252</v>
      </c>
      <c r="L104" s="9">
        <f ca="1">IF(L$4,MIN(L107-K105,(L102+L103)*Input!M250*L$9),0)</f>
        <v>58.027646914252252</v>
      </c>
      <c r="M104" s="9">
        <f ca="1">IF(M$4,MIN(M107-L105,(M102+M103)*Input!N250*M$9),0)</f>
        <v>58.027646914252252</v>
      </c>
      <c r="N104" s="9">
        <f ca="1">IF(N$4,MIN(N107-M105,(N102+N103)*Input!O250*N$9),0)</f>
        <v>58.027646914252252</v>
      </c>
      <c r="O104" s="9">
        <f ca="1">IF(O$4,MIN(O107-N105,(O102+O103)*Input!P250*O$9),0)</f>
        <v>58.027646914252252</v>
      </c>
      <c r="P104" s="9">
        <f ca="1">IF(P$4,MIN(P107-O105,(P102+P103)*Input!Q250*P$9),0)</f>
        <v>58.027646914252252</v>
      </c>
      <c r="Q104" s="9">
        <f ca="1">IF(Q$4,MIN(Q107-P105,(Q102+Q103)*Input!R250*Q$9),0)</f>
        <v>58.027646914252252</v>
      </c>
      <c r="R104" s="9">
        <f ca="1">IF(R$4,MIN(R107-Q105,(R102+R103)*Input!S250*R$9),0)</f>
        <v>58.027646914252252</v>
      </c>
      <c r="S104" s="9">
        <f ca="1">IF(S$4,MIN(S107-R105,(S102+S103)*Input!T250*S$9),0)</f>
        <v>58.027646914252252</v>
      </c>
      <c r="T104" s="9">
        <f ca="1">IF(T$4,MIN(T107-S105,(T102+T103)*Input!U250*T$9),0)</f>
        <v>58.027646914252252</v>
      </c>
      <c r="U104" s="9">
        <f ca="1">IF(U$4,MIN(U107-T105,(U102+U103)*Input!V250*U$9),0)</f>
        <v>24.851240648502035</v>
      </c>
      <c r="V104" s="9">
        <f ca="1">IF(V$4,MIN(V107-U105,(V102+V103)*Input!W250*V$9),0)</f>
        <v>24.851240648502035</v>
      </c>
      <c r="W104" s="9">
        <f ca="1">IF(W$4,MIN(W107-V105,(W102+W103)*Input!X250*W$9),0)</f>
        <v>24.851240648502035</v>
      </c>
      <c r="X104" s="9">
        <f ca="1">IF(X$4,MIN(X107-W105,(X102+X103)*Input!Y250*X$9),0)</f>
        <v>24.851240648502035</v>
      </c>
      <c r="Y104" s="9">
        <f ca="1">IF(Y$4,MIN(Y107-X105,(Y102+Y103)*Input!Z250*Y$9),0)</f>
        <v>24.851240648502035</v>
      </c>
      <c r="Z104" s="9">
        <f ca="1">IF(Z$4,MIN(Z107-Y105,(Z102+Z103)*Input!AA250*Z$9),0)</f>
        <v>24.851240648502035</v>
      </c>
      <c r="AA104" s="9">
        <f ca="1">IF(AA$4,MIN(AA107-Z105,(AA102+AA103)*Input!AB250*AA$9),0)</f>
        <v>24.851240648502035</v>
      </c>
      <c r="AB104" s="9">
        <f ca="1">IF(AB$4,MIN(AB107-AA105,(AB102+AB103)*Input!AC250*AB$9),0)</f>
        <v>24.851240648502035</v>
      </c>
      <c r="AC104" s="9">
        <f ca="1">IF(AC$4,MIN(AC107-AB105,(AC102+AC103)*Input!AD250*AC$9),0)</f>
        <v>24.851240648502035</v>
      </c>
      <c r="AD104" s="9">
        <f ca="1">IF(AD$4,MIN(AD107-AC105,(AD102+AD103)*Input!AE250*AD$9),0)</f>
        <v>24.851240648502035</v>
      </c>
      <c r="AE104" s="9">
        <f ca="1">IF(AE$4,MIN(AE107-AD105,(AE102+AE103)*Input!AF250*AE$9),0)</f>
        <v>12.425620324251017</v>
      </c>
      <c r="AF104" s="9">
        <f>IF(AF$4,MIN(AF107-AE105,(AF102+AF103)*Input!AG250*AF$9),0)</f>
        <v>0</v>
      </c>
      <c r="AG104" s="9">
        <f>IF(AG$4,MIN(AG107-AF105,(AG102+AG103)*Input!AH250*AG$9),0)</f>
        <v>0</v>
      </c>
      <c r="AH104" s="9">
        <f>IF(AH$4,MIN(AH107-AG105,(AH102+AH103)*Input!AI250*AH$9),0)</f>
        <v>0</v>
      </c>
      <c r="AI104" s="9">
        <f>IF(AI$4,MIN(AI107-AH105,(AI102+AI103)*Input!AJ250*AI$9),0)</f>
        <v>0</v>
      </c>
    </row>
    <row r="105" spans="1:35" x14ac:dyDescent="0.3">
      <c r="A105" s="214"/>
      <c r="B105" s="8" t="s">
        <v>167</v>
      </c>
      <c r="C105" s="198" t="s">
        <v>11</v>
      </c>
      <c r="D105" s="188"/>
      <c r="E105" s="9">
        <f t="shared" ref="E105" si="39">D105+E104</f>
        <v>0</v>
      </c>
      <c r="F105" s="9">
        <f t="shared" ref="F105:AI105" ca="1" si="40">E105+F104</f>
        <v>28.934333529846327</v>
      </c>
      <c r="G105" s="9">
        <f t="shared" ca="1" si="40"/>
        <v>86.961980444098572</v>
      </c>
      <c r="H105" s="9">
        <f t="shared" ca="1" si="40"/>
        <v>144.98962735835082</v>
      </c>
      <c r="I105" s="9">
        <f t="shared" ca="1" si="40"/>
        <v>203.01727427260306</v>
      </c>
      <c r="J105" s="9">
        <f t="shared" ca="1" si="40"/>
        <v>261.04492118685533</v>
      </c>
      <c r="K105" s="9">
        <f t="shared" ca="1" si="40"/>
        <v>319.07256810110761</v>
      </c>
      <c r="L105" s="9">
        <f t="shared" ca="1" si="40"/>
        <v>377.10021501535988</v>
      </c>
      <c r="M105" s="9">
        <f t="shared" ca="1" si="40"/>
        <v>435.12786192961215</v>
      </c>
      <c r="N105" s="9">
        <f t="shared" ca="1" si="40"/>
        <v>493.15550884386442</v>
      </c>
      <c r="O105" s="9">
        <f t="shared" ca="1" si="40"/>
        <v>551.18315575811664</v>
      </c>
      <c r="P105" s="9">
        <f t="shared" ca="1" si="40"/>
        <v>609.21080267236891</v>
      </c>
      <c r="Q105" s="9">
        <f t="shared" ca="1" si="40"/>
        <v>667.23844958662119</v>
      </c>
      <c r="R105" s="9">
        <f t="shared" ca="1" si="40"/>
        <v>725.26609650087346</v>
      </c>
      <c r="S105" s="9">
        <f t="shared" ca="1" si="40"/>
        <v>783.29374341512573</v>
      </c>
      <c r="T105" s="9">
        <f t="shared" ca="1" si="40"/>
        <v>841.321390329378</v>
      </c>
      <c r="U105" s="9">
        <f t="shared" ca="1" si="40"/>
        <v>866.17263097788009</v>
      </c>
      <c r="V105" s="9">
        <f t="shared" ca="1" si="40"/>
        <v>891.02387162638217</v>
      </c>
      <c r="W105" s="9">
        <f t="shared" ca="1" si="40"/>
        <v>915.87511227488426</v>
      </c>
      <c r="X105" s="9">
        <f t="shared" ca="1" si="40"/>
        <v>940.72635292338634</v>
      </c>
      <c r="Y105" s="9">
        <f t="shared" ca="1" si="40"/>
        <v>965.57759357188843</v>
      </c>
      <c r="Z105" s="9">
        <f t="shared" ca="1" si="40"/>
        <v>990.42883422039051</v>
      </c>
      <c r="AA105" s="9">
        <f t="shared" ca="1" si="40"/>
        <v>1015.2800748688926</v>
      </c>
      <c r="AB105" s="9">
        <f t="shared" ca="1" si="40"/>
        <v>1040.1313155173946</v>
      </c>
      <c r="AC105" s="9">
        <f t="shared" ca="1" si="40"/>
        <v>1064.9825561658965</v>
      </c>
      <c r="AD105" s="9">
        <f t="shared" ca="1" si="40"/>
        <v>1089.8337968143985</v>
      </c>
      <c r="AE105" s="9">
        <f t="shared" ca="1" si="40"/>
        <v>1102.2594171386495</v>
      </c>
      <c r="AF105" s="9">
        <f t="shared" ca="1" si="40"/>
        <v>1102.2594171386495</v>
      </c>
      <c r="AG105" s="9">
        <f t="shared" ca="1" si="40"/>
        <v>1102.2594171386495</v>
      </c>
      <c r="AH105" s="9">
        <f t="shared" ca="1" si="40"/>
        <v>1102.2594171386495</v>
      </c>
      <c r="AI105" s="9">
        <f t="shared" ca="1" si="40"/>
        <v>1102.2594171386495</v>
      </c>
    </row>
    <row r="106" spans="1:35" x14ac:dyDescent="0.3">
      <c r="A106" s="8"/>
      <c r="B106" s="8" t="s">
        <v>166</v>
      </c>
      <c r="C106" s="198" t="s">
        <v>11</v>
      </c>
      <c r="E106" s="82">
        <f t="shared" ref="E106" si="41">E102+E103</f>
        <v>0</v>
      </c>
      <c r="F106" s="82">
        <f t="shared" ref="F106:AI106" ca="1" si="42">F102+F103</f>
        <v>1242.5620324251017</v>
      </c>
      <c r="G106" s="82">
        <f t="shared" ca="1" si="42"/>
        <v>1242.5620324251017</v>
      </c>
      <c r="H106" s="82">
        <f t="shared" ca="1" si="42"/>
        <v>1242.5620324251017</v>
      </c>
      <c r="I106" s="82">
        <f t="shared" ca="1" si="42"/>
        <v>1242.5620324251017</v>
      </c>
      <c r="J106" s="82">
        <f t="shared" ca="1" si="42"/>
        <v>1242.5620324251017</v>
      </c>
      <c r="K106" s="82">
        <f t="shared" ca="1" si="42"/>
        <v>1242.5620324251017</v>
      </c>
      <c r="L106" s="82">
        <f t="shared" ca="1" si="42"/>
        <v>1242.5620324251017</v>
      </c>
      <c r="M106" s="82">
        <f t="shared" ca="1" si="42"/>
        <v>1242.5620324251017</v>
      </c>
      <c r="N106" s="82">
        <f t="shared" ca="1" si="42"/>
        <v>1242.5620324251017</v>
      </c>
      <c r="O106" s="82">
        <f t="shared" ca="1" si="42"/>
        <v>1242.5620324251017</v>
      </c>
      <c r="P106" s="82">
        <f t="shared" ca="1" si="42"/>
        <v>1242.5620324251017</v>
      </c>
      <c r="Q106" s="82">
        <f t="shared" ca="1" si="42"/>
        <v>1242.5620324251017</v>
      </c>
      <c r="R106" s="82">
        <f t="shared" ca="1" si="42"/>
        <v>1242.5620324251017</v>
      </c>
      <c r="S106" s="82">
        <f t="shared" ca="1" si="42"/>
        <v>1242.5620324251017</v>
      </c>
      <c r="T106" s="82">
        <f t="shared" ca="1" si="42"/>
        <v>1242.5620324251017</v>
      </c>
      <c r="U106" s="82">
        <f t="shared" ca="1" si="42"/>
        <v>1242.5620324251017</v>
      </c>
      <c r="V106" s="82">
        <f t="shared" ca="1" si="42"/>
        <v>1242.5620324251017</v>
      </c>
      <c r="W106" s="82">
        <f t="shared" ca="1" si="42"/>
        <v>1242.5620324251017</v>
      </c>
      <c r="X106" s="82">
        <f t="shared" ca="1" si="42"/>
        <v>1242.5620324251017</v>
      </c>
      <c r="Y106" s="82">
        <f t="shared" ca="1" si="42"/>
        <v>1242.5620324251017</v>
      </c>
      <c r="Z106" s="82">
        <f t="shared" ca="1" si="42"/>
        <v>1242.5620324251017</v>
      </c>
      <c r="AA106" s="82">
        <f t="shared" ca="1" si="42"/>
        <v>1242.5620324251017</v>
      </c>
      <c r="AB106" s="82">
        <f t="shared" ca="1" si="42"/>
        <v>1242.5620324251017</v>
      </c>
      <c r="AC106" s="82">
        <f t="shared" ca="1" si="42"/>
        <v>1242.5620324251017</v>
      </c>
      <c r="AD106" s="82">
        <f t="shared" ca="1" si="42"/>
        <v>1242.5620324251017</v>
      </c>
      <c r="AE106" s="82">
        <f t="shared" ca="1" si="42"/>
        <v>1242.5620324251017</v>
      </c>
      <c r="AF106" s="82">
        <f t="shared" ca="1" si="42"/>
        <v>1242.5620324251017</v>
      </c>
      <c r="AG106" s="82">
        <f t="shared" ca="1" si="42"/>
        <v>1242.5620324251017</v>
      </c>
      <c r="AH106" s="82">
        <f t="shared" ca="1" si="42"/>
        <v>1242.5620324251017</v>
      </c>
      <c r="AI106" s="82">
        <f t="shared" ca="1" si="42"/>
        <v>1242.5620324251017</v>
      </c>
    </row>
    <row r="107" spans="1:35" x14ac:dyDescent="0.3">
      <c r="A107" s="214"/>
      <c r="B107" s="8" t="s">
        <v>165</v>
      </c>
      <c r="C107" s="198" t="s">
        <v>11</v>
      </c>
      <c r="D107" s="216">
        <f ca="1">D104/D103</f>
        <v>0.8870860273972605</v>
      </c>
      <c r="E107" s="9">
        <f>E106*Input!$D$251</f>
        <v>0</v>
      </c>
      <c r="F107" s="9">
        <f ca="1">F106*Input!$D$251</f>
        <v>1118.3058291825917</v>
      </c>
      <c r="G107" s="9">
        <f ca="1">G106*Input!$D$251</f>
        <v>1118.3058291825917</v>
      </c>
      <c r="H107" s="9">
        <f ca="1">H106*Input!$D$251</f>
        <v>1118.3058291825917</v>
      </c>
      <c r="I107" s="9">
        <f ca="1">I106*Input!$D$251</f>
        <v>1118.3058291825917</v>
      </c>
      <c r="J107" s="9">
        <f ca="1">J106*Input!$D$251</f>
        <v>1118.3058291825917</v>
      </c>
      <c r="K107" s="9">
        <f ca="1">K106*Input!$D$251</f>
        <v>1118.3058291825917</v>
      </c>
      <c r="L107" s="9">
        <f ca="1">L106*Input!$D$251</f>
        <v>1118.3058291825917</v>
      </c>
      <c r="M107" s="9">
        <f ca="1">M106*Input!$D$251</f>
        <v>1118.3058291825917</v>
      </c>
      <c r="N107" s="9">
        <f ca="1">N106*Input!$D$251</f>
        <v>1118.3058291825917</v>
      </c>
      <c r="O107" s="9">
        <f ca="1">O106*Input!$D$251</f>
        <v>1118.3058291825917</v>
      </c>
      <c r="P107" s="9">
        <f ca="1">P106*Input!$D$251</f>
        <v>1118.3058291825917</v>
      </c>
      <c r="Q107" s="9">
        <f ca="1">Q106*Input!$D$251</f>
        <v>1118.3058291825917</v>
      </c>
      <c r="R107" s="9">
        <f ca="1">R106*Input!$D$251</f>
        <v>1118.3058291825917</v>
      </c>
      <c r="S107" s="9">
        <f ca="1">S106*Input!$D$251</f>
        <v>1118.3058291825917</v>
      </c>
      <c r="T107" s="9">
        <f ca="1">T106*Input!$D$251</f>
        <v>1118.3058291825917</v>
      </c>
      <c r="U107" s="9">
        <f ca="1">U106*Input!$D$251</f>
        <v>1118.3058291825917</v>
      </c>
      <c r="V107" s="9">
        <f ca="1">V106*Input!$D$251</f>
        <v>1118.3058291825917</v>
      </c>
      <c r="W107" s="9">
        <f ca="1">W106*Input!$D$251</f>
        <v>1118.3058291825917</v>
      </c>
      <c r="X107" s="9">
        <f ca="1">X106*Input!$D$251</f>
        <v>1118.3058291825917</v>
      </c>
      <c r="Y107" s="9">
        <f ca="1">Y106*Input!$D$251</f>
        <v>1118.3058291825917</v>
      </c>
      <c r="Z107" s="9">
        <f ca="1">Z106*Input!$D$251</f>
        <v>1118.3058291825917</v>
      </c>
      <c r="AA107" s="9">
        <f ca="1">AA106*Input!$D$251</f>
        <v>1118.3058291825917</v>
      </c>
      <c r="AB107" s="9">
        <f ca="1">AB106*Input!$D$251</f>
        <v>1118.3058291825917</v>
      </c>
      <c r="AC107" s="9">
        <f ca="1">AC106*Input!$D$251</f>
        <v>1118.3058291825917</v>
      </c>
      <c r="AD107" s="9">
        <f ca="1">AD106*Input!$D$251</f>
        <v>1118.3058291825917</v>
      </c>
      <c r="AE107" s="9">
        <f ca="1">AE106*Input!$D$251</f>
        <v>1118.3058291825917</v>
      </c>
      <c r="AF107" s="9">
        <f ca="1">AF106*Input!$D$251</f>
        <v>1118.3058291825917</v>
      </c>
      <c r="AG107" s="9">
        <f ca="1">AG106*Input!$D$251</f>
        <v>1118.3058291825917</v>
      </c>
      <c r="AH107" s="9">
        <f ca="1">AH106*Input!$D$251</f>
        <v>1118.3058291825917</v>
      </c>
      <c r="AI107" s="9">
        <f ca="1">AI106*Input!$D$251</f>
        <v>1118.3058291825917</v>
      </c>
    </row>
    <row r="108" spans="1:35" x14ac:dyDescent="0.3">
      <c r="A108" s="214"/>
      <c r="E108" s="9"/>
      <c r="F108" s="9"/>
      <c r="G108" s="9"/>
      <c r="H108" s="9"/>
      <c r="I108" s="9"/>
      <c r="J108" s="9"/>
      <c r="K108" s="9"/>
      <c r="L108" s="9"/>
      <c r="M108" s="9"/>
      <c r="N108" s="9"/>
      <c r="O108" s="9"/>
      <c r="P108" s="9"/>
      <c r="Q108" s="9"/>
      <c r="R108" s="9"/>
      <c r="S108" s="9">
        <f t="shared" ref="S108:X108" ca="1" si="43">S106-S107</f>
        <v>124.25620324251008</v>
      </c>
      <c r="T108" s="9">
        <f t="shared" ca="1" si="43"/>
        <v>124.25620324251008</v>
      </c>
      <c r="U108" s="9">
        <f t="shared" ca="1" si="43"/>
        <v>124.25620324251008</v>
      </c>
      <c r="V108" s="9">
        <f t="shared" ca="1" si="43"/>
        <v>124.25620324251008</v>
      </c>
      <c r="W108" s="9">
        <f t="shared" ca="1" si="43"/>
        <v>124.25620324251008</v>
      </c>
      <c r="X108" s="9">
        <f t="shared" ca="1" si="43"/>
        <v>124.25620324251008</v>
      </c>
      <c r="Y108" s="9"/>
      <c r="Z108" s="9"/>
      <c r="AA108" s="9"/>
      <c r="AB108" s="9"/>
      <c r="AC108" s="9"/>
      <c r="AD108" s="9"/>
      <c r="AE108" s="9"/>
      <c r="AF108" s="9"/>
      <c r="AG108" s="9"/>
      <c r="AH108" s="9"/>
      <c r="AI108" s="9"/>
    </row>
    <row r="109" spans="1:35" x14ac:dyDescent="0.3">
      <c r="A109" s="214"/>
      <c r="B109" s="8" t="s">
        <v>164</v>
      </c>
      <c r="C109" s="198" t="s">
        <v>11</v>
      </c>
      <c r="E109" s="9">
        <f t="shared" ref="E109:F109" si="44">D112</f>
        <v>0</v>
      </c>
      <c r="F109" s="9">
        <f t="shared" si="44"/>
        <v>0</v>
      </c>
      <c r="G109" s="9">
        <f t="shared" ref="G109:AI109" ca="1" si="45">F112</f>
        <v>1213.6276988952554</v>
      </c>
      <c r="H109" s="9">
        <f t="shared" ca="1" si="45"/>
        <v>1155.6000519810032</v>
      </c>
      <c r="I109" s="9">
        <f t="shared" ca="1" si="45"/>
        <v>1097.5724050667509</v>
      </c>
      <c r="J109" s="9">
        <f t="shared" ca="1" si="45"/>
        <v>1039.5447581524986</v>
      </c>
      <c r="K109" s="9">
        <f t="shared" ca="1" si="45"/>
        <v>981.51711123824634</v>
      </c>
      <c r="L109" s="9">
        <f t="shared" ca="1" si="45"/>
        <v>923.48946432399407</v>
      </c>
      <c r="M109" s="9">
        <f t="shared" ca="1" si="45"/>
        <v>865.4618174097418</v>
      </c>
      <c r="N109" s="9">
        <f t="shared" ca="1" si="45"/>
        <v>807.43417049548952</v>
      </c>
      <c r="O109" s="9">
        <f t="shared" ca="1" si="45"/>
        <v>749.40652358123725</v>
      </c>
      <c r="P109" s="9">
        <f t="shared" ca="1" si="45"/>
        <v>691.37887666698498</v>
      </c>
      <c r="Q109" s="9">
        <f t="shared" ca="1" si="45"/>
        <v>633.35122975273271</v>
      </c>
      <c r="R109" s="9">
        <f t="shared" ca="1" si="45"/>
        <v>575.32358283848043</v>
      </c>
      <c r="S109" s="9">
        <f t="shared" ca="1" si="45"/>
        <v>517.29593592422816</v>
      </c>
      <c r="T109" s="9">
        <f t="shared" ca="1" si="45"/>
        <v>459.26828900997589</v>
      </c>
      <c r="U109" s="9">
        <f t="shared" ca="1" si="45"/>
        <v>401.24064209572362</v>
      </c>
      <c r="V109" s="9">
        <f t="shared" ca="1" si="45"/>
        <v>376.38940144722159</v>
      </c>
      <c r="W109" s="9">
        <f t="shared" ca="1" si="45"/>
        <v>351.53816079871956</v>
      </c>
      <c r="X109" s="9">
        <f t="shared" ca="1" si="45"/>
        <v>326.68692015021753</v>
      </c>
      <c r="Y109" s="9">
        <f t="shared" ca="1" si="45"/>
        <v>301.8356795017155</v>
      </c>
      <c r="Z109" s="9">
        <f t="shared" ca="1" si="45"/>
        <v>276.98443885321348</v>
      </c>
      <c r="AA109" s="9">
        <f t="shared" ca="1" si="45"/>
        <v>252.13319820471145</v>
      </c>
      <c r="AB109" s="9">
        <f t="shared" ca="1" si="45"/>
        <v>227.28195755620942</v>
      </c>
      <c r="AC109" s="9">
        <f t="shared" ca="1" si="45"/>
        <v>202.43071690770739</v>
      </c>
      <c r="AD109" s="9">
        <f t="shared" ca="1" si="45"/>
        <v>177.57947625920536</v>
      </c>
      <c r="AE109" s="9">
        <f t="shared" ca="1" si="45"/>
        <v>152.72823561070334</v>
      </c>
      <c r="AF109" s="9">
        <f t="shared" ca="1" si="45"/>
        <v>140.30261528645232</v>
      </c>
      <c r="AG109" s="9">
        <f t="shared" ca="1" si="45"/>
        <v>140.30261528645232</v>
      </c>
      <c r="AH109" s="9">
        <f t="shared" ca="1" si="45"/>
        <v>140.30261528645232</v>
      </c>
      <c r="AI109" s="9">
        <f t="shared" ca="1" si="45"/>
        <v>140.30261528645232</v>
      </c>
    </row>
    <row r="110" spans="1:35" x14ac:dyDescent="0.3">
      <c r="A110" s="214"/>
      <c r="B110" s="8" t="s">
        <v>163</v>
      </c>
      <c r="C110" s="198" t="s">
        <v>11</v>
      </c>
      <c r="D110" s="201">
        <f ca="1">SUM(E110:AI110)</f>
        <v>1242.5620324251017</v>
      </c>
      <c r="E110" s="9">
        <f t="shared" ref="E110:AI110" si="46">E103</f>
        <v>0</v>
      </c>
      <c r="F110" s="9">
        <f ca="1">F103</f>
        <v>1242.5620324251017</v>
      </c>
      <c r="G110" s="9">
        <f>G103</f>
        <v>0</v>
      </c>
      <c r="H110" s="9">
        <f t="shared" si="46"/>
        <v>0</v>
      </c>
      <c r="I110" s="9">
        <f t="shared" si="46"/>
        <v>0</v>
      </c>
      <c r="J110" s="9">
        <f t="shared" si="46"/>
        <v>0</v>
      </c>
      <c r="K110" s="9">
        <f t="shared" si="46"/>
        <v>0</v>
      </c>
      <c r="L110" s="9">
        <f t="shared" si="46"/>
        <v>0</v>
      </c>
      <c r="M110" s="9">
        <f t="shared" si="46"/>
        <v>0</v>
      </c>
      <c r="N110" s="9">
        <f t="shared" si="46"/>
        <v>0</v>
      </c>
      <c r="O110" s="9">
        <f t="shared" si="46"/>
        <v>0</v>
      </c>
      <c r="P110" s="9">
        <f t="shared" si="46"/>
        <v>0</v>
      </c>
      <c r="Q110" s="9">
        <f t="shared" si="46"/>
        <v>0</v>
      </c>
      <c r="R110" s="9">
        <f t="shared" si="46"/>
        <v>0</v>
      </c>
      <c r="S110" s="9">
        <f t="shared" si="46"/>
        <v>0</v>
      </c>
      <c r="T110" s="9">
        <f t="shared" si="46"/>
        <v>0</v>
      </c>
      <c r="U110" s="9">
        <f t="shared" si="46"/>
        <v>0</v>
      </c>
      <c r="V110" s="9">
        <f t="shared" si="46"/>
        <v>0</v>
      </c>
      <c r="W110" s="9">
        <f t="shared" si="46"/>
        <v>0</v>
      </c>
      <c r="X110" s="9">
        <f t="shared" si="46"/>
        <v>0</v>
      </c>
      <c r="Y110" s="9">
        <f t="shared" si="46"/>
        <v>0</v>
      </c>
      <c r="Z110" s="9">
        <f t="shared" si="46"/>
        <v>0</v>
      </c>
      <c r="AA110" s="9">
        <f t="shared" si="46"/>
        <v>0</v>
      </c>
      <c r="AB110" s="9">
        <f t="shared" si="46"/>
        <v>0</v>
      </c>
      <c r="AC110" s="9">
        <f t="shared" si="46"/>
        <v>0</v>
      </c>
      <c r="AD110" s="9">
        <f t="shared" si="46"/>
        <v>0</v>
      </c>
      <c r="AE110" s="9">
        <f t="shared" si="46"/>
        <v>0</v>
      </c>
      <c r="AF110" s="9">
        <f t="shared" si="46"/>
        <v>0</v>
      </c>
      <c r="AG110" s="9">
        <f t="shared" si="46"/>
        <v>0</v>
      </c>
      <c r="AH110" s="9">
        <f t="shared" si="46"/>
        <v>0</v>
      </c>
      <c r="AI110" s="9">
        <f t="shared" si="46"/>
        <v>0</v>
      </c>
    </row>
    <row r="111" spans="1:35" x14ac:dyDescent="0.3">
      <c r="A111" s="214"/>
      <c r="B111" s="8" t="s">
        <v>4</v>
      </c>
      <c r="C111" s="198" t="s">
        <v>11</v>
      </c>
      <c r="D111" s="201">
        <f ca="1">SUM(E111:AI111)</f>
        <v>1102.2594171386495</v>
      </c>
      <c r="E111" s="9">
        <f>E104</f>
        <v>0</v>
      </c>
      <c r="F111" s="9">
        <f ca="1">F104</f>
        <v>28.934333529846327</v>
      </c>
      <c r="G111" s="9">
        <f ca="1">G104</f>
        <v>58.027646914252252</v>
      </c>
      <c r="H111" s="9">
        <f t="shared" ref="H111:AE111" ca="1" si="47">H104</f>
        <v>58.027646914252252</v>
      </c>
      <c r="I111" s="9">
        <f t="shared" ca="1" si="47"/>
        <v>58.027646914252252</v>
      </c>
      <c r="J111" s="9">
        <f t="shared" ca="1" si="47"/>
        <v>58.027646914252252</v>
      </c>
      <c r="K111" s="9">
        <f t="shared" ca="1" si="47"/>
        <v>58.027646914252252</v>
      </c>
      <c r="L111" s="9">
        <f t="shared" ca="1" si="47"/>
        <v>58.027646914252252</v>
      </c>
      <c r="M111" s="9">
        <f t="shared" ca="1" si="47"/>
        <v>58.027646914252252</v>
      </c>
      <c r="N111" s="9">
        <f t="shared" ca="1" si="47"/>
        <v>58.027646914252252</v>
      </c>
      <c r="O111" s="9">
        <f t="shared" ca="1" si="47"/>
        <v>58.027646914252252</v>
      </c>
      <c r="P111" s="9">
        <f t="shared" ca="1" si="47"/>
        <v>58.027646914252252</v>
      </c>
      <c r="Q111" s="9">
        <f t="shared" ca="1" si="47"/>
        <v>58.027646914252252</v>
      </c>
      <c r="R111" s="9">
        <f t="shared" ca="1" si="47"/>
        <v>58.027646914252252</v>
      </c>
      <c r="S111" s="9">
        <f t="shared" ca="1" si="47"/>
        <v>58.027646914252252</v>
      </c>
      <c r="T111" s="9">
        <f t="shared" ca="1" si="47"/>
        <v>58.027646914252252</v>
      </c>
      <c r="U111" s="9">
        <f t="shared" ca="1" si="47"/>
        <v>24.851240648502035</v>
      </c>
      <c r="V111" s="9">
        <f t="shared" ca="1" si="47"/>
        <v>24.851240648502035</v>
      </c>
      <c r="W111" s="9">
        <f t="shared" ca="1" si="47"/>
        <v>24.851240648502035</v>
      </c>
      <c r="X111" s="9">
        <f t="shared" ca="1" si="47"/>
        <v>24.851240648502035</v>
      </c>
      <c r="Y111" s="9">
        <f t="shared" ca="1" si="47"/>
        <v>24.851240648502035</v>
      </c>
      <c r="Z111" s="9">
        <f t="shared" ca="1" si="47"/>
        <v>24.851240648502035</v>
      </c>
      <c r="AA111" s="9">
        <f t="shared" ca="1" si="47"/>
        <v>24.851240648502035</v>
      </c>
      <c r="AB111" s="9">
        <f t="shared" ca="1" si="47"/>
        <v>24.851240648502035</v>
      </c>
      <c r="AC111" s="9">
        <f t="shared" ca="1" si="47"/>
        <v>24.851240648502035</v>
      </c>
      <c r="AD111" s="9">
        <f t="shared" ca="1" si="47"/>
        <v>24.851240648502035</v>
      </c>
      <c r="AE111" s="9">
        <f t="shared" ca="1" si="47"/>
        <v>12.425620324251017</v>
      </c>
      <c r="AF111" s="9">
        <f t="shared" ref="AF111:AI111" si="48">AF104</f>
        <v>0</v>
      </c>
      <c r="AG111" s="9">
        <f t="shared" si="48"/>
        <v>0</v>
      </c>
      <c r="AH111" s="9">
        <f t="shared" si="48"/>
        <v>0</v>
      </c>
      <c r="AI111" s="9">
        <f t="shared" si="48"/>
        <v>0</v>
      </c>
    </row>
    <row r="112" spans="1:35" x14ac:dyDescent="0.3">
      <c r="A112" s="214"/>
      <c r="B112" s="8" t="s">
        <v>162</v>
      </c>
      <c r="C112" s="198" t="s">
        <v>11</v>
      </c>
      <c r="E112" s="9">
        <f t="shared" ref="E112" si="49">E109+E110-E111</f>
        <v>0</v>
      </c>
      <c r="F112" s="9">
        <f t="shared" ref="F112:AI112" ca="1" si="50">F109+F110-F111</f>
        <v>1213.6276988952554</v>
      </c>
      <c r="G112" s="9">
        <f t="shared" ca="1" si="50"/>
        <v>1155.6000519810032</v>
      </c>
      <c r="H112" s="9">
        <f t="shared" ca="1" si="50"/>
        <v>1097.5724050667509</v>
      </c>
      <c r="I112" s="9">
        <f t="shared" ca="1" si="50"/>
        <v>1039.5447581524986</v>
      </c>
      <c r="J112" s="9">
        <f t="shared" ca="1" si="50"/>
        <v>981.51711123824634</v>
      </c>
      <c r="K112" s="9">
        <f t="shared" ca="1" si="50"/>
        <v>923.48946432399407</v>
      </c>
      <c r="L112" s="9">
        <f t="shared" ca="1" si="50"/>
        <v>865.4618174097418</v>
      </c>
      <c r="M112" s="9">
        <f t="shared" ca="1" si="50"/>
        <v>807.43417049548952</v>
      </c>
      <c r="N112" s="9">
        <f t="shared" ca="1" si="50"/>
        <v>749.40652358123725</v>
      </c>
      <c r="O112" s="9">
        <f t="shared" ca="1" si="50"/>
        <v>691.37887666698498</v>
      </c>
      <c r="P112" s="9">
        <f t="shared" ca="1" si="50"/>
        <v>633.35122975273271</v>
      </c>
      <c r="Q112" s="9">
        <f t="shared" ca="1" si="50"/>
        <v>575.32358283848043</v>
      </c>
      <c r="R112" s="9">
        <f t="shared" ca="1" si="50"/>
        <v>517.29593592422816</v>
      </c>
      <c r="S112" s="9">
        <f t="shared" ca="1" si="50"/>
        <v>459.26828900997589</v>
      </c>
      <c r="T112" s="9">
        <f t="shared" ca="1" si="50"/>
        <v>401.24064209572362</v>
      </c>
      <c r="U112" s="9">
        <f t="shared" ca="1" si="50"/>
        <v>376.38940144722159</v>
      </c>
      <c r="V112" s="9">
        <f t="shared" ca="1" si="50"/>
        <v>351.53816079871956</v>
      </c>
      <c r="W112" s="9">
        <f t="shared" ca="1" si="50"/>
        <v>326.68692015021753</v>
      </c>
      <c r="X112" s="9">
        <f t="shared" ca="1" si="50"/>
        <v>301.8356795017155</v>
      </c>
      <c r="Y112" s="9">
        <f t="shared" ca="1" si="50"/>
        <v>276.98443885321348</v>
      </c>
      <c r="Z112" s="9">
        <f t="shared" ca="1" si="50"/>
        <v>252.13319820471145</v>
      </c>
      <c r="AA112" s="9">
        <f t="shared" ca="1" si="50"/>
        <v>227.28195755620942</v>
      </c>
      <c r="AB112" s="9">
        <f t="shared" ca="1" si="50"/>
        <v>202.43071690770739</v>
      </c>
      <c r="AC112" s="9">
        <f t="shared" ca="1" si="50"/>
        <v>177.57947625920536</v>
      </c>
      <c r="AD112" s="9">
        <f t="shared" ca="1" si="50"/>
        <v>152.72823561070334</v>
      </c>
      <c r="AE112" s="9">
        <f t="shared" ca="1" si="50"/>
        <v>140.30261528645232</v>
      </c>
      <c r="AF112" s="9">
        <f t="shared" ca="1" si="50"/>
        <v>140.30261528645232</v>
      </c>
      <c r="AG112" s="9">
        <f t="shared" ca="1" si="50"/>
        <v>140.30261528645232</v>
      </c>
      <c r="AH112" s="9">
        <f t="shared" ca="1" si="50"/>
        <v>140.30261528645232</v>
      </c>
      <c r="AI112" s="9">
        <f t="shared" ca="1" si="50"/>
        <v>140.30261528645232</v>
      </c>
    </row>
    <row r="113" spans="1:35" x14ac:dyDescent="0.3">
      <c r="A113" s="214"/>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row>
    <row r="114" spans="1:35" x14ac:dyDescent="0.3">
      <c r="A114" s="5"/>
      <c r="B114" s="217" t="s">
        <v>99</v>
      </c>
      <c r="C114" s="198"/>
      <c r="D114" s="218"/>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row>
    <row r="115" spans="1:35" x14ac:dyDescent="0.3">
      <c r="A115" s="5"/>
      <c r="B115" s="5" t="s">
        <v>161</v>
      </c>
      <c r="C115" s="198" t="s">
        <v>11</v>
      </c>
      <c r="D115" s="218"/>
      <c r="E115" s="175">
        <f t="shared" ref="E115:F115" si="51">D117</f>
        <v>0</v>
      </c>
      <c r="F115" s="175">
        <f t="shared" si="51"/>
        <v>0</v>
      </c>
      <c r="G115" s="175">
        <f t="shared" ref="G115:AI115" ca="1" si="52">F117</f>
        <v>28.934333529846327</v>
      </c>
      <c r="H115" s="175">
        <f t="shared" ca="1" si="52"/>
        <v>86.961980444098572</v>
      </c>
      <c r="I115" s="175">
        <f t="shared" ca="1" si="52"/>
        <v>144.98962735835082</v>
      </c>
      <c r="J115" s="175">
        <f t="shared" ca="1" si="52"/>
        <v>203.01727427260306</v>
      </c>
      <c r="K115" s="175">
        <f t="shared" ca="1" si="52"/>
        <v>261.04492118685533</v>
      </c>
      <c r="L115" s="175">
        <f t="shared" ca="1" si="52"/>
        <v>319.07256810110761</v>
      </c>
      <c r="M115" s="175">
        <f t="shared" ca="1" si="52"/>
        <v>377.10021501535988</v>
      </c>
      <c r="N115" s="175">
        <f t="shared" ca="1" si="52"/>
        <v>435.12786192961215</v>
      </c>
      <c r="O115" s="175">
        <f t="shared" ca="1" si="52"/>
        <v>493.15550884386442</v>
      </c>
      <c r="P115" s="175">
        <f t="shared" ca="1" si="52"/>
        <v>551.18315575811664</v>
      </c>
      <c r="Q115" s="175">
        <f t="shared" ca="1" si="52"/>
        <v>609.21080267236891</v>
      </c>
      <c r="R115" s="175">
        <f t="shared" ca="1" si="52"/>
        <v>667.23844958662119</v>
      </c>
      <c r="S115" s="175">
        <f t="shared" ca="1" si="52"/>
        <v>725.26609650087346</v>
      </c>
      <c r="T115" s="175">
        <f t="shared" ca="1" si="52"/>
        <v>783.29374341512573</v>
      </c>
      <c r="U115" s="175">
        <f t="shared" ca="1" si="52"/>
        <v>841.321390329378</v>
      </c>
      <c r="V115" s="175">
        <f t="shared" ca="1" si="52"/>
        <v>866.17263097788009</v>
      </c>
      <c r="W115" s="175">
        <f t="shared" ca="1" si="52"/>
        <v>891.02387162638217</v>
      </c>
      <c r="X115" s="175">
        <f t="shared" ca="1" si="52"/>
        <v>915.87511227488426</v>
      </c>
      <c r="Y115" s="175">
        <f t="shared" ca="1" si="52"/>
        <v>940.72635292338634</v>
      </c>
      <c r="Z115" s="175">
        <f t="shared" ca="1" si="52"/>
        <v>965.57759357188843</v>
      </c>
      <c r="AA115" s="175">
        <f t="shared" ca="1" si="52"/>
        <v>990.42883422039051</v>
      </c>
      <c r="AB115" s="175">
        <f t="shared" ca="1" si="52"/>
        <v>1015.2800748688926</v>
      </c>
      <c r="AC115" s="175">
        <f t="shared" ca="1" si="52"/>
        <v>1040.1313155173946</v>
      </c>
      <c r="AD115" s="175">
        <f t="shared" ca="1" si="52"/>
        <v>1064.9825561658965</v>
      </c>
      <c r="AE115" s="175">
        <f t="shared" ca="1" si="52"/>
        <v>1089.8337968143985</v>
      </c>
      <c r="AF115" s="175">
        <f t="shared" ca="1" si="52"/>
        <v>1102.2594171386495</v>
      </c>
      <c r="AG115" s="175">
        <f t="shared" ca="1" si="52"/>
        <v>1102.2594171386495</v>
      </c>
      <c r="AH115" s="175">
        <f t="shared" ca="1" si="52"/>
        <v>1102.2594171386495</v>
      </c>
      <c r="AI115" s="175">
        <f t="shared" ca="1" si="52"/>
        <v>1102.2594171386495</v>
      </c>
    </row>
    <row r="116" spans="1:35" x14ac:dyDescent="0.3">
      <c r="A116" s="5"/>
      <c r="B116" s="5" t="s">
        <v>160</v>
      </c>
      <c r="C116" s="198" t="s">
        <v>11</v>
      </c>
      <c r="D116" s="201">
        <f ca="1">SUM(E116:AI116)</f>
        <v>1102.2594171386495</v>
      </c>
      <c r="E116" s="175">
        <f t="shared" ref="E116:AI116" si="53">E104</f>
        <v>0</v>
      </c>
      <c r="F116" s="175">
        <f t="shared" ref="F116:AE116" ca="1" si="54">F104</f>
        <v>28.934333529846327</v>
      </c>
      <c r="G116" s="175">
        <f t="shared" ca="1" si="54"/>
        <v>58.027646914252252</v>
      </c>
      <c r="H116" s="175">
        <f t="shared" ca="1" si="54"/>
        <v>58.027646914252252</v>
      </c>
      <c r="I116" s="175">
        <f t="shared" ca="1" si="54"/>
        <v>58.027646914252252</v>
      </c>
      <c r="J116" s="175">
        <f t="shared" ca="1" si="54"/>
        <v>58.027646914252252</v>
      </c>
      <c r="K116" s="175">
        <f t="shared" ca="1" si="54"/>
        <v>58.027646914252252</v>
      </c>
      <c r="L116" s="175">
        <f t="shared" ca="1" si="54"/>
        <v>58.027646914252252</v>
      </c>
      <c r="M116" s="175">
        <f t="shared" ca="1" si="54"/>
        <v>58.027646914252252</v>
      </c>
      <c r="N116" s="175">
        <f t="shared" ca="1" si="54"/>
        <v>58.027646914252252</v>
      </c>
      <c r="O116" s="175">
        <f t="shared" ca="1" si="54"/>
        <v>58.027646914252252</v>
      </c>
      <c r="P116" s="175">
        <f t="shared" ca="1" si="54"/>
        <v>58.027646914252252</v>
      </c>
      <c r="Q116" s="175">
        <f t="shared" ca="1" si="54"/>
        <v>58.027646914252252</v>
      </c>
      <c r="R116" s="175">
        <f t="shared" ca="1" si="54"/>
        <v>58.027646914252252</v>
      </c>
      <c r="S116" s="175">
        <f t="shared" ca="1" si="54"/>
        <v>58.027646914252252</v>
      </c>
      <c r="T116" s="175">
        <f t="shared" ca="1" si="54"/>
        <v>58.027646914252252</v>
      </c>
      <c r="U116" s="175">
        <f t="shared" ca="1" si="54"/>
        <v>24.851240648502035</v>
      </c>
      <c r="V116" s="175">
        <f t="shared" ca="1" si="54"/>
        <v>24.851240648502035</v>
      </c>
      <c r="W116" s="175">
        <f t="shared" ca="1" si="54"/>
        <v>24.851240648502035</v>
      </c>
      <c r="X116" s="175">
        <f t="shared" ca="1" si="54"/>
        <v>24.851240648502035</v>
      </c>
      <c r="Y116" s="175">
        <f t="shared" ca="1" si="54"/>
        <v>24.851240648502035</v>
      </c>
      <c r="Z116" s="175">
        <f t="shared" ca="1" si="54"/>
        <v>24.851240648502035</v>
      </c>
      <c r="AA116" s="175">
        <f t="shared" ca="1" si="54"/>
        <v>24.851240648502035</v>
      </c>
      <c r="AB116" s="175">
        <f t="shared" ca="1" si="54"/>
        <v>24.851240648502035</v>
      </c>
      <c r="AC116" s="175">
        <f t="shared" ca="1" si="54"/>
        <v>24.851240648502035</v>
      </c>
      <c r="AD116" s="175">
        <f t="shared" ca="1" si="54"/>
        <v>24.851240648502035</v>
      </c>
      <c r="AE116" s="175">
        <f t="shared" ca="1" si="54"/>
        <v>12.425620324251017</v>
      </c>
      <c r="AF116" s="175">
        <f t="shared" si="53"/>
        <v>0</v>
      </c>
      <c r="AG116" s="175">
        <f t="shared" si="53"/>
        <v>0</v>
      </c>
      <c r="AH116" s="175">
        <f t="shared" si="53"/>
        <v>0</v>
      </c>
      <c r="AI116" s="175">
        <f t="shared" si="53"/>
        <v>0</v>
      </c>
    </row>
    <row r="117" spans="1:35" x14ac:dyDescent="0.3">
      <c r="A117" s="5"/>
      <c r="B117" s="5" t="s">
        <v>135</v>
      </c>
      <c r="C117" s="198" t="s">
        <v>11</v>
      </c>
      <c r="D117" s="218"/>
      <c r="E117" s="175">
        <f t="shared" ref="E117" si="55">E115+E116</f>
        <v>0</v>
      </c>
      <c r="F117" s="175">
        <f t="shared" ref="F117:AI117" ca="1" si="56">F115+F116</f>
        <v>28.934333529846327</v>
      </c>
      <c r="G117" s="175">
        <f t="shared" ca="1" si="56"/>
        <v>86.961980444098572</v>
      </c>
      <c r="H117" s="175">
        <f t="shared" ca="1" si="56"/>
        <v>144.98962735835082</v>
      </c>
      <c r="I117" s="175">
        <f t="shared" ca="1" si="56"/>
        <v>203.01727427260306</v>
      </c>
      <c r="J117" s="175">
        <f t="shared" ca="1" si="56"/>
        <v>261.04492118685533</v>
      </c>
      <c r="K117" s="175">
        <f t="shared" ca="1" si="56"/>
        <v>319.07256810110761</v>
      </c>
      <c r="L117" s="175">
        <f t="shared" ca="1" si="56"/>
        <v>377.10021501535988</v>
      </c>
      <c r="M117" s="175">
        <f t="shared" ca="1" si="56"/>
        <v>435.12786192961215</v>
      </c>
      <c r="N117" s="175">
        <f t="shared" ca="1" si="56"/>
        <v>493.15550884386442</v>
      </c>
      <c r="O117" s="175">
        <f t="shared" ca="1" si="56"/>
        <v>551.18315575811664</v>
      </c>
      <c r="P117" s="175">
        <f t="shared" ca="1" si="56"/>
        <v>609.21080267236891</v>
      </c>
      <c r="Q117" s="175">
        <f t="shared" ca="1" si="56"/>
        <v>667.23844958662119</v>
      </c>
      <c r="R117" s="175">
        <f t="shared" ca="1" si="56"/>
        <v>725.26609650087346</v>
      </c>
      <c r="S117" s="175">
        <f t="shared" ca="1" si="56"/>
        <v>783.29374341512573</v>
      </c>
      <c r="T117" s="175">
        <f t="shared" ca="1" si="56"/>
        <v>841.321390329378</v>
      </c>
      <c r="U117" s="175">
        <f t="shared" ca="1" si="56"/>
        <v>866.17263097788009</v>
      </c>
      <c r="V117" s="175">
        <f t="shared" ca="1" si="56"/>
        <v>891.02387162638217</v>
      </c>
      <c r="W117" s="175">
        <f t="shared" ca="1" si="56"/>
        <v>915.87511227488426</v>
      </c>
      <c r="X117" s="175">
        <f t="shared" ca="1" si="56"/>
        <v>940.72635292338634</v>
      </c>
      <c r="Y117" s="175">
        <f t="shared" ca="1" si="56"/>
        <v>965.57759357188843</v>
      </c>
      <c r="Z117" s="175">
        <f t="shared" ca="1" si="56"/>
        <v>990.42883422039051</v>
      </c>
      <c r="AA117" s="175">
        <f t="shared" ca="1" si="56"/>
        <v>1015.2800748688926</v>
      </c>
      <c r="AB117" s="175">
        <f t="shared" ca="1" si="56"/>
        <v>1040.1313155173946</v>
      </c>
      <c r="AC117" s="175">
        <f t="shared" ca="1" si="56"/>
        <v>1064.9825561658965</v>
      </c>
      <c r="AD117" s="175">
        <f t="shared" ca="1" si="56"/>
        <v>1089.8337968143985</v>
      </c>
      <c r="AE117" s="175">
        <f t="shared" ca="1" si="56"/>
        <v>1102.2594171386495</v>
      </c>
      <c r="AF117" s="175">
        <f t="shared" ca="1" si="56"/>
        <v>1102.2594171386495</v>
      </c>
      <c r="AG117" s="175">
        <f t="shared" ca="1" si="56"/>
        <v>1102.2594171386495</v>
      </c>
      <c r="AH117" s="175">
        <f t="shared" ca="1" si="56"/>
        <v>1102.2594171386495</v>
      </c>
      <c r="AI117" s="175">
        <f t="shared" ca="1" si="56"/>
        <v>1102.2594171386495</v>
      </c>
    </row>
    <row r="118" spans="1:35" x14ac:dyDescent="0.3">
      <c r="A118" s="8"/>
    </row>
    <row r="119" spans="1:35" hidden="1" x14ac:dyDescent="0.3">
      <c r="A119" s="214" t="s">
        <v>231</v>
      </c>
    </row>
    <row r="120" spans="1:35" hidden="1" x14ac:dyDescent="0.3">
      <c r="A120" s="8"/>
      <c r="B120" s="214" t="s">
        <v>170</v>
      </c>
      <c r="C120" s="198"/>
      <c r="E120" s="9"/>
      <c r="F120" s="9"/>
      <c r="G120" s="9"/>
      <c r="H120" s="9"/>
      <c r="I120" s="9"/>
      <c r="J120" s="9"/>
      <c r="K120" s="9"/>
      <c r="L120" s="9"/>
      <c r="M120" s="9"/>
      <c r="N120" s="9"/>
      <c r="O120" s="9"/>
      <c r="P120" s="9"/>
    </row>
    <row r="121" spans="1:35" hidden="1" x14ac:dyDescent="0.3">
      <c r="A121" s="8"/>
      <c r="B121" s="8" t="s">
        <v>169</v>
      </c>
      <c r="C121" s="198" t="s">
        <v>11</v>
      </c>
      <c r="E121" s="82">
        <f t="shared" ref="E121:AI121" si="57">D125</f>
        <v>0</v>
      </c>
      <c r="F121" s="82">
        <f t="shared" si="57"/>
        <v>0</v>
      </c>
      <c r="G121" s="82">
        <f t="shared" ca="1" si="57"/>
        <v>1242.5620324251017</v>
      </c>
      <c r="H121" s="82">
        <f t="shared" ca="1" si="57"/>
        <v>1242.5620324251017</v>
      </c>
      <c r="I121" s="82">
        <f t="shared" ca="1" si="57"/>
        <v>1242.5620324251017</v>
      </c>
      <c r="J121" s="82">
        <f t="shared" ca="1" si="57"/>
        <v>1242.5620324251017</v>
      </c>
      <c r="K121" s="82">
        <f t="shared" ca="1" si="57"/>
        <v>1242.5620324251017</v>
      </c>
      <c r="L121" s="82">
        <f t="shared" ca="1" si="57"/>
        <v>1242.5620324251017</v>
      </c>
      <c r="M121" s="82">
        <f t="shared" ca="1" si="57"/>
        <v>1242.5620324251017</v>
      </c>
      <c r="N121" s="82">
        <f t="shared" ca="1" si="57"/>
        <v>1242.5620324251017</v>
      </c>
      <c r="O121" s="82">
        <f t="shared" ca="1" si="57"/>
        <v>1242.5620324251017</v>
      </c>
      <c r="P121" s="82">
        <f t="shared" ca="1" si="57"/>
        <v>1242.5620324251017</v>
      </c>
      <c r="Q121" s="82">
        <f t="shared" ca="1" si="57"/>
        <v>1242.5620324251017</v>
      </c>
      <c r="R121" s="82">
        <f t="shared" ca="1" si="57"/>
        <v>1242.5620324251017</v>
      </c>
      <c r="S121" s="82">
        <f t="shared" ca="1" si="57"/>
        <v>1242.5620324251017</v>
      </c>
      <c r="T121" s="82">
        <f t="shared" ca="1" si="57"/>
        <v>1242.5620324251017</v>
      </c>
      <c r="U121" s="82">
        <f t="shared" ca="1" si="57"/>
        <v>1242.5620324251017</v>
      </c>
      <c r="V121" s="82">
        <f t="shared" ca="1" si="57"/>
        <v>1242.5620324251017</v>
      </c>
      <c r="W121" s="82">
        <f t="shared" ca="1" si="57"/>
        <v>1242.5620324251017</v>
      </c>
      <c r="X121" s="82">
        <f t="shared" ca="1" si="57"/>
        <v>1242.5620324251017</v>
      </c>
      <c r="Y121" s="82">
        <f t="shared" ca="1" si="57"/>
        <v>1242.5620324251017</v>
      </c>
      <c r="Z121" s="82">
        <f t="shared" ca="1" si="57"/>
        <v>1242.5620324251017</v>
      </c>
      <c r="AA121" s="82">
        <f t="shared" ca="1" si="57"/>
        <v>1242.5620324251017</v>
      </c>
      <c r="AB121" s="82">
        <f t="shared" ca="1" si="57"/>
        <v>1242.5620324251017</v>
      </c>
      <c r="AC121" s="82">
        <f t="shared" ca="1" si="57"/>
        <v>1242.5620324251017</v>
      </c>
      <c r="AD121" s="82">
        <f t="shared" ca="1" si="57"/>
        <v>1242.5620324251017</v>
      </c>
      <c r="AE121" s="82">
        <f t="shared" ca="1" si="57"/>
        <v>1242.5620324251017</v>
      </c>
      <c r="AF121" s="82">
        <f t="shared" ca="1" si="57"/>
        <v>1242.5620324251017</v>
      </c>
      <c r="AG121" s="82">
        <f t="shared" ca="1" si="57"/>
        <v>1242.5620324251017</v>
      </c>
      <c r="AH121" s="82">
        <f t="shared" ca="1" si="57"/>
        <v>1242.5620324251017</v>
      </c>
      <c r="AI121" s="82">
        <f t="shared" ca="1" si="57"/>
        <v>1242.5620324251017</v>
      </c>
    </row>
    <row r="122" spans="1:35" hidden="1" x14ac:dyDescent="0.3">
      <c r="A122" s="8"/>
      <c r="B122" s="8" t="s">
        <v>168</v>
      </c>
      <c r="C122" s="198" t="s">
        <v>11</v>
      </c>
      <c r="D122" s="201">
        <f ca="1">SUM(E122:AI122)</f>
        <v>1242.5620324251017</v>
      </c>
      <c r="E122" s="82">
        <f t="shared" ref="E122:AI122" si="58">E131</f>
        <v>0</v>
      </c>
      <c r="F122" s="82">
        <f ca="1">F131</f>
        <v>1242.5620324251017</v>
      </c>
      <c r="G122" s="82">
        <f t="shared" si="58"/>
        <v>0</v>
      </c>
      <c r="H122" s="82">
        <f t="shared" si="58"/>
        <v>0</v>
      </c>
      <c r="I122" s="82">
        <f t="shared" si="58"/>
        <v>0</v>
      </c>
      <c r="J122" s="82">
        <f t="shared" si="58"/>
        <v>0</v>
      </c>
      <c r="K122" s="82">
        <f t="shared" si="58"/>
        <v>0</v>
      </c>
      <c r="L122" s="82">
        <f t="shared" si="58"/>
        <v>0</v>
      </c>
      <c r="M122" s="82">
        <f t="shared" si="58"/>
        <v>0</v>
      </c>
      <c r="N122" s="82">
        <f t="shared" si="58"/>
        <v>0</v>
      </c>
      <c r="O122" s="82">
        <f t="shared" si="58"/>
        <v>0</v>
      </c>
      <c r="P122" s="82">
        <f t="shared" si="58"/>
        <v>0</v>
      </c>
      <c r="Q122" s="82">
        <f t="shared" si="58"/>
        <v>0</v>
      </c>
      <c r="R122" s="82">
        <f t="shared" si="58"/>
        <v>0</v>
      </c>
      <c r="S122" s="82">
        <f t="shared" si="58"/>
        <v>0</v>
      </c>
      <c r="T122" s="82">
        <f t="shared" si="58"/>
        <v>0</v>
      </c>
      <c r="U122" s="82">
        <f t="shared" si="58"/>
        <v>0</v>
      </c>
      <c r="V122" s="82">
        <f t="shared" si="58"/>
        <v>0</v>
      </c>
      <c r="W122" s="82">
        <f t="shared" si="58"/>
        <v>0</v>
      </c>
      <c r="X122" s="82">
        <f t="shared" si="58"/>
        <v>0</v>
      </c>
      <c r="Y122" s="82">
        <f t="shared" si="58"/>
        <v>0</v>
      </c>
      <c r="Z122" s="82">
        <f t="shared" si="58"/>
        <v>0</v>
      </c>
      <c r="AA122" s="82">
        <f t="shared" si="58"/>
        <v>0</v>
      </c>
      <c r="AB122" s="82">
        <f t="shared" si="58"/>
        <v>0</v>
      </c>
      <c r="AC122" s="82">
        <f t="shared" si="58"/>
        <v>0</v>
      </c>
      <c r="AD122" s="82">
        <f t="shared" si="58"/>
        <v>0</v>
      </c>
      <c r="AE122" s="82">
        <f t="shared" si="58"/>
        <v>0</v>
      </c>
      <c r="AF122" s="82">
        <f t="shared" si="58"/>
        <v>0</v>
      </c>
      <c r="AG122" s="82">
        <f t="shared" si="58"/>
        <v>0</v>
      </c>
      <c r="AH122" s="82">
        <f t="shared" si="58"/>
        <v>0</v>
      </c>
      <c r="AI122" s="82">
        <f t="shared" si="58"/>
        <v>0</v>
      </c>
    </row>
    <row r="123" spans="1:35" hidden="1" x14ac:dyDescent="0.3">
      <c r="A123" s="214"/>
      <c r="B123" s="8" t="s">
        <v>4</v>
      </c>
      <c r="C123" s="198" t="s">
        <v>11</v>
      </c>
      <c r="D123" s="201">
        <f ca="1">SUM(E123:AI123)</f>
        <v>1242.1892638153745</v>
      </c>
      <c r="E123" s="9">
        <f>IF(E4,MIN(E126-D124,(E121+E122)*Input!E253),0)</f>
        <v>0</v>
      </c>
      <c r="F123" s="9">
        <f ca="1">IF(F4,MIN(F126-E124,(F121+F122)*Input!F253),0)</f>
        <v>95.55302029349032</v>
      </c>
      <c r="G123" s="9">
        <f ca="1">IF(G4,MIN(G126-F124,(G121+G122)*Input!H253),0)</f>
        <v>95.55302029349032</v>
      </c>
      <c r="H123" s="9">
        <f ca="1">IF(H4,MIN(H126-G124,(H121+H122)*Input!I253),0)</f>
        <v>95.55302029349032</v>
      </c>
      <c r="I123" s="9">
        <f ca="1">IF(I4,MIN(I126-H124,(I121+I122)*Input!J253),0)</f>
        <v>95.55302029349032</v>
      </c>
      <c r="J123" s="9">
        <f ca="1">IF(J4,MIN(J126-I124,(J121+J122)*Input!K253),0)</f>
        <v>95.55302029349032</v>
      </c>
      <c r="K123" s="9">
        <f ca="1">IF(K4,MIN(K126-J124,(K121+K122)*Input!L253),0)</f>
        <v>95.55302029349032</v>
      </c>
      <c r="L123" s="9">
        <f ca="1">IF(L4,MIN(L126-K124,(L121+L122)*Input!M253),0)</f>
        <v>95.55302029349032</v>
      </c>
      <c r="M123" s="9">
        <f ca="1">IF(M4,MIN(M126-L124,(M121+M122)*Input!N253),0)</f>
        <v>95.55302029349032</v>
      </c>
      <c r="N123" s="9">
        <f ca="1">IF(N4,MIN(N126-M124,(N121+N122)*Input!O253),0)</f>
        <v>95.55302029349032</v>
      </c>
      <c r="O123" s="9">
        <f ca="1">IF(O4,MIN(O126-N124,(O121+O122)*Input!P253),0)</f>
        <v>95.55302029349032</v>
      </c>
      <c r="P123" s="9">
        <f ca="1">IF(P4,MIN(P126-O124,(P121+P122)*Input!Q253),0)</f>
        <v>95.55302029349032</v>
      </c>
      <c r="Q123" s="9">
        <f ca="1">IF(Q4,MIN(Q126-P124,(Q121+Q122)*Input!R253),0)</f>
        <v>95.55302029349032</v>
      </c>
      <c r="R123" s="9">
        <f ca="1">IF(R4,MIN(R126-Q124,(R121+R122)*Input!S253),0)</f>
        <v>95.55302029349032</v>
      </c>
      <c r="S123" s="9">
        <f ca="1">IF(S4,MIN(S126-R124,(S121+S122)*Input!T253),0)</f>
        <v>0</v>
      </c>
      <c r="T123" s="9">
        <f ca="1">IF(T4,MIN(T126-S124,(T121+T122)*Input!U253),0)</f>
        <v>0</v>
      </c>
      <c r="U123" s="9">
        <f ca="1">IF(U4,MIN(U126-T124,(U121+U122)*Input!V253),0)</f>
        <v>0</v>
      </c>
      <c r="V123" s="9">
        <f ca="1">IF(V4,MIN(V126-U124,(V121+V122)*Input!W253),0)</f>
        <v>0</v>
      </c>
      <c r="W123" s="9">
        <f ca="1">IF(W4,MIN(W126-V124,(W121+W122)*Input!X253),0)</f>
        <v>0</v>
      </c>
      <c r="X123" s="9">
        <f ca="1">IF(X4,MIN(X126-W124,(X121+X122)*Input!Y253),0)</f>
        <v>0</v>
      </c>
      <c r="Y123" s="9">
        <f ca="1">IF(Y4,MIN(Y126-X124,(Y121+Y122)*Input!Z253),0)</f>
        <v>0</v>
      </c>
      <c r="Z123" s="9">
        <f ca="1">IF(Z4,MIN(Z126-Y124,(Z121+Z122)*Input!AA253),0)</f>
        <v>0</v>
      </c>
      <c r="AA123" s="9">
        <f ca="1">IF(AA4,MIN(AA126-Z124,(AA121+AA122)*Input!AB253),0)</f>
        <v>0</v>
      </c>
      <c r="AB123" s="9">
        <f ca="1">IF(AB4,MIN(AB126-AA124,(AB121+AB122)*Input!AC253),0)</f>
        <v>0</v>
      </c>
      <c r="AC123" s="9">
        <f ca="1">IF(AC4,MIN(AC126-AB124,(AC121+AC122)*Input!AD253),0)</f>
        <v>0</v>
      </c>
      <c r="AD123" s="9">
        <f ca="1">IF(AD4,MIN(AD126-AC124,(AD121+AD122)*Input!AE253),0)</f>
        <v>0</v>
      </c>
      <c r="AE123" s="9">
        <f ca="1">IF(AE4,MIN(AE126-AD124,(AE121+AE122)*Input!AF253),0)</f>
        <v>0</v>
      </c>
      <c r="AF123" s="9">
        <f>IF(AF4,MIN(AF126-AE124,(AF121+AF122)*Input!AG253),0)</f>
        <v>0</v>
      </c>
      <c r="AG123" s="9">
        <f>IF(AG4,MIN(AG126-AF124,(AG121+AG122)*Input!AH253),0)</f>
        <v>0</v>
      </c>
      <c r="AH123" s="9">
        <f>IF(AH4,MIN(AH126-AG124,(AH121+AH122)*Input!AI253),0)</f>
        <v>0</v>
      </c>
      <c r="AI123" s="9">
        <f>IF(AI4,MIN(AI126-AH124,(AI121+AI122)*Input!AJ253),0)</f>
        <v>0</v>
      </c>
    </row>
    <row r="124" spans="1:35" hidden="1" x14ac:dyDescent="0.3">
      <c r="A124" s="214"/>
      <c r="B124" s="8" t="s">
        <v>167</v>
      </c>
      <c r="C124" s="198" t="s">
        <v>11</v>
      </c>
      <c r="E124" s="9">
        <f t="shared" ref="E124:AI124" si="59">D124+E123</f>
        <v>0</v>
      </c>
      <c r="F124" s="9">
        <f t="shared" ca="1" si="59"/>
        <v>95.55302029349032</v>
      </c>
      <c r="G124" s="9">
        <f t="shared" ca="1" si="59"/>
        <v>191.10604058698064</v>
      </c>
      <c r="H124" s="9">
        <f t="shared" ca="1" si="59"/>
        <v>286.65906088047097</v>
      </c>
      <c r="I124" s="9">
        <f t="shared" ca="1" si="59"/>
        <v>382.21208117396128</v>
      </c>
      <c r="J124" s="9">
        <f t="shared" ca="1" si="59"/>
        <v>477.76510146745159</v>
      </c>
      <c r="K124" s="9">
        <f t="shared" ca="1" si="59"/>
        <v>573.31812176094195</v>
      </c>
      <c r="L124" s="9">
        <f t="shared" ca="1" si="59"/>
        <v>668.87114205443231</v>
      </c>
      <c r="M124" s="9">
        <f t="shared" ca="1" si="59"/>
        <v>764.42416234792267</v>
      </c>
      <c r="N124" s="9">
        <f t="shared" ca="1" si="59"/>
        <v>859.97718264141304</v>
      </c>
      <c r="O124" s="9">
        <f t="shared" ca="1" si="59"/>
        <v>955.5302029349034</v>
      </c>
      <c r="P124" s="9">
        <f t="shared" ca="1" si="59"/>
        <v>1051.0832232283938</v>
      </c>
      <c r="Q124" s="9">
        <f t="shared" ca="1" si="59"/>
        <v>1146.6362435218841</v>
      </c>
      <c r="R124" s="9">
        <f t="shared" ca="1" si="59"/>
        <v>1242.1892638153745</v>
      </c>
      <c r="S124" s="9">
        <f t="shared" ca="1" si="59"/>
        <v>1242.1892638153745</v>
      </c>
      <c r="T124" s="9">
        <f t="shared" ca="1" si="59"/>
        <v>1242.1892638153745</v>
      </c>
      <c r="U124" s="9">
        <f t="shared" ca="1" si="59"/>
        <v>1242.1892638153745</v>
      </c>
      <c r="V124" s="9">
        <f t="shared" ca="1" si="59"/>
        <v>1242.1892638153745</v>
      </c>
      <c r="W124" s="9">
        <f t="shared" ca="1" si="59"/>
        <v>1242.1892638153745</v>
      </c>
      <c r="X124" s="9">
        <f t="shared" ca="1" si="59"/>
        <v>1242.1892638153745</v>
      </c>
      <c r="Y124" s="9">
        <f t="shared" ca="1" si="59"/>
        <v>1242.1892638153745</v>
      </c>
      <c r="Z124" s="9">
        <f t="shared" ca="1" si="59"/>
        <v>1242.1892638153745</v>
      </c>
      <c r="AA124" s="9">
        <f t="shared" ca="1" si="59"/>
        <v>1242.1892638153745</v>
      </c>
      <c r="AB124" s="9">
        <f t="shared" ca="1" si="59"/>
        <v>1242.1892638153745</v>
      </c>
      <c r="AC124" s="9">
        <f t="shared" ca="1" si="59"/>
        <v>1242.1892638153745</v>
      </c>
      <c r="AD124" s="9">
        <f t="shared" ca="1" si="59"/>
        <v>1242.1892638153745</v>
      </c>
      <c r="AE124" s="9">
        <f t="shared" ca="1" si="59"/>
        <v>1242.1892638153745</v>
      </c>
      <c r="AF124" s="9">
        <f t="shared" ca="1" si="59"/>
        <v>1242.1892638153745</v>
      </c>
      <c r="AG124" s="9">
        <f t="shared" ca="1" si="59"/>
        <v>1242.1892638153745</v>
      </c>
      <c r="AH124" s="9">
        <f t="shared" ca="1" si="59"/>
        <v>1242.1892638153745</v>
      </c>
      <c r="AI124" s="9">
        <f t="shared" ca="1" si="59"/>
        <v>1242.1892638153745</v>
      </c>
    </row>
    <row r="125" spans="1:35" hidden="1" x14ac:dyDescent="0.3">
      <c r="A125" s="8"/>
      <c r="B125" s="8" t="s">
        <v>166</v>
      </c>
      <c r="C125" s="198" t="s">
        <v>11</v>
      </c>
      <c r="E125" s="82">
        <f t="shared" ref="E125:AI125" si="60">E121+E122</f>
        <v>0</v>
      </c>
      <c r="F125" s="82">
        <f t="shared" ca="1" si="60"/>
        <v>1242.5620324251017</v>
      </c>
      <c r="G125" s="82">
        <f t="shared" ca="1" si="60"/>
        <v>1242.5620324251017</v>
      </c>
      <c r="H125" s="82">
        <f t="shared" ca="1" si="60"/>
        <v>1242.5620324251017</v>
      </c>
      <c r="I125" s="82">
        <f t="shared" ca="1" si="60"/>
        <v>1242.5620324251017</v>
      </c>
      <c r="J125" s="82">
        <f t="shared" ca="1" si="60"/>
        <v>1242.5620324251017</v>
      </c>
      <c r="K125" s="82">
        <f t="shared" ca="1" si="60"/>
        <v>1242.5620324251017</v>
      </c>
      <c r="L125" s="82">
        <f t="shared" ca="1" si="60"/>
        <v>1242.5620324251017</v>
      </c>
      <c r="M125" s="82">
        <f t="shared" ca="1" si="60"/>
        <v>1242.5620324251017</v>
      </c>
      <c r="N125" s="82">
        <f t="shared" ca="1" si="60"/>
        <v>1242.5620324251017</v>
      </c>
      <c r="O125" s="82">
        <f t="shared" ca="1" si="60"/>
        <v>1242.5620324251017</v>
      </c>
      <c r="P125" s="82">
        <f t="shared" ca="1" si="60"/>
        <v>1242.5620324251017</v>
      </c>
      <c r="Q125" s="82">
        <f t="shared" ca="1" si="60"/>
        <v>1242.5620324251017</v>
      </c>
      <c r="R125" s="82">
        <f t="shared" ca="1" si="60"/>
        <v>1242.5620324251017</v>
      </c>
      <c r="S125" s="82">
        <f t="shared" ca="1" si="60"/>
        <v>1242.5620324251017</v>
      </c>
      <c r="T125" s="82">
        <f t="shared" ca="1" si="60"/>
        <v>1242.5620324251017</v>
      </c>
      <c r="U125" s="82">
        <f t="shared" ca="1" si="60"/>
        <v>1242.5620324251017</v>
      </c>
      <c r="V125" s="82">
        <f t="shared" ca="1" si="60"/>
        <v>1242.5620324251017</v>
      </c>
      <c r="W125" s="82">
        <f t="shared" ca="1" si="60"/>
        <v>1242.5620324251017</v>
      </c>
      <c r="X125" s="82">
        <f t="shared" ca="1" si="60"/>
        <v>1242.5620324251017</v>
      </c>
      <c r="Y125" s="82">
        <f t="shared" ca="1" si="60"/>
        <v>1242.5620324251017</v>
      </c>
      <c r="Z125" s="82">
        <f t="shared" ca="1" si="60"/>
        <v>1242.5620324251017</v>
      </c>
      <c r="AA125" s="82">
        <f t="shared" ca="1" si="60"/>
        <v>1242.5620324251017</v>
      </c>
      <c r="AB125" s="82">
        <f t="shared" ca="1" si="60"/>
        <v>1242.5620324251017</v>
      </c>
      <c r="AC125" s="82">
        <f t="shared" ca="1" si="60"/>
        <v>1242.5620324251017</v>
      </c>
      <c r="AD125" s="82">
        <f t="shared" ca="1" si="60"/>
        <v>1242.5620324251017</v>
      </c>
      <c r="AE125" s="82">
        <f t="shared" ca="1" si="60"/>
        <v>1242.5620324251017</v>
      </c>
      <c r="AF125" s="82">
        <f t="shared" ca="1" si="60"/>
        <v>1242.5620324251017</v>
      </c>
      <c r="AG125" s="82">
        <f t="shared" ca="1" si="60"/>
        <v>1242.5620324251017</v>
      </c>
      <c r="AH125" s="82">
        <f t="shared" ca="1" si="60"/>
        <v>1242.5620324251017</v>
      </c>
      <c r="AI125" s="82">
        <f t="shared" ca="1" si="60"/>
        <v>1242.5620324251017</v>
      </c>
    </row>
    <row r="126" spans="1:35" hidden="1" x14ac:dyDescent="0.3">
      <c r="A126" s="214"/>
      <c r="B126" s="8" t="s">
        <v>165</v>
      </c>
      <c r="C126" s="198" t="s">
        <v>11</v>
      </c>
      <c r="E126" s="9">
        <f>E125*Input!$D$254</f>
        <v>0</v>
      </c>
      <c r="F126" s="9">
        <f ca="1">F125*Input!$D$254</f>
        <v>1242.5620324251017</v>
      </c>
      <c r="G126" s="9">
        <f ca="1">G125*Input!$D$254</f>
        <v>1242.5620324251017</v>
      </c>
      <c r="H126" s="9">
        <f ca="1">H125*Input!$D$254</f>
        <v>1242.5620324251017</v>
      </c>
      <c r="I126" s="9">
        <f ca="1">I125*Input!$D$254</f>
        <v>1242.5620324251017</v>
      </c>
      <c r="J126" s="9">
        <f ca="1">J125*Input!$D$254</f>
        <v>1242.5620324251017</v>
      </c>
      <c r="K126" s="9">
        <f ca="1">K125*Input!$D$254</f>
        <v>1242.5620324251017</v>
      </c>
      <c r="L126" s="9">
        <f ca="1">L125*Input!$D$254</f>
        <v>1242.5620324251017</v>
      </c>
      <c r="M126" s="9">
        <f ca="1">M125*Input!$D$254</f>
        <v>1242.5620324251017</v>
      </c>
      <c r="N126" s="9">
        <f ca="1">N125*Input!$D$254</f>
        <v>1242.5620324251017</v>
      </c>
      <c r="O126" s="9">
        <f ca="1">O125*Input!$D$254</f>
        <v>1242.5620324251017</v>
      </c>
      <c r="P126" s="9">
        <f ca="1">P125*Input!$D$254</f>
        <v>1242.5620324251017</v>
      </c>
      <c r="Q126" s="9">
        <f ca="1">Q125*Input!$D$254</f>
        <v>1242.5620324251017</v>
      </c>
      <c r="R126" s="9">
        <f ca="1">R125*Input!$D$254</f>
        <v>1242.5620324251017</v>
      </c>
      <c r="S126" s="9">
        <f ca="1">S125*Input!$D$254</f>
        <v>1242.5620324251017</v>
      </c>
      <c r="T126" s="9">
        <f ca="1">T125*Input!$D$254</f>
        <v>1242.5620324251017</v>
      </c>
      <c r="U126" s="9">
        <f ca="1">U125*Input!$D$254</f>
        <v>1242.5620324251017</v>
      </c>
      <c r="V126" s="9">
        <f ca="1">V125*Input!$D$254</f>
        <v>1242.5620324251017</v>
      </c>
      <c r="W126" s="9">
        <f ca="1">W125*Input!$D$254</f>
        <v>1242.5620324251017</v>
      </c>
      <c r="X126" s="9">
        <f ca="1">X125*Input!$D$254</f>
        <v>1242.5620324251017</v>
      </c>
      <c r="Y126" s="9">
        <f ca="1">Y125*Input!$D$254</f>
        <v>1242.5620324251017</v>
      </c>
      <c r="Z126" s="9">
        <f ca="1">Z125*Input!$D$254</f>
        <v>1242.5620324251017</v>
      </c>
      <c r="AA126" s="9">
        <f ca="1">AA125*Input!$D$254</f>
        <v>1242.5620324251017</v>
      </c>
      <c r="AB126" s="9">
        <f ca="1">AB125*Input!$D$254</f>
        <v>1242.5620324251017</v>
      </c>
      <c r="AC126" s="9">
        <f ca="1">AC125*Input!$D$254</f>
        <v>1242.5620324251017</v>
      </c>
      <c r="AD126" s="9">
        <f ca="1">AD125*Input!$D$254</f>
        <v>1242.5620324251017</v>
      </c>
      <c r="AE126" s="9">
        <f ca="1">AE125*Input!$D$254</f>
        <v>1242.5620324251017</v>
      </c>
      <c r="AF126" s="9">
        <f ca="1">AF125*Input!$D$254</f>
        <v>1242.5620324251017</v>
      </c>
      <c r="AG126" s="9">
        <f ca="1">AG125*Input!$D$254</f>
        <v>1242.5620324251017</v>
      </c>
      <c r="AH126" s="9">
        <f ca="1">AH125*Input!$D$254</f>
        <v>1242.5620324251017</v>
      </c>
      <c r="AI126" s="9">
        <f ca="1">AI125*Input!$D$254</f>
        <v>1242.5620324251017</v>
      </c>
    </row>
    <row r="127" spans="1:35" hidden="1" x14ac:dyDescent="0.3">
      <c r="A127" s="8"/>
    </row>
    <row r="128" spans="1:35" hidden="1" x14ac:dyDescent="0.3">
      <c r="A128" s="214" t="s">
        <v>21</v>
      </c>
    </row>
    <row r="129" spans="1:35" hidden="1" x14ac:dyDescent="0.3">
      <c r="A129" s="8"/>
      <c r="B129" s="214" t="s">
        <v>170</v>
      </c>
      <c r="C129" s="198"/>
      <c r="E129" s="9"/>
      <c r="F129" s="9"/>
      <c r="G129" s="9"/>
      <c r="H129" s="9"/>
      <c r="I129" s="9"/>
      <c r="J129" s="9"/>
      <c r="K129" s="9"/>
      <c r="L129" s="9"/>
      <c r="M129" s="9"/>
      <c r="N129" s="9"/>
      <c r="O129" s="9"/>
      <c r="P129" s="9"/>
    </row>
    <row r="130" spans="1:35" hidden="1" x14ac:dyDescent="0.3">
      <c r="A130" s="8"/>
      <c r="B130" s="8" t="s">
        <v>169</v>
      </c>
      <c r="C130" s="198" t="s">
        <v>11</v>
      </c>
      <c r="E130" s="82">
        <f t="shared" ref="E130:F130" si="61">D134</f>
        <v>0</v>
      </c>
      <c r="F130" s="82">
        <f t="shared" si="61"/>
        <v>0</v>
      </c>
      <c r="G130" s="82">
        <f t="shared" ref="G130:AI130" ca="1" si="62">F134</f>
        <v>1242.5620324251017</v>
      </c>
      <c r="H130" s="82">
        <f t="shared" ca="1" si="62"/>
        <v>1242.5620324251017</v>
      </c>
      <c r="I130" s="82">
        <f t="shared" ca="1" si="62"/>
        <v>1242.5620324251017</v>
      </c>
      <c r="J130" s="82">
        <f t="shared" ca="1" si="62"/>
        <v>1242.5620324251017</v>
      </c>
      <c r="K130" s="82">
        <f t="shared" ca="1" si="62"/>
        <v>1242.5620324251017</v>
      </c>
      <c r="L130" s="82">
        <f t="shared" ca="1" si="62"/>
        <v>1242.5620324251017</v>
      </c>
      <c r="M130" s="82">
        <f t="shared" ca="1" si="62"/>
        <v>1242.5620324251017</v>
      </c>
      <c r="N130" s="82">
        <f t="shared" ca="1" si="62"/>
        <v>1242.5620324251017</v>
      </c>
      <c r="O130" s="82">
        <f t="shared" ca="1" si="62"/>
        <v>1242.5620324251017</v>
      </c>
      <c r="P130" s="82">
        <f t="shared" ca="1" si="62"/>
        <v>1242.5620324251017</v>
      </c>
      <c r="Q130" s="82">
        <f t="shared" ca="1" si="62"/>
        <v>1242.5620324251017</v>
      </c>
      <c r="R130" s="82">
        <f t="shared" ca="1" si="62"/>
        <v>1242.5620324251017</v>
      </c>
      <c r="S130" s="82">
        <f t="shared" ca="1" si="62"/>
        <v>1242.5620324251017</v>
      </c>
      <c r="T130" s="82">
        <f t="shared" ca="1" si="62"/>
        <v>1242.5620324251017</v>
      </c>
      <c r="U130" s="82">
        <f t="shared" ca="1" si="62"/>
        <v>1242.5620324251017</v>
      </c>
      <c r="V130" s="82">
        <f t="shared" ca="1" si="62"/>
        <v>1242.5620324251017</v>
      </c>
      <c r="W130" s="82">
        <f t="shared" ca="1" si="62"/>
        <v>1242.5620324251017</v>
      </c>
      <c r="X130" s="82">
        <f t="shared" ca="1" si="62"/>
        <v>1242.5620324251017</v>
      </c>
      <c r="Y130" s="82">
        <f t="shared" ca="1" si="62"/>
        <v>1242.5620324251017</v>
      </c>
      <c r="Z130" s="82">
        <f t="shared" ca="1" si="62"/>
        <v>1242.5620324251017</v>
      </c>
      <c r="AA130" s="82">
        <f t="shared" ca="1" si="62"/>
        <v>1242.5620324251017</v>
      </c>
      <c r="AB130" s="82">
        <f t="shared" ca="1" si="62"/>
        <v>1242.5620324251017</v>
      </c>
      <c r="AC130" s="82">
        <f t="shared" ca="1" si="62"/>
        <v>1242.5620324251017</v>
      </c>
      <c r="AD130" s="82">
        <f t="shared" ca="1" si="62"/>
        <v>1242.5620324251017</v>
      </c>
      <c r="AE130" s="82">
        <f t="shared" ca="1" si="62"/>
        <v>1242.5620324251017</v>
      </c>
      <c r="AF130" s="82">
        <f t="shared" ca="1" si="62"/>
        <v>1242.5620324251017</v>
      </c>
      <c r="AG130" s="82">
        <f t="shared" ca="1" si="62"/>
        <v>1242.5620324251017</v>
      </c>
      <c r="AH130" s="82">
        <f t="shared" ca="1" si="62"/>
        <v>1242.5620324251017</v>
      </c>
      <c r="AI130" s="82">
        <f t="shared" ca="1" si="62"/>
        <v>1242.5620324251017</v>
      </c>
    </row>
    <row r="131" spans="1:35" hidden="1" x14ac:dyDescent="0.3">
      <c r="A131" s="8"/>
      <c r="B131" s="8" t="s">
        <v>168</v>
      </c>
      <c r="C131" s="198" t="s">
        <v>11</v>
      </c>
      <c r="D131" s="204">
        <f ca="1">SUM(E131:AI131)</f>
        <v>1242.5620324251017</v>
      </c>
      <c r="E131" s="82">
        <f t="shared" ref="E131:AI131" si="63">E97</f>
        <v>0</v>
      </c>
      <c r="F131" s="82">
        <f ca="1">F97</f>
        <v>1242.5620324251017</v>
      </c>
      <c r="G131" s="82">
        <f t="shared" si="63"/>
        <v>0</v>
      </c>
      <c r="H131" s="82">
        <f t="shared" si="63"/>
        <v>0</v>
      </c>
      <c r="I131" s="82">
        <f t="shared" si="63"/>
        <v>0</v>
      </c>
      <c r="J131" s="82">
        <f t="shared" si="63"/>
        <v>0</v>
      </c>
      <c r="K131" s="82">
        <f t="shared" si="63"/>
        <v>0</v>
      </c>
      <c r="L131" s="82">
        <f t="shared" si="63"/>
        <v>0</v>
      </c>
      <c r="M131" s="82">
        <f t="shared" si="63"/>
        <v>0</v>
      </c>
      <c r="N131" s="82">
        <f t="shared" si="63"/>
        <v>0</v>
      </c>
      <c r="O131" s="82">
        <f t="shared" si="63"/>
        <v>0</v>
      </c>
      <c r="P131" s="82">
        <f t="shared" si="63"/>
        <v>0</v>
      </c>
      <c r="Q131" s="82">
        <f t="shared" si="63"/>
        <v>0</v>
      </c>
      <c r="R131" s="82">
        <f t="shared" si="63"/>
        <v>0</v>
      </c>
      <c r="S131" s="82">
        <f t="shared" si="63"/>
        <v>0</v>
      </c>
      <c r="T131" s="82">
        <f t="shared" si="63"/>
        <v>0</v>
      </c>
      <c r="U131" s="82">
        <f t="shared" si="63"/>
        <v>0</v>
      </c>
      <c r="V131" s="82">
        <f t="shared" si="63"/>
        <v>0</v>
      </c>
      <c r="W131" s="82">
        <f t="shared" si="63"/>
        <v>0</v>
      </c>
      <c r="X131" s="82">
        <f t="shared" si="63"/>
        <v>0</v>
      </c>
      <c r="Y131" s="82">
        <f t="shared" si="63"/>
        <v>0</v>
      </c>
      <c r="Z131" s="82">
        <f t="shared" si="63"/>
        <v>0</v>
      </c>
      <c r="AA131" s="82">
        <f t="shared" si="63"/>
        <v>0</v>
      </c>
      <c r="AB131" s="82">
        <f t="shared" si="63"/>
        <v>0</v>
      </c>
      <c r="AC131" s="82">
        <f t="shared" si="63"/>
        <v>0</v>
      </c>
      <c r="AD131" s="82">
        <f t="shared" si="63"/>
        <v>0</v>
      </c>
      <c r="AE131" s="82">
        <f t="shared" si="63"/>
        <v>0</v>
      </c>
      <c r="AF131" s="82">
        <f t="shared" si="63"/>
        <v>0</v>
      </c>
      <c r="AG131" s="82">
        <f t="shared" si="63"/>
        <v>0</v>
      </c>
      <c r="AH131" s="82">
        <f t="shared" si="63"/>
        <v>0</v>
      </c>
      <c r="AI131" s="82">
        <f t="shared" si="63"/>
        <v>0</v>
      </c>
    </row>
    <row r="132" spans="1:35" hidden="1" x14ac:dyDescent="0.3">
      <c r="A132" s="214"/>
      <c r="B132" s="8" t="s">
        <v>4</v>
      </c>
      <c r="C132" s="198" t="s">
        <v>11</v>
      </c>
      <c r="D132" s="204">
        <f ca="1">SUM(E132:AI132)</f>
        <v>1118.3058291825917</v>
      </c>
      <c r="E132" s="9">
        <f>IF(E4,MIN(E135-D133,(E137+E138)*Input!E256),0)</f>
        <v>0</v>
      </c>
      <c r="F132" s="9">
        <f ca="1">IF(F4,MIN(F135-E133,(F137+F138)*Input!F256),0)</f>
        <v>0</v>
      </c>
      <c r="G132" s="9">
        <f ca="1">IF(G4,MIN(G135-F133,(G137+G138)*Input!H256),0)</f>
        <v>621.28101621255087</v>
      </c>
      <c r="H132" s="9">
        <f ca="1">IF(H4,MIN(H135-G133,(H137+H138)*Input!I256),0)</f>
        <v>0</v>
      </c>
      <c r="I132" s="9">
        <f ca="1">IF(I4,MIN(I135-H133,(I137+I138)*Input!J256),0)</f>
        <v>497.02481297004078</v>
      </c>
      <c r="J132" s="9">
        <f ca="1">IF(J4,MIN(J135-I133,(J137+J138)*Input!K256),0)</f>
        <v>0</v>
      </c>
      <c r="K132" s="9">
        <f ca="1">IF(K4,MIN(K135-J133,(K137+K138)*Input!L256),0)</f>
        <v>0</v>
      </c>
      <c r="L132" s="9">
        <f ca="1">IF(L4,MIN(L135-K133,(L137+L138)*Input!M256),0)</f>
        <v>0</v>
      </c>
      <c r="M132" s="9">
        <f ca="1">IF(M4,MIN(M135-L133,(M137+M138)*Input!N256),0)</f>
        <v>0</v>
      </c>
      <c r="N132" s="9">
        <f ca="1">IF(N4,MIN(N135-M133,(N137+N138)*Input!O256),0)</f>
        <v>0</v>
      </c>
      <c r="O132" s="9">
        <f ca="1">IF(O4,MIN(O135-N133,(O137+O138)*Input!P256),0)</f>
        <v>0</v>
      </c>
      <c r="P132" s="9">
        <f ca="1">IF(P4,MIN(P135-O133,(P137+P138)*Input!Q256),0)</f>
        <v>0</v>
      </c>
      <c r="Q132" s="9">
        <f ca="1">IF(Q4,MIN(Q135-P133,(Q137+Q138)*Input!R256),0)</f>
        <v>0</v>
      </c>
      <c r="R132" s="9">
        <f ca="1">IF(R4,MIN(R135-Q133,(R137+R138)*Input!S256),0)</f>
        <v>0</v>
      </c>
      <c r="S132" s="9">
        <f ca="1">IF(S4,MIN(S135-R133,(S137+S138)*Input!T256),0)</f>
        <v>0</v>
      </c>
      <c r="T132" s="9">
        <f ca="1">IF(T4,MIN(T135-S133,(T137+T138)*Input!U256),0)</f>
        <v>0</v>
      </c>
      <c r="U132" s="9">
        <f ca="1">IF(U4,MIN(U135-T133,(U137+U138)*Input!V256),0)</f>
        <v>0</v>
      </c>
      <c r="V132" s="9">
        <f ca="1">IF(V4,MIN(V135-U133,(V137+V138)*Input!W256),0)</f>
        <v>0</v>
      </c>
      <c r="W132" s="9">
        <f ca="1">IF(W4,MIN(W135-V133,(W137+W138)*Input!X256),0)</f>
        <v>0</v>
      </c>
      <c r="X132" s="9">
        <f ca="1">IF(X4,MIN(X135-W133,(X137+X138)*Input!Y256),0)</f>
        <v>0</v>
      </c>
      <c r="Y132" s="9">
        <f ca="1">IF(Y4,MIN(Y135-X133,(Y137+Y138)*Input!Z256),0)</f>
        <v>0</v>
      </c>
      <c r="Z132" s="9">
        <f ca="1">IF(Z4,MIN(Z135-Y133,(Z137+Z138)*Input!AA256),0)</f>
        <v>0</v>
      </c>
      <c r="AA132" s="9">
        <f ca="1">IF(AA4,MIN(AA135-Z133,(AA137+AA138)*Input!AB256),0)</f>
        <v>0</v>
      </c>
      <c r="AB132" s="9">
        <f ca="1">IF(AB4,MIN(AB135-AA133,(AB137+AB138)*Input!AC256),0)</f>
        <v>0</v>
      </c>
      <c r="AC132" s="9">
        <f ca="1">IF(AC4,MIN(AC135-AB133,(AC137+AC138)*Input!AD256),0)</f>
        <v>0</v>
      </c>
      <c r="AD132" s="9">
        <f ca="1">IF(AD4,MIN(AD135-AC133,(AD137+AD138)*Input!AE256),0)</f>
        <v>0</v>
      </c>
      <c r="AE132" s="9">
        <f ca="1">IF(AE4,MIN(AE135-AD133,(AE137+AE138)*Input!AF256),0)</f>
        <v>0</v>
      </c>
      <c r="AF132" s="9">
        <f>IF(AF4,MIN(AF135-AE133,(AF137+AF138)*Input!AG256),0)</f>
        <v>0</v>
      </c>
      <c r="AG132" s="9">
        <f>IF(AG4,MIN(AG135-AF133,(AG137+AG138)*Input!AH256),0)</f>
        <v>0</v>
      </c>
      <c r="AH132" s="9">
        <f>IF(AH4,MIN(AH135-AG133,(AH137+AH138)*Input!AI256),0)</f>
        <v>0</v>
      </c>
      <c r="AI132" s="9">
        <f>IF(AI4,MIN(AI135-AH133,(AI137+AI138)*Input!AJ256),0)</f>
        <v>0</v>
      </c>
    </row>
    <row r="133" spans="1:35" hidden="1" x14ac:dyDescent="0.3">
      <c r="A133" s="214"/>
      <c r="B133" s="8" t="s">
        <v>167</v>
      </c>
      <c r="C133" s="198" t="s">
        <v>11</v>
      </c>
      <c r="E133" s="9">
        <f t="shared" ref="E133" si="64">D133+E132</f>
        <v>0</v>
      </c>
      <c r="F133" s="9">
        <f t="shared" ref="F133:AI133" ca="1" si="65">E133+F132</f>
        <v>0</v>
      </c>
      <c r="G133" s="9">
        <f t="shared" ca="1" si="65"/>
        <v>621.28101621255087</v>
      </c>
      <c r="H133" s="9">
        <f t="shared" ca="1" si="65"/>
        <v>621.28101621255087</v>
      </c>
      <c r="I133" s="9">
        <f t="shared" ca="1" si="65"/>
        <v>1118.3058291825917</v>
      </c>
      <c r="J133" s="9">
        <f t="shared" ca="1" si="65"/>
        <v>1118.3058291825917</v>
      </c>
      <c r="K133" s="9">
        <f t="shared" ca="1" si="65"/>
        <v>1118.3058291825917</v>
      </c>
      <c r="L133" s="9">
        <f t="shared" ca="1" si="65"/>
        <v>1118.3058291825917</v>
      </c>
      <c r="M133" s="9">
        <f t="shared" ca="1" si="65"/>
        <v>1118.3058291825917</v>
      </c>
      <c r="N133" s="9">
        <f t="shared" ca="1" si="65"/>
        <v>1118.3058291825917</v>
      </c>
      <c r="O133" s="9">
        <f t="shared" ca="1" si="65"/>
        <v>1118.3058291825917</v>
      </c>
      <c r="P133" s="9">
        <f t="shared" ca="1" si="65"/>
        <v>1118.3058291825917</v>
      </c>
      <c r="Q133" s="9">
        <f t="shared" ca="1" si="65"/>
        <v>1118.3058291825917</v>
      </c>
      <c r="R133" s="9">
        <f t="shared" ca="1" si="65"/>
        <v>1118.3058291825917</v>
      </c>
      <c r="S133" s="9">
        <f t="shared" ca="1" si="65"/>
        <v>1118.3058291825917</v>
      </c>
      <c r="T133" s="9">
        <f t="shared" ca="1" si="65"/>
        <v>1118.3058291825917</v>
      </c>
      <c r="U133" s="9">
        <f t="shared" ca="1" si="65"/>
        <v>1118.3058291825917</v>
      </c>
      <c r="V133" s="9">
        <f t="shared" ca="1" si="65"/>
        <v>1118.3058291825917</v>
      </c>
      <c r="W133" s="9">
        <f t="shared" ca="1" si="65"/>
        <v>1118.3058291825917</v>
      </c>
      <c r="X133" s="9">
        <f t="shared" ca="1" si="65"/>
        <v>1118.3058291825917</v>
      </c>
      <c r="Y133" s="9">
        <f t="shared" ca="1" si="65"/>
        <v>1118.3058291825917</v>
      </c>
      <c r="Z133" s="9">
        <f t="shared" ca="1" si="65"/>
        <v>1118.3058291825917</v>
      </c>
      <c r="AA133" s="9">
        <f t="shared" ca="1" si="65"/>
        <v>1118.3058291825917</v>
      </c>
      <c r="AB133" s="9">
        <f t="shared" ca="1" si="65"/>
        <v>1118.3058291825917</v>
      </c>
      <c r="AC133" s="9">
        <f t="shared" ca="1" si="65"/>
        <v>1118.3058291825917</v>
      </c>
      <c r="AD133" s="9">
        <f t="shared" ca="1" si="65"/>
        <v>1118.3058291825917</v>
      </c>
      <c r="AE133" s="9">
        <f t="shared" ca="1" si="65"/>
        <v>1118.3058291825917</v>
      </c>
      <c r="AF133" s="9">
        <f t="shared" ca="1" si="65"/>
        <v>1118.3058291825917</v>
      </c>
      <c r="AG133" s="9">
        <f t="shared" ca="1" si="65"/>
        <v>1118.3058291825917</v>
      </c>
      <c r="AH133" s="9">
        <f t="shared" ca="1" si="65"/>
        <v>1118.3058291825917</v>
      </c>
      <c r="AI133" s="9">
        <f t="shared" ca="1" si="65"/>
        <v>1118.3058291825917</v>
      </c>
    </row>
    <row r="134" spans="1:35" hidden="1" x14ac:dyDescent="0.3">
      <c r="A134" s="8"/>
      <c r="B134" s="8" t="s">
        <v>166</v>
      </c>
      <c r="C134" s="198" t="s">
        <v>11</v>
      </c>
      <c r="E134" s="82">
        <f t="shared" ref="E134" si="66">E130+E131</f>
        <v>0</v>
      </c>
      <c r="F134" s="82">
        <f t="shared" ref="F134:AI134" ca="1" si="67">F130+F131</f>
        <v>1242.5620324251017</v>
      </c>
      <c r="G134" s="82">
        <f t="shared" ca="1" si="67"/>
        <v>1242.5620324251017</v>
      </c>
      <c r="H134" s="82">
        <f t="shared" ca="1" si="67"/>
        <v>1242.5620324251017</v>
      </c>
      <c r="I134" s="82">
        <f t="shared" ca="1" si="67"/>
        <v>1242.5620324251017</v>
      </c>
      <c r="J134" s="82">
        <f t="shared" ca="1" si="67"/>
        <v>1242.5620324251017</v>
      </c>
      <c r="K134" s="82">
        <f t="shared" ca="1" si="67"/>
        <v>1242.5620324251017</v>
      </c>
      <c r="L134" s="82">
        <f t="shared" ca="1" si="67"/>
        <v>1242.5620324251017</v>
      </c>
      <c r="M134" s="82">
        <f t="shared" ca="1" si="67"/>
        <v>1242.5620324251017</v>
      </c>
      <c r="N134" s="82">
        <f t="shared" ca="1" si="67"/>
        <v>1242.5620324251017</v>
      </c>
      <c r="O134" s="82">
        <f t="shared" ca="1" si="67"/>
        <v>1242.5620324251017</v>
      </c>
      <c r="P134" s="82">
        <f t="shared" ca="1" si="67"/>
        <v>1242.5620324251017</v>
      </c>
      <c r="Q134" s="82">
        <f t="shared" ca="1" si="67"/>
        <v>1242.5620324251017</v>
      </c>
      <c r="R134" s="82">
        <f t="shared" ca="1" si="67"/>
        <v>1242.5620324251017</v>
      </c>
      <c r="S134" s="82">
        <f t="shared" ca="1" si="67"/>
        <v>1242.5620324251017</v>
      </c>
      <c r="T134" s="82">
        <f t="shared" ca="1" si="67"/>
        <v>1242.5620324251017</v>
      </c>
      <c r="U134" s="82">
        <f t="shared" ca="1" si="67"/>
        <v>1242.5620324251017</v>
      </c>
      <c r="V134" s="82">
        <f t="shared" ca="1" si="67"/>
        <v>1242.5620324251017</v>
      </c>
      <c r="W134" s="82">
        <f t="shared" ca="1" si="67"/>
        <v>1242.5620324251017</v>
      </c>
      <c r="X134" s="82">
        <f t="shared" ca="1" si="67"/>
        <v>1242.5620324251017</v>
      </c>
      <c r="Y134" s="82">
        <f t="shared" ca="1" si="67"/>
        <v>1242.5620324251017</v>
      </c>
      <c r="Z134" s="82">
        <f t="shared" ca="1" si="67"/>
        <v>1242.5620324251017</v>
      </c>
      <c r="AA134" s="82">
        <f t="shared" ca="1" si="67"/>
        <v>1242.5620324251017</v>
      </c>
      <c r="AB134" s="82">
        <f t="shared" ca="1" si="67"/>
        <v>1242.5620324251017</v>
      </c>
      <c r="AC134" s="82">
        <f t="shared" ca="1" si="67"/>
        <v>1242.5620324251017</v>
      </c>
      <c r="AD134" s="82">
        <f t="shared" ca="1" si="67"/>
        <v>1242.5620324251017</v>
      </c>
      <c r="AE134" s="82">
        <f t="shared" ca="1" si="67"/>
        <v>1242.5620324251017</v>
      </c>
      <c r="AF134" s="82">
        <f t="shared" ca="1" si="67"/>
        <v>1242.5620324251017</v>
      </c>
      <c r="AG134" s="82">
        <f t="shared" ca="1" si="67"/>
        <v>1242.5620324251017</v>
      </c>
      <c r="AH134" s="82">
        <f t="shared" ca="1" si="67"/>
        <v>1242.5620324251017</v>
      </c>
      <c r="AI134" s="82">
        <f t="shared" ca="1" si="67"/>
        <v>1242.5620324251017</v>
      </c>
    </row>
    <row r="135" spans="1:35" hidden="1" x14ac:dyDescent="0.3">
      <c r="A135" s="214"/>
      <c r="B135" s="8" t="s">
        <v>165</v>
      </c>
      <c r="C135" s="198" t="s">
        <v>11</v>
      </c>
      <c r="E135" s="9">
        <f>E134*Input!$D$257</f>
        <v>0</v>
      </c>
      <c r="F135" s="9">
        <f ca="1">F134*Input!$D$257</f>
        <v>1118.3058291825917</v>
      </c>
      <c r="G135" s="9">
        <f ca="1">G134*Input!$D$257</f>
        <v>1118.3058291825917</v>
      </c>
      <c r="H135" s="9">
        <f ca="1">H134*Input!$D$257</f>
        <v>1118.3058291825917</v>
      </c>
      <c r="I135" s="9">
        <f ca="1">I134*Input!$D$257</f>
        <v>1118.3058291825917</v>
      </c>
      <c r="J135" s="9">
        <f ca="1">J134*Input!$D$257</f>
        <v>1118.3058291825917</v>
      </c>
      <c r="K135" s="9">
        <f ca="1">K134*Input!$D$257</f>
        <v>1118.3058291825917</v>
      </c>
      <c r="L135" s="9">
        <f ca="1">L134*Input!$D$257</f>
        <v>1118.3058291825917</v>
      </c>
      <c r="M135" s="9">
        <f ca="1">M134*Input!$D$257</f>
        <v>1118.3058291825917</v>
      </c>
      <c r="N135" s="9">
        <f ca="1">N134*Input!$D$257</f>
        <v>1118.3058291825917</v>
      </c>
      <c r="O135" s="9">
        <f ca="1">O134*Input!$D$257</f>
        <v>1118.3058291825917</v>
      </c>
      <c r="P135" s="9">
        <f ca="1">P134*Input!$D$257</f>
        <v>1118.3058291825917</v>
      </c>
      <c r="Q135" s="9">
        <f ca="1">Q134*Input!$D$257</f>
        <v>1118.3058291825917</v>
      </c>
      <c r="R135" s="9">
        <f ca="1">R134*Input!$D$257</f>
        <v>1118.3058291825917</v>
      </c>
      <c r="S135" s="9">
        <f ca="1">S134*Input!$D$257</f>
        <v>1118.3058291825917</v>
      </c>
      <c r="T135" s="9">
        <f ca="1">T134*Input!$D$257</f>
        <v>1118.3058291825917</v>
      </c>
      <c r="U135" s="9">
        <f ca="1">U134*Input!$D$257</f>
        <v>1118.3058291825917</v>
      </c>
      <c r="V135" s="9">
        <f ca="1">V134*Input!$D$257</f>
        <v>1118.3058291825917</v>
      </c>
      <c r="W135" s="9">
        <f ca="1">W134*Input!$D$257</f>
        <v>1118.3058291825917</v>
      </c>
      <c r="X135" s="9">
        <f ca="1">X134*Input!$D$257</f>
        <v>1118.3058291825917</v>
      </c>
      <c r="Y135" s="9">
        <f ca="1">Y134*Input!$D$257</f>
        <v>1118.3058291825917</v>
      </c>
      <c r="Z135" s="9">
        <f ca="1">Z134*Input!$D$257</f>
        <v>1118.3058291825917</v>
      </c>
      <c r="AA135" s="9">
        <f ca="1">AA134*Input!$D$257</f>
        <v>1118.3058291825917</v>
      </c>
      <c r="AB135" s="9">
        <f ca="1">AB134*Input!$D$257</f>
        <v>1118.3058291825917</v>
      </c>
      <c r="AC135" s="9">
        <f ca="1">AC134*Input!$D$257</f>
        <v>1118.3058291825917</v>
      </c>
      <c r="AD135" s="9">
        <f ca="1">AD134*Input!$D$257</f>
        <v>1118.3058291825917</v>
      </c>
      <c r="AE135" s="9">
        <f ca="1">AE134*Input!$D$257</f>
        <v>1118.3058291825917</v>
      </c>
      <c r="AF135" s="9">
        <f ca="1">AF134*Input!$D$257</f>
        <v>1118.3058291825917</v>
      </c>
      <c r="AG135" s="9">
        <f ca="1">AG134*Input!$D$257</f>
        <v>1118.3058291825917</v>
      </c>
      <c r="AH135" s="9">
        <f ca="1">AH134*Input!$D$257</f>
        <v>1118.3058291825917</v>
      </c>
      <c r="AI135" s="9">
        <f ca="1">AI134*Input!$D$257</f>
        <v>1118.3058291825917</v>
      </c>
    </row>
    <row r="136" spans="1:35" hidden="1" x14ac:dyDescent="0.3">
      <c r="A136" s="214"/>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row>
    <row r="137" spans="1:35" hidden="1" x14ac:dyDescent="0.3">
      <c r="A137" s="214"/>
      <c r="B137" s="8" t="s">
        <v>164</v>
      </c>
      <c r="C137" s="198" t="s">
        <v>11</v>
      </c>
      <c r="E137" s="9">
        <f t="shared" ref="E137:F137" si="68">D140</f>
        <v>0</v>
      </c>
      <c r="F137" s="9">
        <f t="shared" si="68"/>
        <v>0</v>
      </c>
      <c r="G137" s="9">
        <f t="shared" ref="G137:AI137" ca="1" si="69">F140</f>
        <v>1242.5620324251017</v>
      </c>
      <c r="H137" s="9">
        <f t="shared" ca="1" si="69"/>
        <v>621.28101621255087</v>
      </c>
      <c r="I137" s="9">
        <f t="shared" ca="1" si="69"/>
        <v>621.28101621255087</v>
      </c>
      <c r="J137" s="9">
        <f t="shared" ca="1" si="69"/>
        <v>124.25620324251008</v>
      </c>
      <c r="K137" s="9">
        <f t="shared" ca="1" si="69"/>
        <v>124.25620324251008</v>
      </c>
      <c r="L137" s="9">
        <f t="shared" ca="1" si="69"/>
        <v>124.25620324251008</v>
      </c>
      <c r="M137" s="9">
        <f t="shared" ca="1" si="69"/>
        <v>124.25620324251008</v>
      </c>
      <c r="N137" s="9">
        <f t="shared" ca="1" si="69"/>
        <v>124.25620324251008</v>
      </c>
      <c r="O137" s="9">
        <f t="shared" ca="1" si="69"/>
        <v>124.25620324251008</v>
      </c>
      <c r="P137" s="9">
        <f t="shared" ca="1" si="69"/>
        <v>124.25620324251008</v>
      </c>
      <c r="Q137" s="9">
        <f t="shared" ca="1" si="69"/>
        <v>124.25620324251008</v>
      </c>
      <c r="R137" s="9">
        <f t="shared" ca="1" si="69"/>
        <v>124.25620324251008</v>
      </c>
      <c r="S137" s="9">
        <f t="shared" ca="1" si="69"/>
        <v>124.25620324251008</v>
      </c>
      <c r="T137" s="9">
        <f t="shared" ca="1" si="69"/>
        <v>124.25620324251008</v>
      </c>
      <c r="U137" s="9">
        <f t="shared" ca="1" si="69"/>
        <v>124.25620324251008</v>
      </c>
      <c r="V137" s="9">
        <f t="shared" ca="1" si="69"/>
        <v>124.25620324251008</v>
      </c>
      <c r="W137" s="9">
        <f t="shared" ca="1" si="69"/>
        <v>124.25620324251008</v>
      </c>
      <c r="X137" s="9">
        <f t="shared" ca="1" si="69"/>
        <v>124.25620324251008</v>
      </c>
      <c r="Y137" s="9">
        <f t="shared" ca="1" si="69"/>
        <v>124.25620324251008</v>
      </c>
      <c r="Z137" s="9">
        <f t="shared" ca="1" si="69"/>
        <v>124.25620324251008</v>
      </c>
      <c r="AA137" s="9">
        <f t="shared" ca="1" si="69"/>
        <v>124.25620324251008</v>
      </c>
      <c r="AB137" s="9">
        <f t="shared" ca="1" si="69"/>
        <v>124.25620324251008</v>
      </c>
      <c r="AC137" s="9">
        <f t="shared" ca="1" si="69"/>
        <v>124.25620324251008</v>
      </c>
      <c r="AD137" s="9">
        <f t="shared" ca="1" si="69"/>
        <v>124.25620324251008</v>
      </c>
      <c r="AE137" s="9">
        <f t="shared" ca="1" si="69"/>
        <v>124.25620324251008</v>
      </c>
      <c r="AF137" s="9">
        <f t="shared" ca="1" si="69"/>
        <v>124.25620324251008</v>
      </c>
      <c r="AG137" s="9">
        <f t="shared" ca="1" si="69"/>
        <v>124.25620324251008</v>
      </c>
      <c r="AH137" s="9">
        <f t="shared" ca="1" si="69"/>
        <v>124.25620324251008</v>
      </c>
      <c r="AI137" s="9">
        <f t="shared" ca="1" si="69"/>
        <v>124.25620324251008</v>
      </c>
    </row>
    <row r="138" spans="1:35" hidden="1" x14ac:dyDescent="0.3">
      <c r="A138" s="214"/>
      <c r="B138" s="8" t="s">
        <v>163</v>
      </c>
      <c r="C138" s="198" t="s">
        <v>11</v>
      </c>
      <c r="E138" s="9">
        <f t="shared" ref="E138:AI138" si="70">E131</f>
        <v>0</v>
      </c>
      <c r="F138" s="9">
        <f ca="1">F131</f>
        <v>1242.5620324251017</v>
      </c>
      <c r="G138" s="9">
        <f>G131</f>
        <v>0</v>
      </c>
      <c r="H138" s="9">
        <f t="shared" si="70"/>
        <v>0</v>
      </c>
      <c r="I138" s="9">
        <f t="shared" si="70"/>
        <v>0</v>
      </c>
      <c r="J138" s="9">
        <f t="shared" si="70"/>
        <v>0</v>
      </c>
      <c r="K138" s="9">
        <f t="shared" si="70"/>
        <v>0</v>
      </c>
      <c r="L138" s="9">
        <f t="shared" si="70"/>
        <v>0</v>
      </c>
      <c r="M138" s="9">
        <f t="shared" si="70"/>
        <v>0</v>
      </c>
      <c r="N138" s="9">
        <f t="shared" si="70"/>
        <v>0</v>
      </c>
      <c r="O138" s="9">
        <f t="shared" si="70"/>
        <v>0</v>
      </c>
      <c r="P138" s="9">
        <f t="shared" si="70"/>
        <v>0</v>
      </c>
      <c r="Q138" s="9">
        <f t="shared" si="70"/>
        <v>0</v>
      </c>
      <c r="R138" s="9">
        <f t="shared" si="70"/>
        <v>0</v>
      </c>
      <c r="S138" s="9">
        <f t="shared" si="70"/>
        <v>0</v>
      </c>
      <c r="T138" s="9">
        <f t="shared" si="70"/>
        <v>0</v>
      </c>
      <c r="U138" s="9">
        <f t="shared" si="70"/>
        <v>0</v>
      </c>
      <c r="V138" s="9">
        <f t="shared" si="70"/>
        <v>0</v>
      </c>
      <c r="W138" s="9">
        <f t="shared" si="70"/>
        <v>0</v>
      </c>
      <c r="X138" s="9">
        <f t="shared" si="70"/>
        <v>0</v>
      </c>
      <c r="Y138" s="9">
        <f t="shared" si="70"/>
        <v>0</v>
      </c>
      <c r="Z138" s="9">
        <f t="shared" si="70"/>
        <v>0</v>
      </c>
      <c r="AA138" s="9">
        <f t="shared" si="70"/>
        <v>0</v>
      </c>
      <c r="AB138" s="9">
        <f t="shared" si="70"/>
        <v>0</v>
      </c>
      <c r="AC138" s="9">
        <f t="shared" si="70"/>
        <v>0</v>
      </c>
      <c r="AD138" s="9">
        <f t="shared" si="70"/>
        <v>0</v>
      </c>
      <c r="AE138" s="9">
        <f t="shared" si="70"/>
        <v>0</v>
      </c>
      <c r="AF138" s="9">
        <f t="shared" si="70"/>
        <v>0</v>
      </c>
      <c r="AG138" s="9">
        <f t="shared" si="70"/>
        <v>0</v>
      </c>
      <c r="AH138" s="9">
        <f t="shared" si="70"/>
        <v>0</v>
      </c>
      <c r="AI138" s="9">
        <f t="shared" si="70"/>
        <v>0</v>
      </c>
    </row>
    <row r="139" spans="1:35" hidden="1" x14ac:dyDescent="0.3">
      <c r="A139" s="214"/>
      <c r="B139" s="8" t="s">
        <v>4</v>
      </c>
      <c r="C139" s="198" t="s">
        <v>11</v>
      </c>
      <c r="E139" s="9">
        <f>E132</f>
        <v>0</v>
      </c>
      <c r="F139" s="9">
        <f ca="1">F132</f>
        <v>0</v>
      </c>
      <c r="G139" s="9">
        <f ca="1">G132</f>
        <v>621.28101621255087</v>
      </c>
      <c r="H139" s="9">
        <f t="shared" ref="H139:AE139" ca="1" si="71">H132</f>
        <v>0</v>
      </c>
      <c r="I139" s="9">
        <f t="shared" ca="1" si="71"/>
        <v>497.02481297004078</v>
      </c>
      <c r="J139" s="9">
        <f t="shared" ca="1" si="71"/>
        <v>0</v>
      </c>
      <c r="K139" s="9">
        <f t="shared" ca="1" si="71"/>
        <v>0</v>
      </c>
      <c r="L139" s="9">
        <f t="shared" ca="1" si="71"/>
        <v>0</v>
      </c>
      <c r="M139" s="9">
        <f t="shared" ca="1" si="71"/>
        <v>0</v>
      </c>
      <c r="N139" s="9">
        <f t="shared" ca="1" si="71"/>
        <v>0</v>
      </c>
      <c r="O139" s="9">
        <f t="shared" ca="1" si="71"/>
        <v>0</v>
      </c>
      <c r="P139" s="9">
        <f t="shared" ca="1" si="71"/>
        <v>0</v>
      </c>
      <c r="Q139" s="9">
        <f t="shared" ca="1" si="71"/>
        <v>0</v>
      </c>
      <c r="R139" s="9">
        <f t="shared" ca="1" si="71"/>
        <v>0</v>
      </c>
      <c r="S139" s="9">
        <f t="shared" ca="1" si="71"/>
        <v>0</v>
      </c>
      <c r="T139" s="9">
        <f t="shared" ca="1" si="71"/>
        <v>0</v>
      </c>
      <c r="U139" s="9">
        <f t="shared" ca="1" si="71"/>
        <v>0</v>
      </c>
      <c r="V139" s="9">
        <f t="shared" ca="1" si="71"/>
        <v>0</v>
      </c>
      <c r="W139" s="9">
        <f t="shared" ca="1" si="71"/>
        <v>0</v>
      </c>
      <c r="X139" s="9">
        <f t="shared" ca="1" si="71"/>
        <v>0</v>
      </c>
      <c r="Y139" s="9">
        <f t="shared" ca="1" si="71"/>
        <v>0</v>
      </c>
      <c r="Z139" s="9">
        <f t="shared" ca="1" si="71"/>
        <v>0</v>
      </c>
      <c r="AA139" s="9">
        <f t="shared" ca="1" si="71"/>
        <v>0</v>
      </c>
      <c r="AB139" s="9">
        <f t="shared" ca="1" si="71"/>
        <v>0</v>
      </c>
      <c r="AC139" s="9">
        <f t="shared" ca="1" si="71"/>
        <v>0</v>
      </c>
      <c r="AD139" s="9">
        <f t="shared" ca="1" si="71"/>
        <v>0</v>
      </c>
      <c r="AE139" s="9">
        <f t="shared" ca="1" si="71"/>
        <v>0</v>
      </c>
      <c r="AF139" s="9">
        <f t="shared" ref="AF139:AI139" si="72">AF132</f>
        <v>0</v>
      </c>
      <c r="AG139" s="9">
        <f t="shared" si="72"/>
        <v>0</v>
      </c>
      <c r="AH139" s="9">
        <f t="shared" si="72"/>
        <v>0</v>
      </c>
      <c r="AI139" s="9">
        <f t="shared" si="72"/>
        <v>0</v>
      </c>
    </row>
    <row r="140" spans="1:35" hidden="1" x14ac:dyDescent="0.3">
      <c r="A140" s="214"/>
      <c r="B140" s="8" t="s">
        <v>162</v>
      </c>
      <c r="C140" s="198" t="s">
        <v>11</v>
      </c>
      <c r="E140" s="9">
        <f t="shared" ref="E140" si="73">E137+E138-E139</f>
        <v>0</v>
      </c>
      <c r="F140" s="9">
        <f t="shared" ref="F140:AI140" ca="1" si="74">F137+F138-F139</f>
        <v>1242.5620324251017</v>
      </c>
      <c r="G140" s="9">
        <f t="shared" ca="1" si="74"/>
        <v>621.28101621255087</v>
      </c>
      <c r="H140" s="9">
        <f t="shared" ca="1" si="74"/>
        <v>621.28101621255087</v>
      </c>
      <c r="I140" s="9">
        <f t="shared" ca="1" si="74"/>
        <v>124.25620324251008</v>
      </c>
      <c r="J140" s="9">
        <f t="shared" ca="1" si="74"/>
        <v>124.25620324251008</v>
      </c>
      <c r="K140" s="9">
        <f t="shared" ca="1" si="74"/>
        <v>124.25620324251008</v>
      </c>
      <c r="L140" s="9">
        <f t="shared" ca="1" si="74"/>
        <v>124.25620324251008</v>
      </c>
      <c r="M140" s="9">
        <f t="shared" ca="1" si="74"/>
        <v>124.25620324251008</v>
      </c>
      <c r="N140" s="9">
        <f t="shared" ca="1" si="74"/>
        <v>124.25620324251008</v>
      </c>
      <c r="O140" s="9">
        <f t="shared" ca="1" si="74"/>
        <v>124.25620324251008</v>
      </c>
      <c r="P140" s="9">
        <f t="shared" ca="1" si="74"/>
        <v>124.25620324251008</v>
      </c>
      <c r="Q140" s="9">
        <f t="shared" ca="1" si="74"/>
        <v>124.25620324251008</v>
      </c>
      <c r="R140" s="9">
        <f t="shared" ca="1" si="74"/>
        <v>124.25620324251008</v>
      </c>
      <c r="S140" s="9">
        <f t="shared" ca="1" si="74"/>
        <v>124.25620324251008</v>
      </c>
      <c r="T140" s="9">
        <f t="shared" ca="1" si="74"/>
        <v>124.25620324251008</v>
      </c>
      <c r="U140" s="9">
        <f t="shared" ca="1" si="74"/>
        <v>124.25620324251008</v>
      </c>
      <c r="V140" s="9">
        <f t="shared" ca="1" si="74"/>
        <v>124.25620324251008</v>
      </c>
      <c r="W140" s="9">
        <f t="shared" ca="1" si="74"/>
        <v>124.25620324251008</v>
      </c>
      <c r="X140" s="9">
        <f t="shared" ca="1" si="74"/>
        <v>124.25620324251008</v>
      </c>
      <c r="Y140" s="9">
        <f t="shared" ca="1" si="74"/>
        <v>124.25620324251008</v>
      </c>
      <c r="Z140" s="9">
        <f t="shared" ca="1" si="74"/>
        <v>124.25620324251008</v>
      </c>
      <c r="AA140" s="9">
        <f t="shared" ca="1" si="74"/>
        <v>124.25620324251008</v>
      </c>
      <c r="AB140" s="9">
        <f t="shared" ca="1" si="74"/>
        <v>124.25620324251008</v>
      </c>
      <c r="AC140" s="9">
        <f t="shared" ca="1" si="74"/>
        <v>124.25620324251008</v>
      </c>
      <c r="AD140" s="9">
        <f t="shared" ca="1" si="74"/>
        <v>124.25620324251008</v>
      </c>
      <c r="AE140" s="9">
        <f t="shared" ca="1" si="74"/>
        <v>124.25620324251008</v>
      </c>
      <c r="AF140" s="9">
        <f t="shared" ca="1" si="74"/>
        <v>124.25620324251008</v>
      </c>
      <c r="AG140" s="9">
        <f t="shared" ca="1" si="74"/>
        <v>124.25620324251008</v>
      </c>
      <c r="AH140" s="9">
        <f t="shared" ca="1" si="74"/>
        <v>124.25620324251008</v>
      </c>
      <c r="AI140" s="9">
        <f t="shared" ca="1" si="74"/>
        <v>124.25620324251008</v>
      </c>
    </row>
    <row r="141" spans="1:35" hidden="1" x14ac:dyDescent="0.3">
      <c r="A141" s="214"/>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row>
    <row r="142" spans="1:35" hidden="1" x14ac:dyDescent="0.3">
      <c r="A142" s="8"/>
      <c r="B142" s="217" t="s">
        <v>99</v>
      </c>
      <c r="C142" s="198"/>
      <c r="D142" s="218"/>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75"/>
      <c r="AC142" s="175"/>
      <c r="AD142" s="175"/>
      <c r="AE142" s="175"/>
      <c r="AF142" s="175"/>
      <c r="AG142" s="175"/>
      <c r="AH142" s="175"/>
      <c r="AI142" s="175"/>
    </row>
    <row r="143" spans="1:35" hidden="1" x14ac:dyDescent="0.3">
      <c r="A143" s="5"/>
      <c r="B143" s="5" t="s">
        <v>161</v>
      </c>
      <c r="C143" s="198" t="s">
        <v>11</v>
      </c>
      <c r="D143" s="218"/>
      <c r="E143" s="175">
        <f t="shared" ref="E143:F143" si="75">D145</f>
        <v>0</v>
      </c>
      <c r="F143" s="175">
        <f t="shared" si="75"/>
        <v>0</v>
      </c>
      <c r="G143" s="175">
        <f t="shared" ref="G143:AI143" ca="1" si="76">F145</f>
        <v>0</v>
      </c>
      <c r="H143" s="175">
        <f t="shared" ca="1" si="76"/>
        <v>621.28101621255087</v>
      </c>
      <c r="I143" s="175">
        <f t="shared" ca="1" si="76"/>
        <v>621.28101621255087</v>
      </c>
      <c r="J143" s="175">
        <f t="shared" ca="1" si="76"/>
        <v>1118.3058291825917</v>
      </c>
      <c r="K143" s="175">
        <f t="shared" ca="1" si="76"/>
        <v>1118.3058291825917</v>
      </c>
      <c r="L143" s="175">
        <f t="shared" ca="1" si="76"/>
        <v>1118.3058291825917</v>
      </c>
      <c r="M143" s="175">
        <f t="shared" ca="1" si="76"/>
        <v>1118.3058291825917</v>
      </c>
      <c r="N143" s="175">
        <f t="shared" ca="1" si="76"/>
        <v>1118.3058291825917</v>
      </c>
      <c r="O143" s="175">
        <f t="shared" ca="1" si="76"/>
        <v>1118.3058291825917</v>
      </c>
      <c r="P143" s="175">
        <f t="shared" ca="1" si="76"/>
        <v>1118.3058291825917</v>
      </c>
      <c r="Q143" s="175">
        <f t="shared" ca="1" si="76"/>
        <v>1118.3058291825917</v>
      </c>
      <c r="R143" s="175">
        <f t="shared" ca="1" si="76"/>
        <v>1118.3058291825917</v>
      </c>
      <c r="S143" s="175">
        <f t="shared" ca="1" si="76"/>
        <v>1118.3058291825917</v>
      </c>
      <c r="T143" s="175">
        <f t="shared" ca="1" si="76"/>
        <v>1118.3058291825917</v>
      </c>
      <c r="U143" s="175">
        <f t="shared" ca="1" si="76"/>
        <v>1118.3058291825917</v>
      </c>
      <c r="V143" s="175">
        <f t="shared" ca="1" si="76"/>
        <v>1118.3058291825917</v>
      </c>
      <c r="W143" s="175">
        <f t="shared" ca="1" si="76"/>
        <v>1118.3058291825917</v>
      </c>
      <c r="X143" s="175">
        <f t="shared" ca="1" si="76"/>
        <v>1118.3058291825917</v>
      </c>
      <c r="Y143" s="175">
        <f t="shared" ca="1" si="76"/>
        <v>1118.3058291825917</v>
      </c>
      <c r="Z143" s="175">
        <f t="shared" ca="1" si="76"/>
        <v>1118.3058291825917</v>
      </c>
      <c r="AA143" s="175">
        <f t="shared" ca="1" si="76"/>
        <v>1118.3058291825917</v>
      </c>
      <c r="AB143" s="175">
        <f t="shared" ca="1" si="76"/>
        <v>1118.3058291825917</v>
      </c>
      <c r="AC143" s="175">
        <f t="shared" ca="1" si="76"/>
        <v>1118.3058291825917</v>
      </c>
      <c r="AD143" s="175">
        <f t="shared" ca="1" si="76"/>
        <v>1118.3058291825917</v>
      </c>
      <c r="AE143" s="175">
        <f t="shared" ca="1" si="76"/>
        <v>1118.3058291825917</v>
      </c>
      <c r="AF143" s="175">
        <f t="shared" ca="1" si="76"/>
        <v>1118.3058291825917</v>
      </c>
      <c r="AG143" s="175">
        <f t="shared" ca="1" si="76"/>
        <v>1118.3058291825917</v>
      </c>
      <c r="AH143" s="175">
        <f t="shared" ca="1" si="76"/>
        <v>1118.3058291825917</v>
      </c>
      <c r="AI143" s="175">
        <f t="shared" ca="1" si="76"/>
        <v>1118.3058291825917</v>
      </c>
    </row>
    <row r="144" spans="1:35" hidden="1" x14ac:dyDescent="0.3">
      <c r="A144" s="5"/>
      <c r="B144" s="5" t="s">
        <v>160</v>
      </c>
      <c r="C144" s="198" t="s">
        <v>11</v>
      </c>
      <c r="D144" s="218"/>
      <c r="E144" s="175">
        <f t="shared" ref="E144:AI144" si="77">E132</f>
        <v>0</v>
      </c>
      <c r="F144" s="175">
        <f t="shared" ref="F144:AE144" ca="1" si="78">F132</f>
        <v>0</v>
      </c>
      <c r="G144" s="175">
        <f t="shared" ca="1" si="78"/>
        <v>621.28101621255087</v>
      </c>
      <c r="H144" s="175">
        <f t="shared" ca="1" si="78"/>
        <v>0</v>
      </c>
      <c r="I144" s="175">
        <f t="shared" ca="1" si="78"/>
        <v>497.02481297004078</v>
      </c>
      <c r="J144" s="175">
        <f t="shared" ca="1" si="78"/>
        <v>0</v>
      </c>
      <c r="K144" s="175">
        <f t="shared" ca="1" si="78"/>
        <v>0</v>
      </c>
      <c r="L144" s="175">
        <f t="shared" ca="1" si="78"/>
        <v>0</v>
      </c>
      <c r="M144" s="175">
        <f t="shared" ca="1" si="78"/>
        <v>0</v>
      </c>
      <c r="N144" s="175">
        <f t="shared" ca="1" si="78"/>
        <v>0</v>
      </c>
      <c r="O144" s="175">
        <f t="shared" ca="1" si="78"/>
        <v>0</v>
      </c>
      <c r="P144" s="175">
        <f t="shared" ca="1" si="78"/>
        <v>0</v>
      </c>
      <c r="Q144" s="175">
        <f t="shared" ca="1" si="78"/>
        <v>0</v>
      </c>
      <c r="R144" s="175">
        <f t="shared" ca="1" si="78"/>
        <v>0</v>
      </c>
      <c r="S144" s="175">
        <f t="shared" ca="1" si="78"/>
        <v>0</v>
      </c>
      <c r="T144" s="175">
        <f t="shared" ca="1" si="78"/>
        <v>0</v>
      </c>
      <c r="U144" s="175">
        <f t="shared" ca="1" si="78"/>
        <v>0</v>
      </c>
      <c r="V144" s="175">
        <f t="shared" ca="1" si="78"/>
        <v>0</v>
      </c>
      <c r="W144" s="175">
        <f t="shared" ca="1" si="78"/>
        <v>0</v>
      </c>
      <c r="X144" s="175">
        <f t="shared" ca="1" si="78"/>
        <v>0</v>
      </c>
      <c r="Y144" s="175">
        <f t="shared" ca="1" si="78"/>
        <v>0</v>
      </c>
      <c r="Z144" s="175">
        <f t="shared" ca="1" si="78"/>
        <v>0</v>
      </c>
      <c r="AA144" s="175">
        <f t="shared" ca="1" si="78"/>
        <v>0</v>
      </c>
      <c r="AB144" s="175">
        <f t="shared" ca="1" si="78"/>
        <v>0</v>
      </c>
      <c r="AC144" s="175">
        <f t="shared" ca="1" si="78"/>
        <v>0</v>
      </c>
      <c r="AD144" s="175">
        <f t="shared" ca="1" si="78"/>
        <v>0</v>
      </c>
      <c r="AE144" s="175">
        <f t="shared" ca="1" si="78"/>
        <v>0</v>
      </c>
      <c r="AF144" s="175">
        <f t="shared" si="77"/>
        <v>0</v>
      </c>
      <c r="AG144" s="175">
        <f t="shared" si="77"/>
        <v>0</v>
      </c>
      <c r="AH144" s="175">
        <f t="shared" si="77"/>
        <v>0</v>
      </c>
      <c r="AI144" s="175">
        <f t="shared" si="77"/>
        <v>0</v>
      </c>
    </row>
    <row r="145" spans="1:35" hidden="1" x14ac:dyDescent="0.3">
      <c r="A145" s="5"/>
      <c r="B145" s="5" t="s">
        <v>135</v>
      </c>
      <c r="C145" s="198" t="s">
        <v>11</v>
      </c>
      <c r="D145" s="218"/>
      <c r="E145" s="175">
        <f t="shared" ref="E145" si="79">E143+E144</f>
        <v>0</v>
      </c>
      <c r="F145" s="175">
        <f t="shared" ref="F145:AI145" ca="1" si="80">F143+F144</f>
        <v>0</v>
      </c>
      <c r="G145" s="175">
        <f t="shared" ca="1" si="80"/>
        <v>621.28101621255087</v>
      </c>
      <c r="H145" s="175">
        <f t="shared" ca="1" si="80"/>
        <v>621.28101621255087</v>
      </c>
      <c r="I145" s="175">
        <f t="shared" ca="1" si="80"/>
        <v>1118.3058291825917</v>
      </c>
      <c r="J145" s="175">
        <f t="shared" ca="1" si="80"/>
        <v>1118.3058291825917</v>
      </c>
      <c r="K145" s="175">
        <f t="shared" ca="1" si="80"/>
        <v>1118.3058291825917</v>
      </c>
      <c r="L145" s="175">
        <f t="shared" ca="1" si="80"/>
        <v>1118.3058291825917</v>
      </c>
      <c r="M145" s="175">
        <f t="shared" ca="1" si="80"/>
        <v>1118.3058291825917</v>
      </c>
      <c r="N145" s="175">
        <f t="shared" ca="1" si="80"/>
        <v>1118.3058291825917</v>
      </c>
      <c r="O145" s="175">
        <f t="shared" ca="1" si="80"/>
        <v>1118.3058291825917</v>
      </c>
      <c r="P145" s="175">
        <f t="shared" ca="1" si="80"/>
        <v>1118.3058291825917</v>
      </c>
      <c r="Q145" s="175">
        <f t="shared" ca="1" si="80"/>
        <v>1118.3058291825917</v>
      </c>
      <c r="R145" s="175">
        <f t="shared" ca="1" si="80"/>
        <v>1118.3058291825917</v>
      </c>
      <c r="S145" s="175">
        <f t="shared" ca="1" si="80"/>
        <v>1118.3058291825917</v>
      </c>
      <c r="T145" s="175">
        <f t="shared" ca="1" si="80"/>
        <v>1118.3058291825917</v>
      </c>
      <c r="U145" s="175">
        <f t="shared" ca="1" si="80"/>
        <v>1118.3058291825917</v>
      </c>
      <c r="V145" s="175">
        <f t="shared" ca="1" si="80"/>
        <v>1118.3058291825917</v>
      </c>
      <c r="W145" s="175">
        <f t="shared" ca="1" si="80"/>
        <v>1118.3058291825917</v>
      </c>
      <c r="X145" s="175">
        <f t="shared" ca="1" si="80"/>
        <v>1118.3058291825917</v>
      </c>
      <c r="Y145" s="175">
        <f t="shared" ca="1" si="80"/>
        <v>1118.3058291825917</v>
      </c>
      <c r="Z145" s="175">
        <f t="shared" ca="1" si="80"/>
        <v>1118.3058291825917</v>
      </c>
      <c r="AA145" s="175">
        <f t="shared" ca="1" si="80"/>
        <v>1118.3058291825917</v>
      </c>
      <c r="AB145" s="175">
        <f t="shared" ca="1" si="80"/>
        <v>1118.3058291825917</v>
      </c>
      <c r="AC145" s="175">
        <f t="shared" ca="1" si="80"/>
        <v>1118.3058291825917</v>
      </c>
      <c r="AD145" s="175">
        <f t="shared" ca="1" si="80"/>
        <v>1118.3058291825917</v>
      </c>
      <c r="AE145" s="175">
        <f t="shared" ca="1" si="80"/>
        <v>1118.3058291825917</v>
      </c>
      <c r="AF145" s="175">
        <f t="shared" ca="1" si="80"/>
        <v>1118.3058291825917</v>
      </c>
      <c r="AG145" s="175">
        <f t="shared" ca="1" si="80"/>
        <v>1118.3058291825917</v>
      </c>
      <c r="AH145" s="175">
        <f t="shared" ca="1" si="80"/>
        <v>1118.3058291825917</v>
      </c>
      <c r="AI145" s="175">
        <f t="shared" ca="1" si="80"/>
        <v>1118.3058291825917</v>
      </c>
    </row>
    <row r="146" spans="1:35" hidden="1" x14ac:dyDescent="0.3">
      <c r="A146" s="8"/>
    </row>
    <row r="147" spans="1:35" hidden="1" x14ac:dyDescent="0.3">
      <c r="A147" s="7" t="s">
        <v>159</v>
      </c>
    </row>
    <row r="148" spans="1:35" hidden="1" x14ac:dyDescent="0.3">
      <c r="A148" s="8"/>
      <c r="B148" s="8" t="s">
        <v>158</v>
      </c>
      <c r="C148" s="202" t="s">
        <v>11</v>
      </c>
      <c r="E148" s="81">
        <f t="shared" ref="E148:AI148" si="81">E132-E104</f>
        <v>0</v>
      </c>
      <c r="F148" s="81">
        <f t="shared" ca="1" si="81"/>
        <v>-28.934333529846327</v>
      </c>
      <c r="G148" s="81">
        <f t="shared" ca="1" si="81"/>
        <v>563.25336929829859</v>
      </c>
      <c r="H148" s="81">
        <f t="shared" ca="1" si="81"/>
        <v>-58.027646914252252</v>
      </c>
      <c r="I148" s="81">
        <f t="shared" ca="1" si="81"/>
        <v>438.99716605578851</v>
      </c>
      <c r="J148" s="81">
        <f t="shared" ca="1" si="81"/>
        <v>-58.027646914252252</v>
      </c>
      <c r="K148" s="81">
        <f t="shared" ca="1" si="81"/>
        <v>-58.027646914252252</v>
      </c>
      <c r="L148" s="81">
        <f t="shared" ca="1" si="81"/>
        <v>-58.027646914252252</v>
      </c>
      <c r="M148" s="81">
        <f t="shared" ca="1" si="81"/>
        <v>-58.027646914252252</v>
      </c>
      <c r="N148" s="81">
        <f t="shared" ca="1" si="81"/>
        <v>-58.027646914252252</v>
      </c>
      <c r="O148" s="81">
        <f t="shared" ca="1" si="81"/>
        <v>-58.027646914252252</v>
      </c>
      <c r="P148" s="81">
        <f t="shared" ca="1" si="81"/>
        <v>-58.027646914252252</v>
      </c>
      <c r="Q148" s="81">
        <f t="shared" ca="1" si="81"/>
        <v>-58.027646914252252</v>
      </c>
      <c r="R148" s="81">
        <f t="shared" ca="1" si="81"/>
        <v>-58.027646914252252</v>
      </c>
      <c r="S148" s="81">
        <f t="shared" ca="1" si="81"/>
        <v>-58.027646914252252</v>
      </c>
      <c r="T148" s="81">
        <f t="shared" ca="1" si="81"/>
        <v>-58.027646914252252</v>
      </c>
      <c r="U148" s="81">
        <f t="shared" ca="1" si="81"/>
        <v>-24.851240648502035</v>
      </c>
      <c r="V148" s="81">
        <f t="shared" ca="1" si="81"/>
        <v>-24.851240648502035</v>
      </c>
      <c r="W148" s="81">
        <f t="shared" ca="1" si="81"/>
        <v>-24.851240648502035</v>
      </c>
      <c r="X148" s="81">
        <f t="shared" ca="1" si="81"/>
        <v>-24.851240648502035</v>
      </c>
      <c r="Y148" s="81">
        <f t="shared" ca="1" si="81"/>
        <v>-24.851240648502035</v>
      </c>
      <c r="Z148" s="81">
        <f t="shared" ca="1" si="81"/>
        <v>-24.851240648502035</v>
      </c>
      <c r="AA148" s="81">
        <f t="shared" ca="1" si="81"/>
        <v>-24.851240648502035</v>
      </c>
      <c r="AB148" s="81">
        <f t="shared" ca="1" si="81"/>
        <v>-24.851240648502035</v>
      </c>
      <c r="AC148" s="81">
        <f t="shared" ca="1" si="81"/>
        <v>-24.851240648502035</v>
      </c>
      <c r="AD148" s="81">
        <f t="shared" ca="1" si="81"/>
        <v>-24.851240648502035</v>
      </c>
      <c r="AE148" s="81">
        <f t="shared" ca="1" si="81"/>
        <v>-12.425620324251017</v>
      </c>
      <c r="AF148" s="81">
        <f t="shared" si="81"/>
        <v>0</v>
      </c>
      <c r="AG148" s="81">
        <f t="shared" si="81"/>
        <v>0</v>
      </c>
      <c r="AH148" s="81">
        <f t="shared" si="81"/>
        <v>0</v>
      </c>
      <c r="AI148" s="81">
        <f t="shared" si="81"/>
        <v>0</v>
      </c>
    </row>
    <row r="149" spans="1:35" hidden="1" x14ac:dyDescent="0.3">
      <c r="A149" s="8"/>
      <c r="B149" s="8" t="s">
        <v>30</v>
      </c>
      <c r="C149" s="202" t="s">
        <v>0</v>
      </c>
      <c r="E149" s="219">
        <f>IF(Input!$D$259,Input!E$256,0)</f>
        <v>0</v>
      </c>
      <c r="F149" s="219">
        <f>IF(Input!$D$259,Input!F$256,0)</f>
        <v>0</v>
      </c>
      <c r="G149" s="219">
        <f>IF(Input!$D$259,Input!H$256,0)</f>
        <v>0</v>
      </c>
      <c r="H149" s="219">
        <f>IF(Input!$D$259,Input!J$256,0)</f>
        <v>0</v>
      </c>
      <c r="I149" s="219">
        <f>IF(Input!$D$259,Input!K$256,0)</f>
        <v>0</v>
      </c>
      <c r="J149" s="219">
        <f>IF(Input!$D$259,Input!L$256,0)</f>
        <v>0</v>
      </c>
      <c r="K149" s="219">
        <f>IF(Input!$D$259,Input!M$256,0)</f>
        <v>0</v>
      </c>
      <c r="L149" s="219">
        <f>IF(Input!$D$259,Input!N$256,0)</f>
        <v>0</v>
      </c>
      <c r="M149" s="219">
        <f>IF(Input!$D$259,Input!O$256,0)</f>
        <v>0</v>
      </c>
      <c r="N149" s="219">
        <f>IF(Input!$D$259,Input!P$256,0)</f>
        <v>0</v>
      </c>
      <c r="O149" s="219">
        <f>IF(Input!$D$259,Input!Q$256,0)</f>
        <v>0</v>
      </c>
      <c r="P149" s="219">
        <f>IF(Input!$D$259,Input!R$256,0)</f>
        <v>0</v>
      </c>
      <c r="Q149" s="219">
        <f>IF(Input!$D$259,Input!S$256,0)</f>
        <v>0</v>
      </c>
      <c r="R149" s="219">
        <f>IF(Input!$D$259,Input!T$256,0)</f>
        <v>0</v>
      </c>
      <c r="S149" s="219">
        <f>IF(Input!$D$259,Input!U$256,0)</f>
        <v>0</v>
      </c>
      <c r="T149" s="219">
        <f>IF(Input!$D$259,Input!V$256,0)</f>
        <v>0</v>
      </c>
      <c r="U149" s="219">
        <f>IF(Input!$D$259,Input!W$256,0)</f>
        <v>0</v>
      </c>
      <c r="V149" s="219">
        <f>IF(Input!$D$259,Input!X$256,0)</f>
        <v>0</v>
      </c>
      <c r="W149" s="219">
        <f>IF(Input!$D$259,Input!Y$256,0)</f>
        <v>0</v>
      </c>
      <c r="X149" s="219">
        <f>IF(Input!$D$259,Input!Z$256,0)</f>
        <v>0</v>
      </c>
      <c r="Y149" s="219">
        <f>IF(Input!$D$259,Input!AA$256,0)</f>
        <v>0</v>
      </c>
      <c r="Z149" s="219">
        <f>IF(Input!$D$259,Input!AB$256,0)</f>
        <v>0</v>
      </c>
      <c r="AA149" s="219">
        <f>IF(Input!$D$259,Input!AC$256,0)</f>
        <v>0</v>
      </c>
      <c r="AB149" s="219">
        <f>IF(Input!$D$259,Input!AD$256,0)</f>
        <v>0</v>
      </c>
      <c r="AC149" s="219">
        <f>IF(Input!$D$259,Input!AE$256,0)</f>
        <v>0</v>
      </c>
      <c r="AD149" s="219">
        <f>IF(Input!$D$259,Input!AF$256,0)</f>
        <v>0</v>
      </c>
      <c r="AE149" s="219">
        <f>IF(Input!$D$259,Input!AG$256,0)</f>
        <v>0</v>
      </c>
      <c r="AF149" s="219">
        <f>IF(Input!$D$259,Input!AH$256,0)</f>
        <v>0</v>
      </c>
      <c r="AG149" s="219">
        <f>IF(Input!$D$259,Input!AI$256,0)</f>
        <v>0</v>
      </c>
      <c r="AH149" s="219">
        <f>IF(Input!$D$259,Input!AJ$256,0)</f>
        <v>0</v>
      </c>
      <c r="AI149" s="219">
        <f>IF(Input!$D$259,Input!AK$256,0)</f>
        <v>0</v>
      </c>
    </row>
    <row r="150" spans="1:35" hidden="1" x14ac:dyDescent="0.3">
      <c r="A150" s="8"/>
      <c r="B150" s="8" t="s">
        <v>157</v>
      </c>
      <c r="C150" s="202" t="s">
        <v>11</v>
      </c>
      <c r="E150" s="8">
        <f t="shared" ref="E150:AI150" si="82">E148*E149</f>
        <v>0</v>
      </c>
      <c r="F150" s="8">
        <f t="shared" ref="F150:AE150" ca="1" si="83">F148*F149</f>
        <v>0</v>
      </c>
      <c r="G150" s="8">
        <f t="shared" ca="1" si="83"/>
        <v>0</v>
      </c>
      <c r="H150" s="8">
        <f t="shared" ca="1" si="83"/>
        <v>0</v>
      </c>
      <c r="I150" s="8">
        <f t="shared" ca="1" si="83"/>
        <v>0</v>
      </c>
      <c r="J150" s="8">
        <f t="shared" ca="1" si="83"/>
        <v>0</v>
      </c>
      <c r="K150" s="8">
        <f t="shared" ca="1" si="83"/>
        <v>0</v>
      </c>
      <c r="L150" s="8">
        <f t="shared" ca="1" si="83"/>
        <v>0</v>
      </c>
      <c r="M150" s="8">
        <f t="shared" ca="1" si="83"/>
        <v>0</v>
      </c>
      <c r="N150" s="8">
        <f t="shared" ca="1" si="83"/>
        <v>0</v>
      </c>
      <c r="O150" s="8">
        <f t="shared" ca="1" si="83"/>
        <v>0</v>
      </c>
      <c r="P150" s="8">
        <f t="shared" ca="1" si="83"/>
        <v>0</v>
      </c>
      <c r="Q150" s="8">
        <f t="shared" ca="1" si="83"/>
        <v>0</v>
      </c>
      <c r="R150" s="8">
        <f t="shared" ca="1" si="83"/>
        <v>0</v>
      </c>
      <c r="S150" s="8">
        <f t="shared" ca="1" si="83"/>
        <v>0</v>
      </c>
      <c r="T150" s="8">
        <f t="shared" ca="1" si="83"/>
        <v>0</v>
      </c>
      <c r="U150" s="8">
        <f t="shared" ca="1" si="83"/>
        <v>0</v>
      </c>
      <c r="V150" s="8">
        <f t="shared" ca="1" si="83"/>
        <v>0</v>
      </c>
      <c r="W150" s="8">
        <f t="shared" ca="1" si="83"/>
        <v>0</v>
      </c>
      <c r="X150" s="8">
        <f t="shared" ca="1" si="83"/>
        <v>0</v>
      </c>
      <c r="Y150" s="8">
        <f t="shared" ca="1" si="83"/>
        <v>0</v>
      </c>
      <c r="Z150" s="8">
        <f t="shared" ca="1" si="83"/>
        <v>0</v>
      </c>
      <c r="AA150" s="8">
        <f t="shared" ca="1" si="83"/>
        <v>0</v>
      </c>
      <c r="AB150" s="8">
        <f t="shared" ca="1" si="83"/>
        <v>0</v>
      </c>
      <c r="AC150" s="8">
        <f t="shared" ca="1" si="83"/>
        <v>0</v>
      </c>
      <c r="AD150" s="8">
        <f t="shared" ca="1" si="83"/>
        <v>0</v>
      </c>
      <c r="AE150" s="8">
        <f t="shared" ca="1" si="83"/>
        <v>0</v>
      </c>
      <c r="AF150" s="8">
        <f t="shared" si="82"/>
        <v>0</v>
      </c>
      <c r="AG150" s="8">
        <f t="shared" si="82"/>
        <v>0</v>
      </c>
      <c r="AH150" s="8">
        <f t="shared" si="82"/>
        <v>0</v>
      </c>
      <c r="AI150" s="8">
        <f t="shared" si="82"/>
        <v>0</v>
      </c>
    </row>
    <row r="151" spans="1:35" x14ac:dyDescent="0.3">
      <c r="A151" s="8"/>
      <c r="C151" s="397"/>
    </row>
    <row r="152" spans="1:35" x14ac:dyDescent="0.3">
      <c r="A152" s="210" t="s">
        <v>117</v>
      </c>
      <c r="B152" s="178"/>
      <c r="C152" s="195"/>
      <c r="D152" s="211"/>
      <c r="E152" s="212"/>
      <c r="F152" s="1196">
        <f>F156-F154</f>
        <v>0.19008369202493633</v>
      </c>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212"/>
    </row>
    <row r="153" spans="1:35" x14ac:dyDescent="0.3">
      <c r="A153" s="8"/>
      <c r="B153" s="8" t="s">
        <v>156</v>
      </c>
      <c r="C153" s="202" t="s">
        <v>26</v>
      </c>
      <c r="D153" s="82">
        <f>Input!$E$6</f>
        <v>203.23999999999998</v>
      </c>
      <c r="E153" s="82">
        <f>Input!$E$6</f>
        <v>203.23999999999998</v>
      </c>
      <c r="F153" s="82">
        <f>Input!$E$6</f>
        <v>203.23999999999998</v>
      </c>
      <c r="G153" s="82">
        <f>Input!$E$6</f>
        <v>203.23999999999998</v>
      </c>
      <c r="H153" s="82">
        <f>Input!$E$6</f>
        <v>203.23999999999998</v>
      </c>
      <c r="I153" s="82">
        <f>Input!$E$6</f>
        <v>203.23999999999998</v>
      </c>
      <c r="J153" s="82">
        <f>Input!$E$6</f>
        <v>203.23999999999998</v>
      </c>
      <c r="K153" s="82">
        <f>Input!$E$6</f>
        <v>203.23999999999998</v>
      </c>
      <c r="L153" s="82">
        <f>Input!$E$6</f>
        <v>203.23999999999998</v>
      </c>
      <c r="M153" s="82">
        <f>Input!$E$6</f>
        <v>203.23999999999998</v>
      </c>
      <c r="N153" s="82">
        <f>Input!$E$6</f>
        <v>203.23999999999998</v>
      </c>
      <c r="O153" s="82">
        <f>Input!$E$6</f>
        <v>203.23999999999998</v>
      </c>
      <c r="P153" s="82">
        <f>Input!$E$6</f>
        <v>203.23999999999998</v>
      </c>
      <c r="Q153" s="82">
        <f>Input!$E$6</f>
        <v>203.23999999999998</v>
      </c>
      <c r="R153" s="82">
        <f>Input!$E$6</f>
        <v>203.23999999999998</v>
      </c>
      <c r="S153" s="82">
        <f>Input!$E$6</f>
        <v>203.23999999999998</v>
      </c>
      <c r="T153" s="82">
        <f>Input!$E$6</f>
        <v>203.23999999999998</v>
      </c>
      <c r="U153" s="82">
        <f>Input!$E$6</f>
        <v>203.23999999999998</v>
      </c>
      <c r="V153" s="82">
        <f>Input!$E$6</f>
        <v>203.23999999999998</v>
      </c>
      <c r="W153" s="82">
        <f>Input!$E$6</f>
        <v>203.23999999999998</v>
      </c>
      <c r="X153" s="82">
        <f>Input!$E$6</f>
        <v>203.23999999999998</v>
      </c>
      <c r="Y153" s="82">
        <f>Input!$E$6</f>
        <v>203.23999999999998</v>
      </c>
      <c r="Z153" s="82">
        <f>Input!$E$6</f>
        <v>203.23999999999998</v>
      </c>
      <c r="AA153" s="82">
        <f>Input!$E$6</f>
        <v>203.23999999999998</v>
      </c>
      <c r="AB153" s="82">
        <f>Input!$E$6</f>
        <v>203.23999999999998</v>
      </c>
      <c r="AC153" s="82">
        <f>Input!$E$6</f>
        <v>203.23999999999998</v>
      </c>
      <c r="AD153" s="82">
        <f>Input!$E$6</f>
        <v>203.23999999999998</v>
      </c>
      <c r="AE153" s="82">
        <f>Input!$E$6</f>
        <v>203.23999999999998</v>
      </c>
      <c r="AF153" s="82">
        <f>Input!$E$6</f>
        <v>203.23999999999998</v>
      </c>
      <c r="AG153" s="82">
        <f>Input!$E$6</f>
        <v>203.23999999999998</v>
      </c>
      <c r="AH153" s="82">
        <f>Input!$E$6</f>
        <v>203.23999999999998</v>
      </c>
      <c r="AI153" s="82">
        <f>Input!$E$6</f>
        <v>203.23999999999998</v>
      </c>
    </row>
    <row r="154" spans="1:35" x14ac:dyDescent="0.3">
      <c r="A154" s="8"/>
      <c r="B154" s="8" t="s">
        <v>155</v>
      </c>
      <c r="C154" s="202" t="s">
        <v>0</v>
      </c>
      <c r="D154" s="219"/>
      <c r="E154" s="219">
        <f>IF(E5&gt;=1,Input!E239*(E8/E6),0)</f>
        <v>0</v>
      </c>
      <c r="F154" s="219">
        <f>IF(F5&gt;=1,Input!F239*(F8/F6),0)</f>
        <v>2.4931506849315069E-3</v>
      </c>
      <c r="G154" s="219">
        <f>IF(G5&gt;=1,Input!H239*(G8/G6),0)</f>
        <v>5.0000000000000001E-3</v>
      </c>
      <c r="H154" s="219">
        <f>IF(H5&gt;=1,Input!I239*(H8/H6),0)</f>
        <v>5.0000000000000001E-3</v>
      </c>
      <c r="I154" s="219">
        <f>IF(I5&gt;=1,Input!J239*(I8/I6),0)</f>
        <v>5.0000000000000001E-3</v>
      </c>
      <c r="J154" s="219">
        <f>IF(J5&gt;=1,Input!K239*(J8/J6),0)</f>
        <v>5.0000000000000001E-3</v>
      </c>
      <c r="K154" s="219">
        <f>IF(K5&gt;=1,Input!L239*(K8/K6),0)</f>
        <v>5.0000000000000001E-3</v>
      </c>
      <c r="L154" s="219">
        <f>IF(L5&gt;=1,Input!M239*(L8/L6),0)</f>
        <v>5.0000000000000001E-3</v>
      </c>
      <c r="M154" s="219">
        <f>IF(M5&gt;=1,Input!N239*(M8/M6),0)</f>
        <v>5.0000000000000001E-3</v>
      </c>
      <c r="N154" s="219">
        <f>IF(N5&gt;=1,Input!O239*(N8/N6),0)</f>
        <v>5.0000000000000001E-3</v>
      </c>
      <c r="O154" s="219">
        <f>IF(O5&gt;=1,Input!P239*(O8/O6),0)</f>
        <v>5.0000000000000001E-3</v>
      </c>
      <c r="P154" s="219">
        <f>IF(P5&gt;=1,Input!Q239*(P8/P6),0)</f>
        <v>5.0000000000000001E-3</v>
      </c>
      <c r="Q154" s="219">
        <f>IF(Q5&gt;=1,Input!R239*(Q8/Q6),0)</f>
        <v>5.0000000000000001E-3</v>
      </c>
      <c r="R154" s="219">
        <f>IF(R5&gt;=1,Input!S239*(R8/R6),0)</f>
        <v>5.0000000000000001E-3</v>
      </c>
      <c r="S154" s="219">
        <f>IF(S5&gt;=1,Input!T239*(S8/S6),0)</f>
        <v>5.0000000000000001E-3</v>
      </c>
      <c r="T154" s="219">
        <f>IF(T5&gt;=1,Input!U239*(T8/T6),0)</f>
        <v>5.0000000000000001E-3</v>
      </c>
      <c r="U154" s="219">
        <f>IF(U5&gt;=1,Input!V239*(U8/U6),0)</f>
        <v>5.0000000000000001E-3</v>
      </c>
      <c r="V154" s="219">
        <f>IF(V5&gt;=1,Input!W239*(V8/V6),0)</f>
        <v>5.0000000000000001E-3</v>
      </c>
      <c r="W154" s="219">
        <f>IF(W5&gt;=1,Input!X239*(W8/W6),0)</f>
        <v>5.0000000000000001E-3</v>
      </c>
      <c r="X154" s="219">
        <f>IF(X5&gt;=1,Input!Y239*(X8/X6),0)</f>
        <v>5.0000000000000001E-3</v>
      </c>
      <c r="Y154" s="219">
        <f>IF(Y5&gt;=1,Input!Z239*(Y8/Y6),0)</f>
        <v>5.0000000000000001E-3</v>
      </c>
      <c r="Z154" s="219">
        <f>IF(Z5&gt;=1,Input!AA239*(Z8/Z6),0)</f>
        <v>5.0000000000000001E-3</v>
      </c>
      <c r="AA154" s="219">
        <f>IF(AA5&gt;=1,Input!AB239*(AA8/AA6),0)</f>
        <v>5.0000000000000001E-3</v>
      </c>
      <c r="AB154" s="219">
        <f>IF(AB5&gt;=1,Input!AC239*(AB8/AB6),0)</f>
        <v>5.0000000000000001E-3</v>
      </c>
      <c r="AC154" s="219">
        <f>IF(AC5&gt;=1,Input!AD239*(AC8/AC6),0)</f>
        <v>5.0000000000000001E-3</v>
      </c>
      <c r="AD154" s="219">
        <f>IF(AD5&gt;=1,Input!AE239*(AD8/AD6),0)</f>
        <v>5.0000000000000001E-3</v>
      </c>
      <c r="AE154" s="219">
        <f>IF(AE5&gt;=1,Input!AF239*(AE8/AE6),0)</f>
        <v>2.5000000000000001E-3</v>
      </c>
      <c r="AF154" s="219">
        <f>IF(AF5&gt;=1,Input!AG239*(AF8/AF6),0)</f>
        <v>0</v>
      </c>
      <c r="AG154" s="219">
        <f>IF(AG5&gt;=1,Input!AH239*(AG8/AG6),0)</f>
        <v>0</v>
      </c>
      <c r="AH154" s="219">
        <f>IF(AH5&gt;=1,Input!AI239*(AH8/AH6),0)</f>
        <v>0</v>
      </c>
      <c r="AI154" s="219">
        <f>IF(AI5&gt;=1,Input!AJ239*(AI8/AI6),0)</f>
        <v>0</v>
      </c>
    </row>
    <row r="155" spans="1:35" x14ac:dyDescent="0.3">
      <c r="A155" s="8"/>
      <c r="B155" s="7" t="s">
        <v>154</v>
      </c>
      <c r="C155" s="220" t="s">
        <v>26</v>
      </c>
      <c r="D155" s="201">
        <f>D153</f>
        <v>203.23999999999998</v>
      </c>
      <c r="E155" s="7">
        <f>$D$155</f>
        <v>203.23999999999998</v>
      </c>
      <c r="F155" s="7">
        <f t="shared" ref="F155:AI155" si="84">$D$155</f>
        <v>203.23999999999998</v>
      </c>
      <c r="G155" s="7">
        <f t="shared" si="84"/>
        <v>203.23999999999998</v>
      </c>
      <c r="H155" s="7">
        <f t="shared" si="84"/>
        <v>203.23999999999998</v>
      </c>
      <c r="I155" s="7">
        <f t="shared" si="84"/>
        <v>203.23999999999998</v>
      </c>
      <c r="J155" s="7">
        <f t="shared" si="84"/>
        <v>203.23999999999998</v>
      </c>
      <c r="K155" s="7">
        <f t="shared" si="84"/>
        <v>203.23999999999998</v>
      </c>
      <c r="L155" s="7">
        <f t="shared" si="84"/>
        <v>203.23999999999998</v>
      </c>
      <c r="M155" s="7">
        <f t="shared" si="84"/>
        <v>203.23999999999998</v>
      </c>
      <c r="N155" s="7">
        <f t="shared" si="84"/>
        <v>203.23999999999998</v>
      </c>
      <c r="O155" s="7">
        <f t="shared" si="84"/>
        <v>203.23999999999998</v>
      </c>
      <c r="P155" s="7">
        <f t="shared" si="84"/>
        <v>203.23999999999998</v>
      </c>
      <c r="Q155" s="7">
        <f t="shared" si="84"/>
        <v>203.23999999999998</v>
      </c>
      <c r="R155" s="7">
        <f t="shared" si="84"/>
        <v>203.23999999999998</v>
      </c>
      <c r="S155" s="7">
        <f t="shared" si="84"/>
        <v>203.23999999999998</v>
      </c>
      <c r="T155" s="7">
        <f t="shared" si="84"/>
        <v>203.23999999999998</v>
      </c>
      <c r="U155" s="7">
        <f t="shared" si="84"/>
        <v>203.23999999999998</v>
      </c>
      <c r="V155" s="7">
        <f t="shared" si="84"/>
        <v>203.23999999999998</v>
      </c>
      <c r="W155" s="7">
        <f t="shared" si="84"/>
        <v>203.23999999999998</v>
      </c>
      <c r="X155" s="7">
        <f t="shared" si="84"/>
        <v>203.23999999999998</v>
      </c>
      <c r="Y155" s="7">
        <f t="shared" si="84"/>
        <v>203.23999999999998</v>
      </c>
      <c r="Z155" s="7">
        <f t="shared" si="84"/>
        <v>203.23999999999998</v>
      </c>
      <c r="AA155" s="7">
        <f t="shared" si="84"/>
        <v>203.23999999999998</v>
      </c>
      <c r="AB155" s="7">
        <f t="shared" si="84"/>
        <v>203.23999999999998</v>
      </c>
      <c r="AC155" s="7">
        <f t="shared" si="84"/>
        <v>203.23999999999998</v>
      </c>
      <c r="AD155" s="7">
        <f t="shared" si="84"/>
        <v>203.23999999999998</v>
      </c>
      <c r="AE155" s="7">
        <f t="shared" si="84"/>
        <v>203.23999999999998</v>
      </c>
      <c r="AF155" s="7">
        <f t="shared" si="84"/>
        <v>203.23999999999998</v>
      </c>
      <c r="AG155" s="7">
        <f t="shared" si="84"/>
        <v>203.23999999999998</v>
      </c>
      <c r="AH155" s="7">
        <f t="shared" si="84"/>
        <v>203.23999999999998</v>
      </c>
      <c r="AI155" s="7">
        <f t="shared" si="84"/>
        <v>203.23999999999998</v>
      </c>
    </row>
    <row r="156" spans="1:35" x14ac:dyDescent="0.3">
      <c r="A156" s="8"/>
      <c r="B156" s="8" t="s">
        <v>2</v>
      </c>
      <c r="C156" s="202" t="s">
        <v>0</v>
      </c>
      <c r="D156" s="219">
        <f>Input!$E$7</f>
        <v>0.19317816217459799</v>
      </c>
      <c r="E156" s="219">
        <f>IFERROR(E158*1000/(E155*24*E8),0)</f>
        <v>0</v>
      </c>
      <c r="F156" s="219">
        <f t="shared" ref="F156:AI156" si="85">IFERROR(F158*1000/(F155*24*F8),0)</f>
        <v>0.19257684270986783</v>
      </c>
      <c r="G156" s="219">
        <f t="shared" si="85"/>
        <v>0.18905272818314731</v>
      </c>
      <c r="H156" s="219">
        <f t="shared" si="85"/>
        <v>0.18720104735231238</v>
      </c>
      <c r="I156" s="219">
        <f t="shared" si="85"/>
        <v>0.18486103426040848</v>
      </c>
      <c r="J156" s="219">
        <f t="shared" si="85"/>
        <v>0.1825502713321534</v>
      </c>
      <c r="K156" s="219">
        <f t="shared" si="85"/>
        <v>0.17977585634776785</v>
      </c>
      <c r="L156" s="219">
        <f t="shared" si="85"/>
        <v>0.17801503802874519</v>
      </c>
      <c r="M156" s="219">
        <f t="shared" si="85"/>
        <v>0.1757898500533859</v>
      </c>
      <c r="N156" s="219">
        <f t="shared" si="85"/>
        <v>0.17359247692771856</v>
      </c>
      <c r="O156" s="219">
        <f t="shared" si="85"/>
        <v>0.17095420328588679</v>
      </c>
      <c r="P156" s="219">
        <f t="shared" si="85"/>
        <v>0.1692797888290456</v>
      </c>
      <c r="Q156" s="219">
        <f t="shared" si="85"/>
        <v>0.16716379146868254</v>
      </c>
      <c r="R156" s="219">
        <f t="shared" si="85"/>
        <v>0.16507424407532401</v>
      </c>
      <c r="S156" s="219">
        <f t="shared" si="85"/>
        <v>0.16256543128114648</v>
      </c>
      <c r="T156" s="219">
        <f t="shared" si="85"/>
        <v>0.16097318082407769</v>
      </c>
      <c r="U156" s="219">
        <f t="shared" si="85"/>
        <v>0.15896101606377674</v>
      </c>
      <c r="V156" s="219">
        <f t="shared" si="85"/>
        <v>0.15697400336297954</v>
      </c>
      <c r="W156" s="219">
        <f t="shared" si="85"/>
        <v>0.15458829873536595</v>
      </c>
      <c r="X156" s="219">
        <f t="shared" si="85"/>
        <v>0.15307418046693053</v>
      </c>
      <c r="Y156" s="219">
        <f t="shared" si="85"/>
        <v>0.15116075321109387</v>
      </c>
      <c r="Z156" s="219">
        <f t="shared" si="85"/>
        <v>0.14927124379595522</v>
      </c>
      <c r="AA156" s="219">
        <f t="shared" si="85"/>
        <v>0.14700260638170659</v>
      </c>
      <c r="AB156" s="219">
        <f t="shared" si="85"/>
        <v>0.14556278633289949</v>
      </c>
      <c r="AC156" s="219">
        <f t="shared" si="85"/>
        <v>0.14374325150373826</v>
      </c>
      <c r="AD156" s="219">
        <f t="shared" si="85"/>
        <v>0.14194646085994153</v>
      </c>
      <c r="AE156" s="219">
        <f t="shared" si="85"/>
        <v>0.16470321651302103</v>
      </c>
      <c r="AF156" s="219">
        <f t="shared" si="85"/>
        <v>0</v>
      </c>
      <c r="AG156" s="219">
        <f t="shared" si="85"/>
        <v>0</v>
      </c>
      <c r="AH156" s="219">
        <f t="shared" si="85"/>
        <v>0</v>
      </c>
      <c r="AI156" s="219">
        <f t="shared" si="85"/>
        <v>0</v>
      </c>
    </row>
    <row r="157" spans="1:35" x14ac:dyDescent="0.3">
      <c r="A157" s="8"/>
      <c r="B157" s="8" t="s">
        <v>1199</v>
      </c>
      <c r="C157" s="202" t="s">
        <v>0</v>
      </c>
      <c r="E157" s="219">
        <f>IF(E5&gt;=1,Input!E240*(E8/E6),0)</f>
        <v>0</v>
      </c>
      <c r="F157" s="219">
        <f>IF(F5&gt;=1,Input!F240*(F8/F6),0)</f>
        <v>3.7397260273972603E-3</v>
      </c>
      <c r="G157" s="219">
        <f>IF(G5&gt;=1,Input!H240*(G8/G6),0)</f>
        <v>7.4999999999999997E-3</v>
      </c>
      <c r="H157" s="219">
        <f>IF(H5&gt;=1,Input!I240*(H8/H6),0)</f>
        <v>7.4999999999999997E-3</v>
      </c>
      <c r="I157" s="219">
        <f>IF(I5&gt;=1,Input!J240*(I8/I6),0)</f>
        <v>7.4999999999999997E-3</v>
      </c>
      <c r="J157" s="219">
        <f>IF(J5&gt;=1,Input!K240*(J8/J6),0)</f>
        <v>7.4999999999999997E-3</v>
      </c>
      <c r="K157" s="219">
        <f>IF(K5&gt;=1,Input!L240*(K8/K6),0)</f>
        <v>7.4999999999999997E-3</v>
      </c>
      <c r="L157" s="219">
        <f>IF(L5&gt;=1,Input!M240*(L8/L6),0)</f>
        <v>7.4999999999999997E-3</v>
      </c>
      <c r="M157" s="219">
        <f>IF(M5&gt;=1,Input!N240*(M8/M6),0)</f>
        <v>7.4999999999999997E-3</v>
      </c>
      <c r="N157" s="219">
        <f>IF(N5&gt;=1,Input!O240*(N8/N6),0)</f>
        <v>7.4999999999999997E-3</v>
      </c>
      <c r="O157" s="219">
        <f>IF(O5&gt;=1,Input!P240*(O8/O6),0)</f>
        <v>7.4999999999999997E-3</v>
      </c>
      <c r="P157" s="219">
        <f>IF(P5&gt;=1,Input!Q240*(P8/P6),0)</f>
        <v>7.4999999999999997E-3</v>
      </c>
      <c r="Q157" s="219">
        <f>IF(Q5&gt;=1,Input!R240*(Q8/Q6),0)</f>
        <v>7.4999999999999997E-3</v>
      </c>
      <c r="R157" s="219">
        <f>IF(R5&gt;=1,Input!S240*(R8/R6),0)</f>
        <v>7.4999999999999997E-3</v>
      </c>
      <c r="S157" s="219">
        <f>IF(S5&gt;=1,Input!T240*(S8/S6),0)</f>
        <v>7.4999999999999997E-3</v>
      </c>
      <c r="T157" s="219">
        <f>IF(T5&gt;=1,Input!U240*(T8/T6),0)</f>
        <v>7.4999999999999997E-3</v>
      </c>
      <c r="U157" s="219">
        <f>IF(U5&gt;=1,Input!V240*(U8/U6),0)</f>
        <v>7.4999999999999997E-3</v>
      </c>
      <c r="V157" s="219">
        <f>IF(V5&gt;=1,Input!W240*(V8/V6),0)</f>
        <v>7.4999999999999997E-3</v>
      </c>
      <c r="W157" s="219">
        <f>IF(W5&gt;=1,Input!X240*(W8/W6),0)</f>
        <v>7.4999999999999997E-3</v>
      </c>
      <c r="X157" s="219">
        <f>IF(X5&gt;=1,Input!Y240*(X8/X6),0)</f>
        <v>7.4999999999999997E-3</v>
      </c>
      <c r="Y157" s="219">
        <f>IF(Y5&gt;=1,Input!Z240*(Y8/Y6),0)</f>
        <v>7.4999999999999997E-3</v>
      </c>
      <c r="Z157" s="219">
        <f>IF(Z5&gt;=1,Input!AA240*(Z8/Z6),0)</f>
        <v>7.4999999999999997E-3</v>
      </c>
      <c r="AA157" s="219">
        <f>IF(AA5&gt;=1,Input!AB240*(AA8/AA6),0)</f>
        <v>7.4999999999999997E-3</v>
      </c>
      <c r="AB157" s="219">
        <f>IF(AB5&gt;=1,Input!AC240*(AB8/AB6),0)</f>
        <v>7.4999999999999997E-3</v>
      </c>
      <c r="AC157" s="219">
        <f>IF(AC5&gt;=1,Input!AD240*(AC8/AC6),0)</f>
        <v>7.4999999999999997E-3</v>
      </c>
      <c r="AD157" s="219">
        <f>IF(AD5&gt;=1,Input!AE240*(AD8/AD6),0)</f>
        <v>7.4999999999999997E-3</v>
      </c>
      <c r="AE157" s="219">
        <f>IF(AE5&gt;=1,Input!AF240*(AE8/AE6),0)</f>
        <v>3.7499999999999999E-3</v>
      </c>
      <c r="AF157" s="219">
        <f>IF(AF5&gt;=1,Input!AG240*(AF8/AF6),0)</f>
        <v>0</v>
      </c>
      <c r="AG157" s="219">
        <f>IF(AG5&gt;=1,Input!AH240*(AG8/AG6),0)</f>
        <v>0</v>
      </c>
      <c r="AH157" s="219">
        <f>IF(AH5&gt;=1,Input!AI240*(AH8/AH6),0)</f>
        <v>0</v>
      </c>
      <c r="AI157" s="219">
        <f>IF(AI5&gt;=1,Input!AJ240*(AI8/AI6),0)</f>
        <v>0</v>
      </c>
    </row>
    <row r="158" spans="1:35" x14ac:dyDescent="0.3">
      <c r="A158" s="8"/>
      <c r="B158" s="7" t="s">
        <v>153</v>
      </c>
      <c r="C158" s="220" t="s">
        <v>497</v>
      </c>
      <c r="D158" s="373">
        <f>D155*D156*8760/1000</f>
        <v>343.93099999999993</v>
      </c>
      <c r="E158" s="7">
        <f>IF(E4=1,$D$158*E9*(1-(E154+E157))^E10,0)</f>
        <v>0</v>
      </c>
      <c r="F158" s="7">
        <f t="shared" ref="F158:AI158" si="86">IF(F4=1,$D$158*F9*(1-(F154+F157))^F10,0)</f>
        <v>170.96053889396021</v>
      </c>
      <c r="G158" s="7">
        <f t="shared" si="86"/>
        <v>337.50830376468201</v>
      </c>
      <c r="H158" s="7">
        <f t="shared" si="86"/>
        <v>333.28944996762351</v>
      </c>
      <c r="I158" s="7">
        <f t="shared" si="86"/>
        <v>329.12333184302821</v>
      </c>
      <c r="J158" s="7">
        <f t="shared" si="86"/>
        <v>325.0092901949904</v>
      </c>
      <c r="K158" s="7">
        <f t="shared" si="86"/>
        <v>320.94667406755303</v>
      </c>
      <c r="L158" s="7">
        <f t="shared" si="86"/>
        <v>316.9348406417086</v>
      </c>
      <c r="M158" s="7">
        <f t="shared" si="86"/>
        <v>312.97315513368727</v>
      </c>
      <c r="N158" s="7">
        <f t="shared" si="86"/>
        <v>309.06099069451619</v>
      </c>
      <c r="O158" s="7">
        <f t="shared" si="86"/>
        <v>305.19772831083475</v>
      </c>
      <c r="P158" s="7">
        <f t="shared" si="86"/>
        <v>301.38275670694935</v>
      </c>
      <c r="Q158" s="7">
        <f t="shared" si="86"/>
        <v>297.6154722481125</v>
      </c>
      <c r="R158" s="7">
        <f t="shared" si="86"/>
        <v>293.89527884501109</v>
      </c>
      <c r="S158" s="7">
        <f t="shared" si="86"/>
        <v>290.2215878594485</v>
      </c>
      <c r="T158" s="7">
        <f t="shared" si="86"/>
        <v>286.59381801120537</v>
      </c>
      <c r="U158" s="7">
        <f t="shared" si="86"/>
        <v>283.01139528606535</v>
      </c>
      <c r="V158" s="7">
        <f t="shared" si="86"/>
        <v>279.47375284498952</v>
      </c>
      <c r="W158" s="7">
        <f t="shared" si="86"/>
        <v>275.98033093442717</v>
      </c>
      <c r="X158" s="7">
        <f t="shared" si="86"/>
        <v>272.53057679774685</v>
      </c>
      <c r="Y158" s="7">
        <f t="shared" si="86"/>
        <v>269.12394458777499</v>
      </c>
      <c r="Z158" s="7">
        <f t="shared" si="86"/>
        <v>265.75989528042783</v>
      </c>
      <c r="AA158" s="7">
        <f t="shared" si="86"/>
        <v>262.43789658942251</v>
      </c>
      <c r="AB158" s="7">
        <f t="shared" si="86"/>
        <v>259.15742288205473</v>
      </c>
      <c r="AC158" s="7">
        <f t="shared" si="86"/>
        <v>255.91795509602909</v>
      </c>
      <c r="AD158" s="7">
        <f t="shared" si="86"/>
        <v>252.71898065732873</v>
      </c>
      <c r="AE158" s="7">
        <f t="shared" si="86"/>
        <v>147.01904533227525</v>
      </c>
      <c r="AF158" s="7">
        <f t="shared" si="86"/>
        <v>0</v>
      </c>
      <c r="AG158" s="7">
        <f t="shared" si="86"/>
        <v>0</v>
      </c>
      <c r="AH158" s="7">
        <f t="shared" si="86"/>
        <v>0</v>
      </c>
      <c r="AI158" s="7">
        <f t="shared" si="86"/>
        <v>0</v>
      </c>
    </row>
    <row r="159" spans="1:35" x14ac:dyDescent="0.3">
      <c r="A159" s="8"/>
      <c r="B159" s="5"/>
      <c r="C159" s="19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row>
    <row r="160" spans="1:35" x14ac:dyDescent="0.3">
      <c r="A160" s="8"/>
      <c r="B160" s="5" t="s">
        <v>152</v>
      </c>
      <c r="C160" s="198" t="s">
        <v>16</v>
      </c>
      <c r="E160" s="8">
        <f ca="1">IF(Input!$E$233,Input!$E$234,E276)</f>
        <v>5.2535517329743424</v>
      </c>
      <c r="F160" s="8">
        <f ca="1">IF(Input!$E$233,Input!$E$234,F276)</f>
        <v>5.2535517329743424</v>
      </c>
      <c r="G160" s="8">
        <f ca="1">IF(Input!$E$233,Input!$E$234,G276)</f>
        <v>5.2535517329743424</v>
      </c>
      <c r="H160" s="8">
        <f ca="1">IF(Input!$E$233,Input!$E$234,H276)</f>
        <v>5.2535517329743424</v>
      </c>
      <c r="I160" s="8">
        <f ca="1">IF(Input!$E$233,Input!$E$234,I276)</f>
        <v>5.2535517329743424</v>
      </c>
      <c r="J160" s="8">
        <f ca="1">IF(Input!$E$233,Input!$E$234,J276)</f>
        <v>5.2535517329743424</v>
      </c>
      <c r="K160" s="8">
        <f ca="1">IF(Input!$E$233,Input!$E$234,K276)</f>
        <v>5.2535517329743424</v>
      </c>
      <c r="L160" s="8">
        <f ca="1">IF(Input!$E$233,Input!$E$234,L276)</f>
        <v>5.2535517329743424</v>
      </c>
      <c r="M160" s="8">
        <f ca="1">IF(Input!$E$233,Input!$E$234,M276)</f>
        <v>5.2535517329743424</v>
      </c>
      <c r="N160" s="8">
        <f ca="1">IF(Input!$E$233,Input!$E$234,N276)</f>
        <v>5.2535517329743424</v>
      </c>
      <c r="O160" s="8">
        <f ca="1">IF(Input!$E$233,Input!$E$234,O276)</f>
        <v>5.2535517329743424</v>
      </c>
      <c r="P160" s="8">
        <f ca="1">IF(Input!$E$233,Input!$E$234,P276)</f>
        <v>5.2535517329743424</v>
      </c>
      <c r="Q160" s="8">
        <f ca="1">IF(Input!$E$233,Input!$E$234,Q276)</f>
        <v>5.2535517329743424</v>
      </c>
      <c r="R160" s="8">
        <f ca="1">IF(Input!$E$233,Input!$E$234,R276)</f>
        <v>5.2535517329743424</v>
      </c>
      <c r="S160" s="8">
        <f ca="1">IF(Input!$E$233,Input!$E$234,S276)</f>
        <v>5.2535517329743424</v>
      </c>
      <c r="T160" s="8">
        <f ca="1">IF(Input!$E$233,Input!$E$234,T276)</f>
        <v>5.2535517329743424</v>
      </c>
      <c r="U160" s="8">
        <f ca="1">IF(Input!$E$233,Input!$E$234,U276)</f>
        <v>5.2535517329743424</v>
      </c>
      <c r="V160" s="8">
        <f ca="1">IF(Input!$E$233,Input!$E$234,V276)</f>
        <v>5.2535517329743424</v>
      </c>
      <c r="W160" s="8">
        <f ca="1">IF(Input!$E$233,Input!$E$234,W276)</f>
        <v>5.2535517329743424</v>
      </c>
      <c r="X160" s="8">
        <f ca="1">IF(Input!$E$233,Input!$E$234,X276)</f>
        <v>5.2535517329743424</v>
      </c>
      <c r="Y160" s="8">
        <f ca="1">IF(Input!$E$233,Input!$E$234,Y276)</f>
        <v>5.2535517329743424</v>
      </c>
      <c r="Z160" s="8">
        <f ca="1">IF(Input!$E$233,Input!$E$234,Z276)</f>
        <v>5.2535517329743424</v>
      </c>
      <c r="AA160" s="8">
        <f ca="1">IF(Input!$E$233,Input!$E$234,AA276)</f>
        <v>5.2535517329743424</v>
      </c>
      <c r="AB160" s="8">
        <f ca="1">IF(Input!$E$233,Input!$E$234,AB276)</f>
        <v>5.2535517329743424</v>
      </c>
      <c r="AC160" s="8">
        <f ca="1">IF(Input!$E$233,Input!$E$234,AC276)</f>
        <v>5.2535517329743424</v>
      </c>
      <c r="AD160" s="8">
        <f ca="1">IF(Input!$E$233,Input!$E$234,AD276)</f>
        <v>5.2535517329743424</v>
      </c>
      <c r="AE160" s="8">
        <f ca="1">IF(Input!$E$233,Input!$E$234,AE276)</f>
        <v>5.2535517329743424</v>
      </c>
      <c r="AF160" s="8">
        <f ca="1">IF(Input!$E$233,Input!$E$234,AF276)</f>
        <v>5.2535517329743424</v>
      </c>
      <c r="AG160" s="8">
        <f ca="1">IF(Input!$E$233,Input!$E$234,AG276)</f>
        <v>5.2535517329743424</v>
      </c>
      <c r="AH160" s="8">
        <f ca="1">IF(Input!$E$233,Input!$E$234,AH276)</f>
        <v>5.2535517329743424</v>
      </c>
      <c r="AI160" s="8">
        <f ca="1">IF(Input!$E$233,Input!$E$234,AI276)</f>
        <v>5.2535517329743424</v>
      </c>
    </row>
    <row r="161" spans="1:35" x14ac:dyDescent="0.3">
      <c r="A161" s="8"/>
      <c r="C161" s="221"/>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row>
    <row r="162" spans="1:35" x14ac:dyDescent="0.3">
      <c r="A162" s="8"/>
      <c r="B162" s="7" t="s">
        <v>117</v>
      </c>
      <c r="C162" s="200" t="s">
        <v>11</v>
      </c>
      <c r="D162" s="240"/>
      <c r="E162" s="676">
        <f t="shared" ref="E162:AI162" ca="1" si="87">E158*E160/10</f>
        <v>0</v>
      </c>
      <c r="F162" s="676">
        <f t="shared" ca="1" si="87"/>
        <v>89.815003537659209</v>
      </c>
      <c r="G162" s="676">
        <f t="shared" ca="1" si="87"/>
        <v>177.31173341361759</v>
      </c>
      <c r="H162" s="676">
        <f t="shared" ca="1" si="87"/>
        <v>175.09533674594738</v>
      </c>
      <c r="I162" s="676">
        <f t="shared" ca="1" si="87"/>
        <v>172.90664503662305</v>
      </c>
      <c r="J162" s="676">
        <f t="shared" ca="1" si="87"/>
        <v>170.74531197366528</v>
      </c>
      <c r="K162" s="676">
        <f t="shared" ca="1" si="87"/>
        <v>168.61099557399447</v>
      </c>
      <c r="L162" s="676">
        <f t="shared" ca="1" si="87"/>
        <v>166.50335812931954</v>
      </c>
      <c r="M162" s="676">
        <f t="shared" ca="1" si="87"/>
        <v>164.42206615270305</v>
      </c>
      <c r="N162" s="676">
        <f t="shared" ca="1" si="87"/>
        <v>162.36679032579428</v>
      </c>
      <c r="O162" s="676">
        <f t="shared" ca="1" si="87"/>
        <v>160.33720544672184</v>
      </c>
      <c r="P162" s="676">
        <f t="shared" ca="1" si="87"/>
        <v>158.33299037863782</v>
      </c>
      <c r="Q162" s="676">
        <f t="shared" ca="1" si="87"/>
        <v>156.35382799890488</v>
      </c>
      <c r="R162" s="676">
        <f t="shared" ca="1" si="87"/>
        <v>154.39940514891856</v>
      </c>
      <c r="S162" s="676">
        <f t="shared" ca="1" si="87"/>
        <v>152.46941258455712</v>
      </c>
      <c r="T162" s="676">
        <f t="shared" ca="1" si="87"/>
        <v>150.56354492725012</v>
      </c>
      <c r="U162" s="676">
        <f t="shared" ca="1" si="87"/>
        <v>148.68150061565953</v>
      </c>
      <c r="V162" s="676">
        <f t="shared" ca="1" si="87"/>
        <v>146.82298185796378</v>
      </c>
      <c r="W162" s="676">
        <f t="shared" ca="1" si="87"/>
        <v>144.98769458473924</v>
      </c>
      <c r="X162" s="676">
        <f t="shared" ca="1" si="87"/>
        <v>143.17534840242999</v>
      </c>
      <c r="Y162" s="676">
        <f t="shared" ca="1" si="87"/>
        <v>141.38565654739961</v>
      </c>
      <c r="Z162" s="676">
        <f t="shared" ca="1" si="87"/>
        <v>139.61833584055714</v>
      </c>
      <c r="AA162" s="676">
        <f t="shared" ca="1" si="87"/>
        <v>137.8731066425502</v>
      </c>
      <c r="AB162" s="676">
        <f t="shared" ca="1" si="87"/>
        <v>136.14969280951831</v>
      </c>
      <c r="AC162" s="676">
        <f t="shared" ca="1" si="87"/>
        <v>134.44782164939937</v>
      </c>
      <c r="AD162" s="676">
        <f t="shared" ca="1" si="87"/>
        <v>132.76722387878186</v>
      </c>
      <c r="AE162" s="676">
        <f t="shared" ca="1" si="87"/>
        <v>77.237216038560803</v>
      </c>
      <c r="AF162" s="676">
        <f t="shared" ca="1" si="87"/>
        <v>0</v>
      </c>
      <c r="AG162" s="676">
        <f t="shared" ca="1" si="87"/>
        <v>0</v>
      </c>
      <c r="AH162" s="676">
        <f t="shared" ca="1" si="87"/>
        <v>0</v>
      </c>
      <c r="AI162" s="676">
        <f t="shared" ca="1" si="87"/>
        <v>0</v>
      </c>
    </row>
    <row r="163" spans="1:35" x14ac:dyDescent="0.3">
      <c r="A163" s="217"/>
      <c r="B163" s="5"/>
      <c r="C163" s="198"/>
      <c r="D163" s="20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row>
    <row r="164" spans="1:35" x14ac:dyDescent="0.3">
      <c r="A164" s="210" t="s">
        <v>23</v>
      </c>
      <c r="B164" s="178"/>
      <c r="C164" s="195"/>
      <c r="D164" s="211"/>
      <c r="E164" s="222"/>
      <c r="F164" s="212"/>
      <c r="G164" s="212"/>
      <c r="H164" s="212"/>
      <c r="I164" s="212"/>
      <c r="J164" s="212"/>
      <c r="K164" s="212"/>
      <c r="L164" s="212"/>
      <c r="M164" s="212"/>
      <c r="N164" s="212"/>
      <c r="O164" s="212"/>
      <c r="P164" s="212"/>
      <c r="Q164" s="212"/>
      <c r="R164" s="212"/>
      <c r="S164" s="212"/>
      <c r="T164" s="212"/>
      <c r="U164" s="211"/>
      <c r="V164" s="211"/>
      <c r="W164" s="211"/>
      <c r="X164" s="211"/>
      <c r="Y164" s="211"/>
      <c r="Z164" s="211"/>
      <c r="AA164" s="211"/>
      <c r="AB164" s="211"/>
      <c r="AC164" s="211"/>
      <c r="AD164" s="211"/>
      <c r="AE164" s="211"/>
      <c r="AF164" s="211"/>
      <c r="AG164" s="211"/>
      <c r="AH164" s="211"/>
      <c r="AI164" s="211"/>
    </row>
    <row r="165" spans="1:35" x14ac:dyDescent="0.3">
      <c r="A165" s="217"/>
      <c r="B165" s="5" t="s">
        <v>479</v>
      </c>
      <c r="C165" s="198" t="s">
        <v>11</v>
      </c>
      <c r="D165" s="367">
        <f t="shared" ref="D165:D175" si="88">SUM(E165:BL165)</f>
        <v>566.62266115347666</v>
      </c>
      <c r="E165" s="5">
        <f>IF(E$4,Input!$E$205*E$153*E$9*(1+Input!$E$206)^(E$5-1),0)/100</f>
        <v>0</v>
      </c>
      <c r="F165" s="217">
        <f>IF(F$4,Input!$E$205*F$153*F$9*(1+Input!$E$206)^(F$5-1),0)/100</f>
        <v>5.5725712981917805</v>
      </c>
      <c r="G165" s="217">
        <f>IF(G$4,Input!$E$205*G$153*G$9*(1+Input!$E$206)^(G$5-1),0)/100</f>
        <v>11.762488578800001</v>
      </c>
      <c r="H165" s="217">
        <f>IF(H$4,Input!$E$205*H$153*H$9*(1+Input!$E$206)^(H$5-1),0)/100</f>
        <v>12.380019229186999</v>
      </c>
      <c r="I165" s="217">
        <f>IF(I$4,Input!$E$205*I$153*I$9*(1+Input!$E$206)^(I$5-1),0)/100</f>
        <v>13.029970238719315</v>
      </c>
      <c r="J165" s="217">
        <f>IF(J$4,Input!$E$205*J$153*J$9*(1+Input!$E$206)^(J$5-1),0)/100</f>
        <v>13.714043676252082</v>
      </c>
      <c r="K165" s="217">
        <f>IF(K$4,Input!$E$205*K$153*K$9*(1+Input!$E$206)^(K$5-1),0)/100</f>
        <v>14.434030969255314</v>
      </c>
      <c r="L165" s="217">
        <f>IF(L$4,Input!$E$205*L$153*L$9*(1+Input!$E$206)^(L$5-1),0)/100</f>
        <v>15.19181759514122</v>
      </c>
      <c r="M165" s="217">
        <f>IF(M$4,Input!$E$205*M$153*M$9*(1+Input!$E$206)^(M$5-1),0)/100</f>
        <v>15.989388018886132</v>
      </c>
      <c r="N165" s="217">
        <f>IF(N$4,Input!$E$205*N$153*N$9*(1+Input!$E$206)^(N$5-1),0)/100</f>
        <v>16.828830889877654</v>
      </c>
      <c r="O165" s="217">
        <f>IF(O$4,Input!$E$205*O$153*O$9*(1+Input!$E$206)^(O$5-1),0)/100</f>
        <v>17.712344511596232</v>
      </c>
      <c r="P165" s="217">
        <f>IF(P$4,Input!$E$205*P$153*P$9*(1+Input!$E$206)^(P$5-1),0)/100</f>
        <v>18.642242598455031</v>
      </c>
      <c r="Q165" s="217">
        <f>IF(Q$4,Input!$E$205*Q$153*Q$9*(1+Input!$E$206)^(Q$5-1),0)/100</f>
        <v>19.620960334873921</v>
      </c>
      <c r="R165" s="217">
        <f>IF(R$4,Input!$E$205*R$153*R$9*(1+Input!$E$206)^(R$5-1),0)/100</f>
        <v>20.6510607524548</v>
      </c>
      <c r="S165" s="217">
        <f>IF(S$4,Input!$E$205*S$153*S$9*(1+Input!$E$206)^(S$5-1),0)/100</f>
        <v>21.735241441958678</v>
      </c>
      <c r="T165" s="217">
        <f>IF(T$4,Input!$E$205*T$153*T$9*(1+Input!$E$206)^(T$5-1),0)/100</f>
        <v>22.87634161766151</v>
      </c>
      <c r="U165" s="217">
        <f>IF(U$4,Input!$E$205*U$153*U$9*(1+Input!$E$206)^(U$5-1),0)/100</f>
        <v>24.077349552588739</v>
      </c>
      <c r="V165" s="217">
        <f>IF(V$4,Input!$E$205*V$153*V$9*(1+Input!$E$206)^(V$5-1),0)/100</f>
        <v>25.341410404099648</v>
      </c>
      <c r="W165" s="217">
        <f>IF(W$4,Input!$E$205*W$153*W$9*(1+Input!$E$206)^(W$5-1),0)/100</f>
        <v>26.671834450314876</v>
      </c>
      <c r="X165" s="217">
        <f>IF(X$4,Input!$E$205*X$153*X$9*(1+Input!$E$206)^(X$5-1),0)/100</f>
        <v>28.072105758956408</v>
      </c>
      <c r="Y165" s="217">
        <f>IF(Y$4,Input!$E$205*Y$153*Y$9*(1+Input!$E$206)^(Y$5-1),0)/100</f>
        <v>29.54589131130162</v>
      </c>
      <c r="Z165" s="217">
        <f>IF(Z$4,Input!$E$205*Z$153*Z$9*(1+Input!$E$206)^(Z$5-1),0)/100</f>
        <v>31.097050605144954</v>
      </c>
      <c r="AA165" s="217">
        <f>IF(AA$4,Input!$E$205*AA$153*AA$9*(1+Input!$E$206)^(AA$5-1),0)/100</f>
        <v>32.729645761915066</v>
      </c>
      <c r="AB165" s="217">
        <f>IF(AB$4,Input!$E$205*AB$153*AB$9*(1+Input!$E$206)^(AB$5-1),0)/100</f>
        <v>34.447952164415604</v>
      </c>
      <c r="AC165" s="217">
        <f>IF(AC$4,Input!$E$205*AC$153*AC$9*(1+Input!$E$206)^(AC$5-1),0)/100</f>
        <v>36.256469653047425</v>
      </c>
      <c r="AD165" s="217">
        <f>IF(AD$4,Input!$E$205*AD$153*AD$9*(1+Input!$E$206)^(AD$5-1),0)/100</f>
        <v>38.159934309832416</v>
      </c>
      <c r="AE165" s="217">
        <f>IF(AE$4,Input!$E$205*AE$153*AE$9*(1+Input!$E$206)^(AE$5-1),0)/100</f>
        <v>20.081665430549307</v>
      </c>
      <c r="AF165" s="217">
        <f>IF(AF$4,Input!$E$205*AF$153*AF$9*(1+Input!$E$206)^(AF$5-1),0)/100</f>
        <v>0</v>
      </c>
      <c r="AG165" s="217">
        <f>IF(AG$4,Input!$E$205*AG$153*AG$9*(1+Input!$E$206)^(AG$5-1),0)/100</f>
        <v>0</v>
      </c>
      <c r="AH165" s="217">
        <f>IF(AH$4,Input!$E$205*AH$153*AH$9*(1+Input!$E$206)^(AH$5-1),0)/100</f>
        <v>0</v>
      </c>
      <c r="AI165" s="217">
        <f>IF(AI$4,Input!$E$205*AI$153*AI$9*(1+Input!$E$206)^(AI$5-1),0)/100</f>
        <v>0</v>
      </c>
    </row>
    <row r="166" spans="1:35" x14ac:dyDescent="0.3">
      <c r="A166" s="190">
        <f>IF(Input!$E$230=TRUE,1,0)</f>
        <v>1</v>
      </c>
      <c r="B166" s="223" t="s">
        <v>480</v>
      </c>
      <c r="C166" s="224"/>
      <c r="D166" s="225"/>
      <c r="E166" s="226"/>
      <c r="F166" s="226"/>
      <c r="G166" s="226"/>
      <c r="H166" s="226"/>
      <c r="I166" s="226"/>
      <c r="J166" s="226"/>
      <c r="K166" s="226"/>
      <c r="L166" s="226"/>
      <c r="M166" s="226"/>
      <c r="N166" s="226"/>
      <c r="O166" s="226"/>
      <c r="P166" s="226"/>
      <c r="Q166" s="226"/>
      <c r="R166" s="226"/>
      <c r="S166" s="226"/>
      <c r="T166" s="226"/>
      <c r="U166" s="227"/>
      <c r="V166" s="227"/>
      <c r="W166" s="227"/>
      <c r="X166" s="227"/>
      <c r="Y166" s="227"/>
      <c r="Z166" s="227"/>
      <c r="AA166" s="227"/>
      <c r="AB166" s="227"/>
      <c r="AC166" s="227"/>
      <c r="AD166" s="227"/>
      <c r="AE166" s="227"/>
      <c r="AF166" s="227"/>
      <c r="AG166" s="227"/>
      <c r="AH166" s="227"/>
      <c r="AI166" s="227"/>
    </row>
    <row r="167" spans="1:35" x14ac:dyDescent="0.3">
      <c r="A167" s="217"/>
      <c r="B167" s="5" t="s">
        <v>457</v>
      </c>
      <c r="C167" s="368" t="s">
        <v>11</v>
      </c>
      <c r="D167" s="367">
        <f t="shared" si="88"/>
        <v>0</v>
      </c>
      <c r="E167" s="5">
        <f>IF(E$4,Input!$E$208*E$153*E$9*(1+Input!$F$208)^(E$10-1),0)/100*$A$166</f>
        <v>0</v>
      </c>
      <c r="F167" s="5">
        <f>IF(F$4,Input!$E$208*F$153*F$9*(1+Input!$F$208)^(F$10-1),0)/100*$A$166</f>
        <v>0</v>
      </c>
      <c r="G167" s="5">
        <f>IF(G$4,Input!$E$208*G$153*G$9*(1+Input!$F$208)^(G$10-1),0)/100*$A$166</f>
        <v>0</v>
      </c>
      <c r="H167" s="5">
        <f>IF(H$4,Input!$E$208*H$153*H$9*(1+Input!$F$208)^(H$10-1),0)/100*$A$166</f>
        <v>0</v>
      </c>
      <c r="I167" s="5">
        <f>IF(I$4,Input!$E$208*I$153*I$9*(1+Input!$F$208)^(I$10-1),0)/100*$A$166</f>
        <v>0</v>
      </c>
      <c r="J167" s="5">
        <f>IF(J$4,Input!$E$208*J$153*J$9*(1+Input!$F$208)^(J$10-1),0)/100*$A$166</f>
        <v>0</v>
      </c>
      <c r="K167" s="5">
        <f>IF(K$4,Input!$E$208*K$153*K$9*(1+Input!$F$208)^(K$10-1),0)/100*$A$166</f>
        <v>0</v>
      </c>
      <c r="L167" s="5">
        <f>IF(L$4,Input!$E$208*L$153*L$9*(1+Input!$F$208)^(L$10-1),0)/100*$A$166</f>
        <v>0</v>
      </c>
      <c r="M167" s="5">
        <f>IF(M$4,Input!$E$208*M$153*M$9*(1+Input!$F$208)^(M$10-1),0)/100*$A$166</f>
        <v>0</v>
      </c>
      <c r="N167" s="5">
        <f>IF(N$4,Input!$E$208*N$153*N$9*(1+Input!$F$208)^(N$10-1),0)/100*$A$166</f>
        <v>0</v>
      </c>
      <c r="O167" s="5">
        <f>IF(O$4,Input!$E$208*O$153*O$9*(1+Input!$F$208)^(O$10-1),0)/100*$A$166</f>
        <v>0</v>
      </c>
      <c r="P167" s="5">
        <f>IF(P$4,Input!$E$208*P$153*P$9*(1+Input!$F$208)^(P$10-1),0)/100*$A$166</f>
        <v>0</v>
      </c>
      <c r="Q167" s="5">
        <f>IF(Q$4,Input!$E$208*Q$153*Q$9*(1+Input!$F$208)^(Q$10-1),0)/100*$A$166</f>
        <v>0</v>
      </c>
      <c r="R167" s="5">
        <f>IF(R$4,Input!$E$208*R$153*R$9*(1+Input!$F$208)^(R$10-1),0)/100*$A$166</f>
        <v>0</v>
      </c>
      <c r="S167" s="5">
        <f>IF(S$4,Input!$E$208*S$153*S$9*(1+Input!$F$208)^(S$10-1),0)/100*$A$166</f>
        <v>0</v>
      </c>
      <c r="T167" s="5">
        <f>IF(T$4,Input!$E$208*T$153*T$9*(1+Input!$F$208)^(T$10-1),0)/100*$A$166</f>
        <v>0</v>
      </c>
      <c r="U167" s="5">
        <f>IF(U$4,Input!$E$208*U$153*U$9*(1+Input!$F$208)^(U$10-1),0)/100*$A$166</f>
        <v>0</v>
      </c>
      <c r="V167" s="5">
        <f>IF(V$4,Input!$E$208*V$153*V$9*(1+Input!$F$208)^(V$10-1),0)/100*$A$166</f>
        <v>0</v>
      </c>
      <c r="W167" s="5">
        <f>IF(W$4,Input!$E$208*W$153*W$9*(1+Input!$F$208)^(W$10-1),0)/100*$A$166</f>
        <v>0</v>
      </c>
      <c r="X167" s="5">
        <f>IF(X$4,Input!$E$208*X$153*X$9*(1+Input!$F$208)^(X$10-1),0)/100*$A$166</f>
        <v>0</v>
      </c>
      <c r="Y167" s="5">
        <f>IF(Y$4,Input!$E$208*Y$153*Y$9*(1+Input!$F$208)^(Y$10-1),0)/100*$A$166</f>
        <v>0</v>
      </c>
      <c r="Z167" s="5">
        <f>IF(Z$4,Input!$E$208*Z$153*Z$9*(1+Input!$F$208)^(Z$10-1),0)/100*$A$166</f>
        <v>0</v>
      </c>
      <c r="AA167" s="5">
        <f>IF(AA$4,Input!$E$208*AA$153*AA$9*(1+Input!$F$208)^(AA$10-1),0)/100*$A$166</f>
        <v>0</v>
      </c>
      <c r="AB167" s="5">
        <f>IF(AB$4,Input!$E$208*AB$153*AB$9*(1+Input!$F$208)^(AB$10-1),0)/100*$A$166</f>
        <v>0</v>
      </c>
      <c r="AC167" s="5">
        <f>IF(AC$4,Input!$E$208*AC$153*AC$9*(1+Input!$F$208)^(AC$10-1),0)/100*$A$166</f>
        <v>0</v>
      </c>
      <c r="AD167" s="5">
        <f>IF(AD$4,Input!$E$208*AD$153*AD$9*(1+Input!$F$208)^(AD$10-1),0)/100*$A$166</f>
        <v>0</v>
      </c>
      <c r="AE167" s="5">
        <f>IF(AE$4,Input!$E$208*AE$153*AE$9*(1+Input!$F$208)^(AE$10-1),0)/100*$A$166</f>
        <v>0</v>
      </c>
      <c r="AF167" s="5">
        <f>IF(AF$4,Input!$E$208*AF$153*AF$9*(1+Input!$F$208)^(AF$10-1),0)/100*$A$166</f>
        <v>0</v>
      </c>
      <c r="AG167" s="5">
        <f>IF(AG$4,Input!$E$208*AG$153*AG$9*(1+Input!$F$208)^(AG$10-1),0)/100*$A$166</f>
        <v>0</v>
      </c>
      <c r="AH167" s="5">
        <f>IF(AH$4,Input!$E$208*AH$153*AH$9*(1+Input!$F$208)^(AH$10-1),0)/100*$A$166</f>
        <v>0</v>
      </c>
      <c r="AI167" s="5">
        <f>IF(AI$4,Input!$E$208*AI$153*AI$9*(1+Input!$F$208)^(AI$10-1),0)/100*$A$166</f>
        <v>0</v>
      </c>
    </row>
    <row r="168" spans="1:35" x14ac:dyDescent="0.3">
      <c r="A168" s="217"/>
      <c r="B168" s="5" t="s">
        <v>458</v>
      </c>
      <c r="C168" s="368" t="s">
        <v>11</v>
      </c>
      <c r="D168" s="369">
        <f t="shared" si="88"/>
        <v>0</v>
      </c>
      <c r="E168" s="5">
        <f>IF(E$4,Input!$E$208*E$153*E$9*(1+Input!$F$209)^(E$10-1),0)/100*$A$166</f>
        <v>0</v>
      </c>
      <c r="F168" s="5">
        <f>IF(F$4,Input!$E$208*F$153*F$9*(1+Input!$F$209)^(F$10-1),0)/100*$A$166</f>
        <v>0</v>
      </c>
      <c r="G168" s="5">
        <f>IF(G$4,Input!$E$208*G$153*G$9*(1+Input!$F$209)^(G$10-1),0)/100*$A$166</f>
        <v>0</v>
      </c>
      <c r="H168" s="5">
        <f>IF(H$4,Input!$E$208*H$153*H$9*(1+Input!$F$209)^(H$10-1),0)/100*$A$166</f>
        <v>0</v>
      </c>
      <c r="I168" s="5">
        <f>IF(I$4,Input!$E$208*I$153*I$9*(1+Input!$F$209)^(I$10-1),0)/100*$A$166</f>
        <v>0</v>
      </c>
      <c r="J168" s="5">
        <f>IF(J$4,Input!$E$208*J$153*J$9*(1+Input!$F$209)^(J$10-1),0)/100*$A$166</f>
        <v>0</v>
      </c>
      <c r="K168" s="5">
        <f>IF(K$4,Input!$E$208*K$153*K$9*(1+Input!$F$209)^(K$10-1),0)/100*$A$166</f>
        <v>0</v>
      </c>
      <c r="L168" s="5">
        <f>IF(L$4,Input!$E$208*L$153*L$9*(1+Input!$F$209)^(L$10-1),0)/100*$A$166</f>
        <v>0</v>
      </c>
      <c r="M168" s="5">
        <f>IF(M$4,Input!$E$208*M$153*M$9*(1+Input!$F$209)^(M$10-1),0)/100*$A$166</f>
        <v>0</v>
      </c>
      <c r="N168" s="5">
        <f>IF(N$4,Input!$E$208*N$153*N$9*(1+Input!$F$209)^(N$10-1),0)/100*$A$166</f>
        <v>0</v>
      </c>
      <c r="O168" s="5">
        <f>IF(O$4,Input!$E$208*O$153*O$9*(1+Input!$F$209)^(O$10-1),0)/100*$A$166</f>
        <v>0</v>
      </c>
      <c r="P168" s="5">
        <f>IF(P$4,Input!$E$208*P$153*P$9*(1+Input!$F$209)^(P$10-1),0)/100*$A$166</f>
        <v>0</v>
      </c>
      <c r="Q168" s="5">
        <f>IF(Q$4,Input!$E$208*Q$153*Q$9*(1+Input!$F$209)^(Q$10-1),0)/100*$A$166</f>
        <v>0</v>
      </c>
      <c r="R168" s="5">
        <f>IF(R$4,Input!$E$208*R$153*R$9*(1+Input!$F$209)^(R$10-1),0)/100*$A$166</f>
        <v>0</v>
      </c>
      <c r="S168" s="5">
        <f>IF(S$4,Input!$E$208*S$153*S$9*(1+Input!$F$209)^(S$10-1),0)/100*$A$166</f>
        <v>0</v>
      </c>
      <c r="T168" s="5">
        <f>IF(T$4,Input!$E$208*T$153*T$9*(1+Input!$F$209)^(T$10-1),0)/100*$A$166</f>
        <v>0</v>
      </c>
      <c r="U168" s="5">
        <f>IF(U$4,Input!$E$208*U$153*U$9*(1+Input!$F$209)^(U$10-1),0)/100*$A$166</f>
        <v>0</v>
      </c>
      <c r="V168" s="5">
        <f>IF(V$4,Input!$E$208*V$153*V$9*(1+Input!$F$209)^(V$10-1),0)/100*$A$166</f>
        <v>0</v>
      </c>
      <c r="W168" s="5">
        <f>IF(W$4,Input!$E$208*W$153*W$9*(1+Input!$F$209)^(W$10-1),0)/100*$A$166</f>
        <v>0</v>
      </c>
      <c r="X168" s="5">
        <f>IF(X$4,Input!$E$208*X$153*X$9*(1+Input!$F$209)^(X$10-1),0)/100*$A$166</f>
        <v>0</v>
      </c>
      <c r="Y168" s="5">
        <f>IF(Y$4,Input!$E$208*Y$153*Y$9*(1+Input!$F$209)^(Y$10-1),0)/100*$A$166</f>
        <v>0</v>
      </c>
      <c r="Z168" s="5">
        <f>IF(Z$4,Input!$E$208*Z$153*Z$9*(1+Input!$F$209)^(Z$10-1),0)/100*$A$166</f>
        <v>0</v>
      </c>
      <c r="AA168" s="5">
        <f>IF(AA$4,Input!$E$208*AA$153*AA$9*(1+Input!$F$209)^(AA$10-1),0)/100*$A$166</f>
        <v>0</v>
      </c>
      <c r="AB168" s="5">
        <f>IF(AB$4,Input!$E$208*AB$153*AB$9*(1+Input!$F$209)^(AB$10-1),0)/100*$A$166</f>
        <v>0</v>
      </c>
      <c r="AC168" s="5">
        <f>IF(AC$4,Input!$E$208*AC$153*AC$9*(1+Input!$F$209)^(AC$10-1),0)/100*$A$166</f>
        <v>0</v>
      </c>
      <c r="AD168" s="5">
        <f>IF(AD$4,Input!$E$208*AD$153*AD$9*(1+Input!$F$209)^(AD$10-1),0)/100*$A$166</f>
        <v>0</v>
      </c>
      <c r="AE168" s="5">
        <f>IF(AE$4,Input!$E$208*AE$153*AE$9*(1+Input!$F$209)^(AE$10-1),0)/100*$A$166</f>
        <v>0</v>
      </c>
      <c r="AF168" s="5">
        <f>IF(AF$4,Input!$E$208*AF$153*AF$9*(1+Input!$F$209)^(AF$10-1),0)/100*$A$166</f>
        <v>0</v>
      </c>
      <c r="AG168" s="5">
        <f>IF(AG$4,Input!$E$208*AG$153*AG$9*(1+Input!$F$209)^(AG$10-1),0)/100*$A$166</f>
        <v>0</v>
      </c>
      <c r="AH168" s="5">
        <f>IF(AH$4,Input!$E$208*AH$153*AH$9*(1+Input!$F$209)^(AH$10-1),0)/100*$A$166</f>
        <v>0</v>
      </c>
      <c r="AI168" s="5">
        <f>IF(AI$4,Input!$E$208*AI$153*AI$9*(1+Input!$F$209)^(AI$10-1),0)/100*$A$166</f>
        <v>0</v>
      </c>
    </row>
    <row r="169" spans="1:35" x14ac:dyDescent="0.3">
      <c r="A169" s="217"/>
      <c r="B169" s="5" t="s">
        <v>459</v>
      </c>
      <c r="C169" s="368" t="s">
        <v>11</v>
      </c>
      <c r="D169" s="369">
        <f t="shared" si="88"/>
        <v>0</v>
      </c>
      <c r="E169" s="5">
        <f>IF(E$4,Input!$E$209*BOQ_I!$F$22*E$9*(1+Input!$E$210)^(E$10-1),0)*$A$166</f>
        <v>0</v>
      </c>
      <c r="F169" s="5">
        <f>IF(F$4,Input!$E$209*BOQ_I!$F$22*F$9*(1+Input!$E$210)^(F$10-1),0)*$A$166</f>
        <v>0</v>
      </c>
      <c r="G169" s="5">
        <f>IF(G$4,Input!$E$209*BOQ_I!$F$22*G$9*(1+Input!$E$210)^(G$10-1),0)*$A$166</f>
        <v>0</v>
      </c>
      <c r="H169" s="5">
        <f>IF(H$4,Input!$E$209*BOQ_I!$F$22*H$9*(1+Input!$E$210)^(H$10-1),0)*$A$166</f>
        <v>0</v>
      </c>
      <c r="I169" s="5">
        <f>IF(I$4,Input!$E$209*BOQ_I!$F$22*I$9*(1+Input!$E$210)^(I$10-1),0)*$A$166</f>
        <v>0</v>
      </c>
      <c r="J169" s="5">
        <f>IF(J$4,Input!$E$209*BOQ_I!$F$22*J$9*(1+Input!$E$210)^(J$10-1),0)*$A$166</f>
        <v>0</v>
      </c>
      <c r="K169" s="5">
        <f>IF(K$4,Input!$E$209*BOQ_I!$F$22*K$9*(1+Input!$E$210)^(K$10-1),0)*$A$166</f>
        <v>0</v>
      </c>
      <c r="L169" s="5">
        <f>IF(L$4,Input!$E$209*BOQ_I!$F$22*L$9*(1+Input!$E$210)^(L$10-1),0)*$A$166</f>
        <v>0</v>
      </c>
      <c r="M169" s="5">
        <f>IF(M$4,Input!$E$209*BOQ_I!$F$22*M$9*(1+Input!$E$210)^(M$10-1),0)*$A$166</f>
        <v>0</v>
      </c>
      <c r="N169" s="5">
        <f>IF(N$4,Input!$E$209*BOQ_I!$F$22*N$9*(1+Input!$E$210)^(N$10-1),0)*$A$166</f>
        <v>0</v>
      </c>
      <c r="O169" s="5">
        <f>IF(O$4,Input!$E$209*BOQ_I!$F$22*O$9*(1+Input!$E$210)^(O$10-1),0)*$A$166</f>
        <v>0</v>
      </c>
      <c r="P169" s="5">
        <f>IF(P$4,Input!$E$209*BOQ_I!$F$22*P$9*(1+Input!$E$210)^(P$10-1),0)*$A$166</f>
        <v>0</v>
      </c>
      <c r="Q169" s="5">
        <f>IF(Q$4,Input!$E$209*BOQ_I!$F$22*Q$9*(1+Input!$E$210)^(Q$10-1),0)*$A$166</f>
        <v>0</v>
      </c>
      <c r="R169" s="5">
        <f>IF(R$4,Input!$E$209*BOQ_I!$F$22*R$9*(1+Input!$E$210)^(R$10-1),0)*$A$166</f>
        <v>0</v>
      </c>
      <c r="S169" s="5">
        <f>IF(S$4,Input!$E$209*BOQ_I!$F$22*S$9*(1+Input!$E$210)^(S$10-1),0)*$A$166</f>
        <v>0</v>
      </c>
      <c r="T169" s="5">
        <f>IF(T$4,Input!$E$209*BOQ_I!$F$22*T$9*(1+Input!$E$210)^(T$10-1),0)*$A$166</f>
        <v>0</v>
      </c>
      <c r="U169" s="5">
        <f>IF(U$4,Input!$E$209*BOQ_I!$F$22*U$9*(1+Input!$E$210)^(U$10-1),0)*$A$166</f>
        <v>0</v>
      </c>
      <c r="V169" s="5">
        <f>IF(V$4,Input!$E$209*BOQ_I!$F$22*V$9*(1+Input!$E$210)^(V$10-1),0)*$A$166</f>
        <v>0</v>
      </c>
      <c r="W169" s="5">
        <f>IF(W$4,Input!$E$209*BOQ_I!$F$22*W$9*(1+Input!$E$210)^(W$10-1),0)*$A$166</f>
        <v>0</v>
      </c>
      <c r="X169" s="5">
        <f>IF(X$4,Input!$E$209*BOQ_I!$F$22*X$9*(1+Input!$E$210)^(X$10-1),0)*$A$166</f>
        <v>0</v>
      </c>
      <c r="Y169" s="5">
        <f>IF(Y$4,Input!$E$209*BOQ_I!$F$22*Y$9*(1+Input!$E$210)^(Y$10-1),0)*$A$166</f>
        <v>0</v>
      </c>
      <c r="Z169" s="5">
        <f>IF(Z$4,Input!$E$209*BOQ_I!$F$22*Z$9*(1+Input!$E$210)^(Z$10-1),0)*$A$166</f>
        <v>0</v>
      </c>
      <c r="AA169" s="5">
        <f>IF(AA$4,Input!$E$209*BOQ_I!$F$22*AA$9*(1+Input!$E$210)^(AA$10-1),0)*$A$166</f>
        <v>0</v>
      </c>
      <c r="AB169" s="5">
        <f>IF(AB$4,Input!$E$209*BOQ_I!$F$22*AB$9*(1+Input!$E$210)^(AB$10-1),0)*$A$166</f>
        <v>0</v>
      </c>
      <c r="AC169" s="5">
        <f>IF(AC$4,Input!$E$209*BOQ_I!$F$22*AC$9*(1+Input!$E$210)^(AC$10-1),0)*$A$166</f>
        <v>0</v>
      </c>
      <c r="AD169" s="5">
        <f>IF(AD$4,Input!$E$209*BOQ_I!$F$22*AD$9*(1+Input!$E$210)^(AD$10-1),0)*$A$166</f>
        <v>0</v>
      </c>
      <c r="AE169" s="5">
        <f>IF(AE$4,Input!$E$209*BOQ_I!$F$22*AE$9*(1+Input!$E$210)^(AE$10-1),0)*$A$166</f>
        <v>0</v>
      </c>
      <c r="AF169" s="5">
        <f>IF(AF$4,Input!$E$209*BOQ_I!$F$22*AF$9*(1+Input!$E$210)^(AF$10-1),0)*$A$166</f>
        <v>0</v>
      </c>
      <c r="AG169" s="5">
        <f>IF(AG$4,Input!$E$209*BOQ_I!$F$22*AG$9*(1+Input!$E$210)^(AG$10-1),0)*$A$166</f>
        <v>0</v>
      </c>
      <c r="AH169" s="5">
        <f>IF(AH$4,Input!$E$209*BOQ_I!$F$22*AH$9*(1+Input!$E$210)^(AH$10-1),0)*$A$166</f>
        <v>0</v>
      </c>
      <c r="AI169" s="5">
        <f>IF(AI$4,Input!$E$209*BOQ_I!$F$22*AI$9*(1+Input!$E$210)^(AI$10-1),0)*$A$166</f>
        <v>0</v>
      </c>
    </row>
    <row r="170" spans="1:35" x14ac:dyDescent="0.3">
      <c r="A170" s="217"/>
      <c r="B170" s="5" t="s">
        <v>460</v>
      </c>
      <c r="C170" s="368" t="s">
        <v>11</v>
      </c>
      <c r="D170" s="369">
        <f t="shared" si="88"/>
        <v>0</v>
      </c>
      <c r="E170" s="5">
        <f>IF(E$4,Input!$E$211*E$153*E$9*(1+Input!$F$211)^(E$10-1),0)/100*$A$166</f>
        <v>0</v>
      </c>
      <c r="F170" s="5">
        <f>IF(F$4,Input!$E$211*F$153*F$9*(1+Input!$F$211)^(F$10-1),0)/100*$A$166</f>
        <v>0</v>
      </c>
      <c r="G170" s="5">
        <f>IF(G$4,Input!$E$211*G$153*G$9*(1+Input!$F$211)^(G$10-1),0)/100*$A$166</f>
        <v>0</v>
      </c>
      <c r="H170" s="5">
        <f>IF(H$4,Input!$E$211*H$153*H$9*(1+Input!$F$211)^(H$10-1),0)/100*$A$166</f>
        <v>0</v>
      </c>
      <c r="I170" s="5">
        <f>IF(I$4,Input!$E$211*I$153*I$9*(1+Input!$F$211)^(I$10-1),0)/100*$A$166</f>
        <v>0</v>
      </c>
      <c r="J170" s="5">
        <f>IF(J$4,Input!$E$211*J$153*J$9*(1+Input!$F$211)^(J$10-1),0)/100*$A$166</f>
        <v>0</v>
      </c>
      <c r="K170" s="5">
        <f>IF(K$4,Input!$E$211*K$153*K$9*(1+Input!$F$211)^(K$10-1),0)/100*$A$166</f>
        <v>0</v>
      </c>
      <c r="L170" s="5">
        <f>IF(L$4,Input!$E$211*L$153*L$9*(1+Input!$F$211)^(L$10-1),0)/100*$A$166</f>
        <v>0</v>
      </c>
      <c r="M170" s="5">
        <f>IF(M$4,Input!$E$211*M$153*M$9*(1+Input!$F$211)^(M$10-1),0)/100*$A$166</f>
        <v>0</v>
      </c>
      <c r="N170" s="5">
        <f>IF(N$4,Input!$E$211*N$153*N$9*(1+Input!$F$211)^(N$10-1),0)/100*$A$166</f>
        <v>0</v>
      </c>
      <c r="O170" s="5">
        <f>IF(O$4,Input!$E$211*O$153*O$9*(1+Input!$F$211)^(O$10-1),0)/100*$A$166</f>
        <v>0</v>
      </c>
      <c r="P170" s="5">
        <f>IF(P$4,Input!$E$211*P$153*P$9*(1+Input!$F$211)^(P$10-1),0)/100*$A$166</f>
        <v>0</v>
      </c>
      <c r="Q170" s="5">
        <f>IF(Q$4,Input!$E$211*Q$153*Q$9*(1+Input!$F$211)^(Q$10-1),0)/100*$A$166</f>
        <v>0</v>
      </c>
      <c r="R170" s="5">
        <f>IF(R$4,Input!$E$211*R$153*R$9*(1+Input!$F$211)^(R$10-1),0)/100*$A$166</f>
        <v>0</v>
      </c>
      <c r="S170" s="5">
        <f>IF(S$4,Input!$E$211*S$153*S$9*(1+Input!$F$211)^(S$10-1),0)/100*$A$166</f>
        <v>0</v>
      </c>
      <c r="T170" s="5">
        <f>IF(T$4,Input!$E$211*T$153*T$9*(1+Input!$F$211)^(T$10-1),0)/100*$A$166</f>
        <v>0</v>
      </c>
      <c r="U170" s="5">
        <f>IF(U$4,Input!$E$211*U$153*U$9*(1+Input!$F$211)^(U$10-1),0)/100*$A$166</f>
        <v>0</v>
      </c>
      <c r="V170" s="5">
        <f>IF(V$4,Input!$E$211*V$153*V$9*(1+Input!$F$211)^(V$10-1),0)/100*$A$166</f>
        <v>0</v>
      </c>
      <c r="W170" s="5">
        <f>IF(W$4,Input!$E$211*W$153*W$9*(1+Input!$F$211)^(W$10-1),0)/100*$A$166</f>
        <v>0</v>
      </c>
      <c r="X170" s="5">
        <f>IF(X$4,Input!$E$211*X$153*X$9*(1+Input!$F$211)^(X$10-1),0)/100*$A$166</f>
        <v>0</v>
      </c>
      <c r="Y170" s="5">
        <f>IF(Y$4,Input!$E$211*Y$153*Y$9*(1+Input!$F$211)^(Y$10-1),0)/100*$A$166</f>
        <v>0</v>
      </c>
      <c r="Z170" s="5">
        <f>IF(Z$4,Input!$E$211*Z$153*Z$9*(1+Input!$F$211)^(Z$10-1),0)/100*$A$166</f>
        <v>0</v>
      </c>
      <c r="AA170" s="5">
        <f>IF(AA$4,Input!$E$211*AA$153*AA$9*(1+Input!$F$211)^(AA$10-1),0)/100*$A$166</f>
        <v>0</v>
      </c>
      <c r="AB170" s="5">
        <f>IF(AB$4,Input!$E$211*AB$153*AB$9*(1+Input!$F$211)^(AB$10-1),0)/100*$A$166</f>
        <v>0</v>
      </c>
      <c r="AC170" s="5">
        <f>IF(AC$4,Input!$E$211*AC$153*AC$9*(1+Input!$F$211)^(AC$10-1),0)/100*$A$166</f>
        <v>0</v>
      </c>
      <c r="AD170" s="5">
        <f>IF(AD$4,Input!$E$211*AD$153*AD$9*(1+Input!$F$211)^(AD$10-1),0)/100*$A$166</f>
        <v>0</v>
      </c>
      <c r="AE170" s="5">
        <f>IF(AE$4,Input!$E$211*AE$153*AE$9*(1+Input!$F$211)^(AE$10-1),0)/100*$A$166</f>
        <v>0</v>
      </c>
      <c r="AF170" s="5">
        <f>IF(AF$4,Input!$E$211*AF$153*AF$9*(1+Input!$F$211)^(AF$10-1),0)/100*$A$166</f>
        <v>0</v>
      </c>
      <c r="AG170" s="5">
        <f>IF(AG$4,Input!$E$211*AG$153*AG$9*(1+Input!$F$211)^(AG$10-1),0)/100*$A$166</f>
        <v>0</v>
      </c>
      <c r="AH170" s="5">
        <f>IF(AH$4,Input!$E$211*AH$153*AH$9*(1+Input!$F$211)^(AH$10-1),0)/100*$A$166</f>
        <v>0</v>
      </c>
      <c r="AI170" s="5">
        <f>IF(AI$4,Input!$E$211*AI$153*AI$9*(1+Input!$F$211)^(AI$10-1),0)/100*$A$166</f>
        <v>0</v>
      </c>
    </row>
    <row r="171" spans="1:35" x14ac:dyDescent="0.3">
      <c r="A171" s="217"/>
      <c r="B171" s="5" t="s">
        <v>461</v>
      </c>
      <c r="C171" s="368" t="s">
        <v>11</v>
      </c>
      <c r="D171" s="369">
        <f t="shared" si="88"/>
        <v>0</v>
      </c>
      <c r="E171" s="5">
        <f>IF(E$4,Input!$E$212*E$153*E$9*(1+Input!$F$212)^(E$10-1),0)/100*$A$166</f>
        <v>0</v>
      </c>
      <c r="F171" s="5">
        <f>IF(F$4,Input!$E$212*F$153*F$9*(1+Input!$F$212)^(F$10-1),0)/100*$A$166</f>
        <v>0</v>
      </c>
      <c r="G171" s="5">
        <f>IF(G$4,Input!$E$212*G$153*G$9*(1+Input!$F$212)^(G$10-1),0)/100*$A$166</f>
        <v>0</v>
      </c>
      <c r="H171" s="5">
        <f>IF(H$4,Input!$E$212*H$153*H$9*(1+Input!$F$212)^(H$10-1),0)/100*$A$166</f>
        <v>0</v>
      </c>
      <c r="I171" s="5">
        <f>IF(I$4,Input!$E$212*I$153*I$9*(1+Input!$F$212)^(I$10-1),0)/100*$A$166</f>
        <v>0</v>
      </c>
      <c r="J171" s="5">
        <f>IF(J$4,Input!$E$212*J$153*J$9*(1+Input!$F$212)^(J$10-1),0)/100*$A$166</f>
        <v>0</v>
      </c>
      <c r="K171" s="5">
        <f>IF(K$4,Input!$E$212*K$153*K$9*(1+Input!$F$212)^(K$10-1),0)/100*$A$166</f>
        <v>0</v>
      </c>
      <c r="L171" s="5">
        <f>IF(L$4,Input!$E$212*L$153*L$9*(1+Input!$F$212)^(L$10-1),0)/100*$A$166</f>
        <v>0</v>
      </c>
      <c r="M171" s="5">
        <f>IF(M$4,Input!$E$212*M$153*M$9*(1+Input!$F$212)^(M$10-1),0)/100*$A$166</f>
        <v>0</v>
      </c>
      <c r="N171" s="5">
        <f>IF(N$4,Input!$E$212*N$153*N$9*(1+Input!$F$212)^(N$10-1),0)/100*$A$166</f>
        <v>0</v>
      </c>
      <c r="O171" s="5">
        <f>IF(O$4,Input!$E$212*O$153*O$9*(1+Input!$F$212)^(O$10-1),0)/100*$A$166</f>
        <v>0</v>
      </c>
      <c r="P171" s="5">
        <f>IF(P$4,Input!$E$212*P$153*P$9*(1+Input!$F$212)^(P$10-1),0)/100*$A$166</f>
        <v>0</v>
      </c>
      <c r="Q171" s="5">
        <f>IF(Q$4,Input!$E$212*Q$153*Q$9*(1+Input!$F$212)^(Q$10-1),0)/100*$A$166</f>
        <v>0</v>
      </c>
      <c r="R171" s="5">
        <f>IF(R$4,Input!$E$212*R$153*R$9*(1+Input!$F$212)^(R$10-1),0)/100*$A$166</f>
        <v>0</v>
      </c>
      <c r="S171" s="5">
        <f>IF(S$4,Input!$E$212*S$153*S$9*(1+Input!$F$212)^(S$10-1),0)/100*$A$166</f>
        <v>0</v>
      </c>
      <c r="T171" s="5">
        <f>IF(T$4,Input!$E$212*T$153*T$9*(1+Input!$F$212)^(T$10-1),0)/100*$A$166</f>
        <v>0</v>
      </c>
      <c r="U171" s="5">
        <f>IF(U$4,Input!$E$212*U$153*U$9*(1+Input!$F$212)^(U$10-1),0)/100*$A$166</f>
        <v>0</v>
      </c>
      <c r="V171" s="5">
        <f>IF(V$4,Input!$E$212*V$153*V$9*(1+Input!$F$212)^(V$10-1),0)/100*$A$166</f>
        <v>0</v>
      </c>
      <c r="W171" s="5">
        <f>IF(W$4,Input!$E$212*W$153*W$9*(1+Input!$F$212)^(W$10-1),0)/100*$A$166</f>
        <v>0</v>
      </c>
      <c r="X171" s="5">
        <f>IF(X$4,Input!$E$212*X$153*X$9*(1+Input!$F$212)^(X$10-1),0)/100*$A$166</f>
        <v>0</v>
      </c>
      <c r="Y171" s="5">
        <f>IF(Y$4,Input!$E$212*Y$153*Y$9*(1+Input!$F$212)^(Y$10-1),0)/100*$A$166</f>
        <v>0</v>
      </c>
      <c r="Z171" s="5">
        <f>IF(Z$4,Input!$E$212*Z$153*Z$9*(1+Input!$F$212)^(Z$10-1),0)/100*$A$166</f>
        <v>0</v>
      </c>
      <c r="AA171" s="5">
        <f>IF(AA$4,Input!$E$212*AA$153*AA$9*(1+Input!$F$212)^(AA$10-1),0)/100*$A$166</f>
        <v>0</v>
      </c>
      <c r="AB171" s="5">
        <f>IF(AB$4,Input!$E$212*AB$153*AB$9*(1+Input!$F$212)^(AB$10-1),0)/100*$A$166</f>
        <v>0</v>
      </c>
      <c r="AC171" s="5">
        <f>IF(AC$4,Input!$E$212*AC$153*AC$9*(1+Input!$F$212)^(AC$10-1),0)/100*$A$166</f>
        <v>0</v>
      </c>
      <c r="AD171" s="5">
        <f>IF(AD$4,Input!$E$212*AD$153*AD$9*(1+Input!$F$212)^(AD$10-1),0)/100*$A$166</f>
        <v>0</v>
      </c>
      <c r="AE171" s="5">
        <f>IF(AE$4,Input!$E$212*AE$153*AE$9*(1+Input!$F$212)^(AE$10-1),0)/100*$A$166</f>
        <v>0</v>
      </c>
      <c r="AF171" s="5">
        <f>IF(AF$4,Input!$E$212*AF$153*AF$9*(1+Input!$F$212)^(AF$10-1),0)/100*$A$166</f>
        <v>0</v>
      </c>
      <c r="AG171" s="5">
        <f>IF(AG$4,Input!$E$212*AG$153*AG$9*(1+Input!$F$212)^(AG$10-1),0)/100*$A$166</f>
        <v>0</v>
      </c>
      <c r="AH171" s="5">
        <f>IF(AH$4,Input!$E$212*AH$153*AH$9*(1+Input!$F$212)^(AH$10-1),0)/100*$A$166</f>
        <v>0</v>
      </c>
      <c r="AI171" s="5">
        <f>IF(AI$4,Input!$E$212*AI$153*AI$9*(1+Input!$F$212)^(AI$10-1),0)/100*$A$166</f>
        <v>0</v>
      </c>
    </row>
    <row r="172" spans="1:35" x14ac:dyDescent="0.3">
      <c r="A172" s="217"/>
      <c r="B172" s="5" t="s">
        <v>483</v>
      </c>
      <c r="C172" s="368" t="s">
        <v>11</v>
      </c>
      <c r="D172" s="369">
        <f t="shared" si="88"/>
        <v>97.940864663083261</v>
      </c>
      <c r="E172" s="5">
        <f>IF(E$4,Input!$E$213*E$153*E$9*(1+Input!$E$214)^(E$10-1),0)/100*$A$166</f>
        <v>0</v>
      </c>
      <c r="F172" s="5">
        <f>IF(F$4,Input!$E$213*F$153*F$9*(1+Input!$E$214)^(F$10-1),0)/100*$A$166</f>
        <v>1.1877748137321253</v>
      </c>
      <c r="G172" s="5">
        <f>IF(G$4,Input!$E$213*G$153*G$9*(1+Input!$E$214)^(G$10-1),0)/100*$A$166</f>
        <v>2.4718801227284981</v>
      </c>
      <c r="H172" s="5">
        <f>IF(H$4,Input!$E$213*H$153*H$9*(1+Input!$E$214)^(H$10-1),0)/100*$A$166</f>
        <v>2.5650700033553626</v>
      </c>
      <c r="I172" s="5">
        <f>IF(I$4,Input!$E$213*I$153*I$9*(1+Input!$E$214)^(I$10-1),0)/100*$A$166</f>
        <v>2.6617731424818594</v>
      </c>
      <c r="J172" s="5">
        <f>IF(J$4,Input!$E$213*J$153*J$9*(1+Input!$E$214)^(J$10-1),0)/100*$A$166</f>
        <v>2.7621219899534259</v>
      </c>
      <c r="K172" s="5">
        <f>IF(K$4,Input!$E$213*K$153*K$9*(1+Input!$E$214)^(K$10-1),0)/100*$A$166</f>
        <v>2.8662539889746701</v>
      </c>
      <c r="L172" s="5">
        <f>IF(L$4,Input!$E$213*L$153*L$9*(1+Input!$E$214)^(L$10-1),0)/100*$A$166</f>
        <v>2.9743117643590153</v>
      </c>
      <c r="M172" s="5">
        <f>IF(M$4,Input!$E$213*M$153*M$9*(1+Input!$E$214)^(M$10-1),0)/100*$A$166</f>
        <v>3.0864433178753505</v>
      </c>
      <c r="N172" s="5">
        <f>IF(N$4,Input!$E$213*N$153*N$9*(1+Input!$E$214)^(N$10-1),0)/100*$A$166</f>
        <v>3.2028022309592519</v>
      </c>
      <c r="O172" s="5">
        <f>IF(O$4,Input!$E$213*O$153*O$9*(1+Input!$E$214)^(O$10-1),0)/100*$A$166</f>
        <v>3.3235478750664158</v>
      </c>
      <c r="P172" s="5">
        <f>IF(P$4,Input!$E$213*P$153*P$9*(1+Input!$E$214)^(P$10-1),0)/100*$A$166</f>
        <v>3.4488456299564199</v>
      </c>
      <c r="Q172" s="5">
        <f>IF(Q$4,Input!$E$213*Q$153*Q$9*(1+Input!$E$214)^(Q$10-1),0)/100*$A$166</f>
        <v>3.5788671102057772</v>
      </c>
      <c r="R172" s="5">
        <f>IF(R$4,Input!$E$213*R$153*R$9*(1+Input!$E$214)^(R$10-1),0)/100*$A$166</f>
        <v>3.7137904002605349</v>
      </c>
      <c r="S172" s="5">
        <f>IF(S$4,Input!$E$213*S$153*S$9*(1+Input!$E$214)^(S$10-1),0)/100*$A$166</f>
        <v>3.8538002983503579</v>
      </c>
      <c r="T172" s="5">
        <f>IF(T$4,Input!$E$213*T$153*T$9*(1+Input!$E$214)^(T$10-1),0)/100*$A$166</f>
        <v>3.9990885695981659</v>
      </c>
      <c r="U172" s="5">
        <f>IF(U$4,Input!$E$213*U$153*U$9*(1+Input!$E$214)^(U$10-1),0)/100*$A$166</f>
        <v>4.1498542086720178</v>
      </c>
      <c r="V172" s="5">
        <f>IF(V$4,Input!$E$213*V$153*V$9*(1+Input!$E$214)^(V$10-1),0)/100*$A$166</f>
        <v>4.306303712338952</v>
      </c>
      <c r="W172" s="5">
        <f>IF(W$4,Input!$E$213*W$153*W$9*(1+Input!$E$214)^(W$10-1),0)/100*$A$166</f>
        <v>4.4686513622941302</v>
      </c>
      <c r="X172" s="5">
        <f>IF(X$4,Input!$E$213*X$153*X$9*(1+Input!$E$214)^(X$10-1),0)/100*$A$166</f>
        <v>4.6371195186526206</v>
      </c>
      <c r="Y172" s="5">
        <f>IF(Y$4,Input!$E$213*Y$153*Y$9*(1+Input!$E$214)^(Y$10-1),0)/100*$A$166</f>
        <v>4.8119389245058235</v>
      </c>
      <c r="Z172" s="5">
        <f>IF(Z$4,Input!$E$213*Z$153*Z$9*(1+Input!$E$214)^(Z$10-1),0)/100*$A$166</f>
        <v>4.9933490219596948</v>
      </c>
      <c r="AA172" s="5">
        <f>IF(AA$4,Input!$E$213*AA$153*AA$9*(1+Input!$E$214)^(AA$10-1),0)/100*$A$166</f>
        <v>5.1815982800875746</v>
      </c>
      <c r="AB172" s="5">
        <f>IF(AB$4,Input!$E$213*AB$153*AB$9*(1+Input!$E$214)^(AB$10-1),0)/100*$A$166</f>
        <v>5.3769445352468779</v>
      </c>
      <c r="AC172" s="5">
        <f>IF(AC$4,Input!$E$213*AC$153*AC$9*(1+Input!$E$214)^(AC$10-1),0)/100*$A$166</f>
        <v>5.5796553442256842</v>
      </c>
      <c r="AD172" s="5">
        <f>IF(AD$4,Input!$E$213*AD$153*AD$9*(1+Input!$E$214)^(AD$10-1),0)/100*$A$166</f>
        <v>5.7900083507029922</v>
      </c>
      <c r="AE172" s="5">
        <f>IF(AE$4,Input!$E$213*AE$153*AE$9*(1+Input!$E$214)^(AE$10-1),0)/100*$A$166</f>
        <v>2.9490701465396696</v>
      </c>
      <c r="AF172" s="5">
        <f>IF(AF$4,Input!$E$213*AF$153*AF$9*(1+Input!$E$214)^(AF$10-1),0)/100*$A$166</f>
        <v>0</v>
      </c>
      <c r="AG172" s="5">
        <f>IF(AG$4,Input!$E$213*AG$153*AG$9*(1+Input!$E$214)^(AG$10-1),0)/100*$A$166</f>
        <v>0</v>
      </c>
      <c r="AH172" s="5">
        <f>IF(AH$4,Input!$E$213*AH$153*AH$9*(1+Input!$E$214)^(AH$10-1),0)/100*$A$166</f>
        <v>0</v>
      </c>
      <c r="AI172" s="5">
        <f>IF(AI$4,Input!$E$213*AI$153*AI$9*(1+Input!$E$214)^(AI$10-1),0)/100*$A$166</f>
        <v>0</v>
      </c>
    </row>
    <row r="173" spans="1:35" x14ac:dyDescent="0.3">
      <c r="A173" s="217"/>
      <c r="B173" s="217" t="s">
        <v>480</v>
      </c>
      <c r="C173" s="370" t="s">
        <v>11</v>
      </c>
      <c r="D173" s="371">
        <f t="shared" si="88"/>
        <v>97.940864663083261</v>
      </c>
      <c r="E173" s="5">
        <f t="shared" ref="E173:AI173" si="89">SUM(E167:E172)</f>
        <v>0</v>
      </c>
      <c r="F173" s="5">
        <f t="shared" si="89"/>
        <v>1.1877748137321253</v>
      </c>
      <c r="G173" s="5">
        <f t="shared" si="89"/>
        <v>2.4718801227284981</v>
      </c>
      <c r="H173" s="5">
        <f t="shared" si="89"/>
        <v>2.5650700033553626</v>
      </c>
      <c r="I173" s="5">
        <f t="shared" si="89"/>
        <v>2.6617731424818594</v>
      </c>
      <c r="J173" s="5">
        <f t="shared" si="89"/>
        <v>2.7621219899534259</v>
      </c>
      <c r="K173" s="5">
        <f t="shared" si="89"/>
        <v>2.8662539889746701</v>
      </c>
      <c r="L173" s="5">
        <f t="shared" si="89"/>
        <v>2.9743117643590153</v>
      </c>
      <c r="M173" s="5">
        <f t="shared" si="89"/>
        <v>3.0864433178753505</v>
      </c>
      <c r="N173" s="5">
        <f t="shared" si="89"/>
        <v>3.2028022309592519</v>
      </c>
      <c r="O173" s="5">
        <f t="shared" si="89"/>
        <v>3.3235478750664158</v>
      </c>
      <c r="P173" s="5">
        <f t="shared" si="89"/>
        <v>3.4488456299564199</v>
      </c>
      <c r="Q173" s="5">
        <f t="shared" si="89"/>
        <v>3.5788671102057772</v>
      </c>
      <c r="R173" s="5">
        <f t="shared" si="89"/>
        <v>3.7137904002605349</v>
      </c>
      <c r="S173" s="5">
        <f t="shared" si="89"/>
        <v>3.8538002983503579</v>
      </c>
      <c r="T173" s="5">
        <f t="shared" si="89"/>
        <v>3.9990885695981659</v>
      </c>
      <c r="U173" s="5">
        <f t="shared" si="89"/>
        <v>4.1498542086720178</v>
      </c>
      <c r="V173" s="5">
        <f t="shared" si="89"/>
        <v>4.306303712338952</v>
      </c>
      <c r="W173" s="5">
        <f t="shared" si="89"/>
        <v>4.4686513622941302</v>
      </c>
      <c r="X173" s="5">
        <f t="shared" si="89"/>
        <v>4.6371195186526206</v>
      </c>
      <c r="Y173" s="5">
        <f t="shared" si="89"/>
        <v>4.8119389245058235</v>
      </c>
      <c r="Z173" s="5">
        <f t="shared" si="89"/>
        <v>4.9933490219596948</v>
      </c>
      <c r="AA173" s="5">
        <f t="shared" si="89"/>
        <v>5.1815982800875746</v>
      </c>
      <c r="AB173" s="5">
        <f t="shared" si="89"/>
        <v>5.3769445352468779</v>
      </c>
      <c r="AC173" s="5">
        <f t="shared" si="89"/>
        <v>5.5796553442256842</v>
      </c>
      <c r="AD173" s="5">
        <f t="shared" si="89"/>
        <v>5.7900083507029922</v>
      </c>
      <c r="AE173" s="5">
        <f t="shared" si="89"/>
        <v>2.9490701465396696</v>
      </c>
      <c r="AF173" s="5">
        <f t="shared" si="89"/>
        <v>0</v>
      </c>
      <c r="AG173" s="5">
        <f t="shared" si="89"/>
        <v>0</v>
      </c>
      <c r="AH173" s="5">
        <f t="shared" si="89"/>
        <v>0</v>
      </c>
      <c r="AI173" s="5">
        <f t="shared" si="89"/>
        <v>0</v>
      </c>
    </row>
    <row r="174" spans="1:35" x14ac:dyDescent="0.3">
      <c r="A174" s="217"/>
      <c r="B174" s="217"/>
      <c r="C174" s="217"/>
      <c r="D174" s="217"/>
      <c r="E174" s="217"/>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row>
    <row r="175" spans="1:35" x14ac:dyDescent="0.3">
      <c r="A175" s="217"/>
      <c r="B175" s="217" t="s">
        <v>481</v>
      </c>
      <c r="C175" s="198" t="s">
        <v>11</v>
      </c>
      <c r="D175" s="372">
        <f t="shared" si="88"/>
        <v>664.56352581656017</v>
      </c>
      <c r="E175" s="217">
        <f t="shared" ref="E175:AI175" si="90">E165+E173</f>
        <v>0</v>
      </c>
      <c r="F175" s="217">
        <f t="shared" si="90"/>
        <v>6.7603461119239059</v>
      </c>
      <c r="G175" s="217">
        <f t="shared" si="90"/>
        <v>14.234368701528499</v>
      </c>
      <c r="H175" s="217">
        <f t="shared" si="90"/>
        <v>14.945089232542362</v>
      </c>
      <c r="I175" s="217">
        <f t="shared" si="90"/>
        <v>15.691743381201174</v>
      </c>
      <c r="J175" s="217">
        <f t="shared" si="90"/>
        <v>16.476165666205507</v>
      </c>
      <c r="K175" s="217">
        <f t="shared" si="90"/>
        <v>17.300284958229984</v>
      </c>
      <c r="L175" s="217">
        <f t="shared" si="90"/>
        <v>18.166129359500236</v>
      </c>
      <c r="M175" s="217">
        <f t="shared" si="90"/>
        <v>19.075831336761482</v>
      </c>
      <c r="N175" s="217">
        <f t="shared" si="90"/>
        <v>20.031633120836908</v>
      </c>
      <c r="O175" s="217">
        <f t="shared" si="90"/>
        <v>21.035892386662649</v>
      </c>
      <c r="P175" s="217">
        <f t="shared" si="90"/>
        <v>22.091088228411451</v>
      </c>
      <c r="Q175" s="217">
        <f t="shared" si="90"/>
        <v>23.199827445079698</v>
      </c>
      <c r="R175" s="217">
        <f t="shared" si="90"/>
        <v>24.364851152715335</v>
      </c>
      <c r="S175" s="217">
        <f t="shared" si="90"/>
        <v>25.589041740309035</v>
      </c>
      <c r="T175" s="217">
        <f t="shared" si="90"/>
        <v>26.875430187259674</v>
      </c>
      <c r="U175" s="217">
        <f t="shared" si="90"/>
        <v>28.227203761260757</v>
      </c>
      <c r="V175" s="217">
        <f t="shared" si="90"/>
        <v>29.6477141164386</v>
      </c>
      <c r="W175" s="217">
        <f t="shared" si="90"/>
        <v>31.140485812609008</v>
      </c>
      <c r="X175" s="217">
        <f t="shared" si="90"/>
        <v>32.709225277609029</v>
      </c>
      <c r="Y175" s="217">
        <f t="shared" si="90"/>
        <v>34.357830235807441</v>
      </c>
      <c r="Z175" s="217">
        <f t="shared" si="90"/>
        <v>36.090399627104645</v>
      </c>
      <c r="AA175" s="217">
        <f t="shared" si="90"/>
        <v>37.911244042002643</v>
      </c>
      <c r="AB175" s="217">
        <f t="shared" si="90"/>
        <v>39.824896699662482</v>
      </c>
      <c r="AC175" s="217">
        <f t="shared" si="90"/>
        <v>41.83612499727311</v>
      </c>
      <c r="AD175" s="217">
        <f t="shared" si="90"/>
        <v>43.949942660535406</v>
      </c>
      <c r="AE175" s="217">
        <f t="shared" si="90"/>
        <v>23.030735577088976</v>
      </c>
      <c r="AF175" s="217">
        <f t="shared" si="90"/>
        <v>0</v>
      </c>
      <c r="AG175" s="217">
        <f t="shared" si="90"/>
        <v>0</v>
      </c>
      <c r="AH175" s="217">
        <f t="shared" si="90"/>
        <v>0</v>
      </c>
      <c r="AI175" s="217">
        <f t="shared" si="90"/>
        <v>0</v>
      </c>
    </row>
    <row r="176" spans="1:35" x14ac:dyDescent="0.3">
      <c r="A176" s="217"/>
      <c r="B176" s="5"/>
      <c r="C176" s="198"/>
      <c r="D176" s="205"/>
      <c r="E176" s="5"/>
      <c r="F176" s="203"/>
      <c r="G176" s="203"/>
      <c r="H176" s="203"/>
      <c r="I176" s="203"/>
      <c r="J176" s="203"/>
      <c r="K176" s="203"/>
      <c r="L176" s="203"/>
      <c r="M176" s="203"/>
      <c r="N176" s="203"/>
      <c r="O176" s="203"/>
      <c r="P176" s="203"/>
      <c r="Q176" s="203"/>
      <c r="R176" s="203"/>
      <c r="S176" s="203"/>
      <c r="T176" s="203"/>
      <c r="U176" s="203"/>
      <c r="V176" s="203"/>
      <c r="W176" s="203"/>
      <c r="X176" s="203"/>
      <c r="Y176" s="203"/>
      <c r="Z176" s="203"/>
      <c r="AA176" s="203"/>
      <c r="AB176" s="203"/>
      <c r="AC176" s="203"/>
      <c r="AD176" s="203"/>
      <c r="AE176" s="203"/>
      <c r="AF176" s="203"/>
      <c r="AG176" s="203"/>
      <c r="AH176" s="203"/>
      <c r="AI176" s="203"/>
    </row>
    <row r="177" spans="1:35" x14ac:dyDescent="0.3">
      <c r="A177" s="210" t="s">
        <v>150</v>
      </c>
      <c r="B177" s="178"/>
      <c r="C177" s="195"/>
      <c r="D177" s="211"/>
      <c r="E177" s="212"/>
      <c r="F177" s="212"/>
      <c r="G177" s="212"/>
      <c r="H177" s="212"/>
      <c r="I177" s="212"/>
      <c r="J177" s="212"/>
      <c r="K177" s="212"/>
      <c r="L177" s="212"/>
      <c r="M177" s="212"/>
      <c r="N177" s="212"/>
      <c r="O177" s="212"/>
      <c r="P177" s="212"/>
      <c r="Q177" s="212"/>
      <c r="R177" s="212"/>
      <c r="S177" s="212"/>
      <c r="T177" s="212"/>
      <c r="U177" s="211"/>
      <c r="V177" s="211"/>
      <c r="W177" s="211"/>
      <c r="X177" s="211"/>
      <c r="Y177" s="211"/>
      <c r="Z177" s="211"/>
      <c r="AA177" s="211"/>
      <c r="AB177" s="211"/>
      <c r="AC177" s="211"/>
      <c r="AD177" s="211"/>
      <c r="AE177" s="211"/>
      <c r="AF177" s="211"/>
      <c r="AG177" s="211"/>
      <c r="AH177" s="211"/>
      <c r="AI177" s="211"/>
    </row>
    <row r="178" spans="1:35" x14ac:dyDescent="0.3">
      <c r="A178" s="680"/>
      <c r="B178" s="8" t="s">
        <v>37</v>
      </c>
      <c r="C178" s="202" t="s">
        <v>11</v>
      </c>
      <c r="D178" s="228"/>
      <c r="E178" s="8">
        <f>IF(E$9,E162*Input!$E216/12/E$9,0)</f>
        <v>0</v>
      </c>
      <c r="F178" s="8">
        <f ca="1">IF(F$9,F162*Input!$E216/12/F$9,0)</f>
        <v>22.51543701321814</v>
      </c>
      <c r="G178" s="8">
        <f ca="1">IF(G$9,G162*Input!$E216/12/G$9,0)</f>
        <v>22.163966676702199</v>
      </c>
      <c r="H178" s="8">
        <f ca="1">IF(H$9,H162*Input!$E216/12/H$9,0)</f>
        <v>21.886917093243422</v>
      </c>
      <c r="I178" s="8">
        <f ca="1">IF(I$9,I162*Input!$E216/12/I$9,0)</f>
        <v>21.613330629577877</v>
      </c>
      <c r="J178" s="8">
        <f ca="1">IF(J$9,J162*Input!$E216/12/J$9,0)</f>
        <v>21.34316399670816</v>
      </c>
      <c r="K178" s="8">
        <f ca="1">IF(K$9,K162*Input!$E216/12/K$9,0)</f>
        <v>21.076374446749309</v>
      </c>
      <c r="L178" s="8">
        <f ca="1">IF(L$9,L162*Input!$E216/12/L$9,0)</f>
        <v>20.812919766164942</v>
      </c>
      <c r="M178" s="8">
        <f ca="1">IF(M$9,M162*Input!$E216/12/M$9,0)</f>
        <v>20.552758269087882</v>
      </c>
      <c r="N178" s="8">
        <f ca="1">IF(N$9,N162*Input!$E216/12/N$9,0)</f>
        <v>20.295848790724285</v>
      </c>
      <c r="O178" s="8">
        <f ca="1">IF(O$9,O162*Input!$E216/12/O$9,0)</f>
        <v>20.04215068084023</v>
      </c>
      <c r="P178" s="8">
        <f ca="1">IF(P$9,P162*Input!$E216/12/P$9,0)</f>
        <v>19.791623797329727</v>
      </c>
      <c r="Q178" s="8">
        <f ca="1">IF(Q$9,Q162*Input!$E216/12/Q$9,0)</f>
        <v>19.54422849986311</v>
      </c>
      <c r="R178" s="8">
        <f ca="1">IF(R$9,R162*Input!$E216/12/R$9,0)</f>
        <v>19.29992564361482</v>
      </c>
      <c r="S178" s="8">
        <f ca="1">IF(S$9,S162*Input!$E216/12/S$9,0)</f>
        <v>19.05867657306964</v>
      </c>
      <c r="T178" s="8">
        <f ca="1">IF(T$9,T162*Input!$E216/12/T$9,0)</f>
        <v>18.820443115906265</v>
      </c>
      <c r="U178" s="8">
        <f ca="1">IF(U$9,U162*Input!$E216/12/U$9,0)</f>
        <v>18.585187576957441</v>
      </c>
      <c r="V178" s="8">
        <f ca="1">IF(V$9,V162*Input!$E216/12/V$9,0)</f>
        <v>18.352872732245473</v>
      </c>
      <c r="W178" s="8">
        <f ca="1">IF(W$9,W162*Input!$E216/12/W$9,0)</f>
        <v>18.123461823092406</v>
      </c>
      <c r="X178" s="8">
        <f ca="1">IF(X$9,X162*Input!$E216/12/X$9,0)</f>
        <v>17.896918550303749</v>
      </c>
      <c r="Y178" s="8">
        <f ca="1">IF(Y$9,Y162*Input!$E216/12/Y$9,0)</f>
        <v>17.673207068424951</v>
      </c>
      <c r="Z178" s="8">
        <f ca="1">IF(Z$9,Z162*Input!$E216/12/Z$9,0)</f>
        <v>17.452291980069642</v>
      </c>
      <c r="AA178" s="8">
        <f ca="1">IF(AA$9,AA162*Input!$E216/12/AA$9,0)</f>
        <v>17.234138330318775</v>
      </c>
      <c r="AB178" s="8">
        <f ca="1">IF(AB$9,AB162*Input!$E216/12/AB$9,0)</f>
        <v>17.018711601189789</v>
      </c>
      <c r="AC178" s="8">
        <f ca="1">IF(AC$9,AC162*Input!$E216/12/AC$9,0)</f>
        <v>16.805977706174922</v>
      </c>
      <c r="AD178" s="8">
        <f ca="1">IF(AD$9,AD162*Input!$E216/12/AD$9,0)</f>
        <v>16.595902984847733</v>
      </c>
      <c r="AE178" s="8">
        <f ca="1">IF(AE$9,AE162*Input!$E216/12/AE$9,0)</f>
        <v>19.309304009640201</v>
      </c>
      <c r="AF178" s="8">
        <f>IF(AF$9,AF162*Input!$E216/12/AF$9,0)</f>
        <v>0</v>
      </c>
      <c r="AG178" s="8">
        <f>IF(AG$9,AG162*Input!$E216/12/AG$9,0)</f>
        <v>0</v>
      </c>
      <c r="AH178" s="8">
        <f>IF(AH$9,AH162*Input!$E216/12/AH$9,0)</f>
        <v>0</v>
      </c>
      <c r="AI178" s="8">
        <f>IF(AI$9,AI162*Input!$E216/12/AI$9,0)</f>
        <v>0</v>
      </c>
    </row>
    <row r="179" spans="1:35" x14ac:dyDescent="0.3">
      <c r="A179" s="680"/>
      <c r="B179" s="8" t="s">
        <v>23</v>
      </c>
      <c r="C179" s="202" t="s">
        <v>11</v>
      </c>
      <c r="D179" s="228"/>
      <c r="E179" s="680">
        <f>IF(E$9,E175*Input!$E217/12/E$9,0)</f>
        <v>0</v>
      </c>
      <c r="F179" s="680">
        <f>IF(F$9,F175*Input!$E217/12/F$9,0)</f>
        <v>1.1298197485587114</v>
      </c>
      <c r="G179" s="680">
        <f>IF(G$9,G175*Input!$E217/12/G$9,0)</f>
        <v>1.1861973917940416</v>
      </c>
      <c r="H179" s="680">
        <f>IF(H$9,H175*Input!$E217/12/H$9,0)</f>
        <v>1.2454241027118635</v>
      </c>
      <c r="I179" s="680">
        <f>IF(I$9,I175*Input!$E217/12/I$9,0)</f>
        <v>1.3076452817667645</v>
      </c>
      <c r="J179" s="680">
        <f>IF(J$9,J175*Input!$E217/12/J$9,0)</f>
        <v>1.3730138055171255</v>
      </c>
      <c r="K179" s="680">
        <f>IF(K$9,K175*Input!$E217/12/K$9,0)</f>
        <v>1.4416904131858319</v>
      </c>
      <c r="L179" s="680">
        <f>IF(L$9,L175*Input!$E217/12/L$9,0)</f>
        <v>1.5138441132916862</v>
      </c>
      <c r="M179" s="680">
        <f>IF(M$9,M175*Input!$E217/12/M$9,0)</f>
        <v>1.5896526113967901</v>
      </c>
      <c r="N179" s="680">
        <f>IF(N$9,N175*Input!$E217/12/N$9,0)</f>
        <v>1.6693027600697423</v>
      </c>
      <c r="O179" s="680">
        <f>IF(O$9,O175*Input!$E217/12/O$9,0)</f>
        <v>1.7529910322218873</v>
      </c>
      <c r="P179" s="680">
        <f>IF(P$9,P175*Input!$E217/12/P$9,0)</f>
        <v>1.8409240190342875</v>
      </c>
      <c r="Q179" s="680">
        <f>IF(Q$9,Q175*Input!$E217/12/Q$9,0)</f>
        <v>1.9333189537566415</v>
      </c>
      <c r="R179" s="680">
        <f>IF(R$9,R175*Input!$E217/12/R$9,0)</f>
        <v>2.0304042627262779</v>
      </c>
      <c r="S179" s="680">
        <f>IF(S$9,S175*Input!$E217/12/S$9,0)</f>
        <v>2.1324201450257529</v>
      </c>
      <c r="T179" s="680">
        <f>IF(T$9,T175*Input!$E217/12/T$9,0)</f>
        <v>2.2396191822716394</v>
      </c>
      <c r="U179" s="680">
        <f>IF(U$9,U175*Input!$E217/12/U$9,0)</f>
        <v>2.3522669801050631</v>
      </c>
      <c r="V179" s="680">
        <f>IF(V$9,V175*Input!$E217/12/V$9,0)</f>
        <v>2.4706428430365501</v>
      </c>
      <c r="W179" s="680">
        <f>IF(W$9,W175*Input!$E217/12/W$9,0)</f>
        <v>2.595040484384084</v>
      </c>
      <c r="X179" s="680">
        <f>IF(X$9,X175*Input!$E217/12/X$9,0)</f>
        <v>2.7257687731340856</v>
      </c>
      <c r="Y179" s="680">
        <f>IF(Y$9,Y175*Input!$E217/12/Y$9,0)</f>
        <v>2.8631525196506202</v>
      </c>
      <c r="Z179" s="680">
        <f>IF(Z$9,Z175*Input!$E217/12/Z$9,0)</f>
        <v>3.0075333022587203</v>
      </c>
      <c r="AA179" s="680">
        <f>IF(AA$9,AA175*Input!$E217/12/AA$9,0)</f>
        <v>3.1592703368335537</v>
      </c>
      <c r="AB179" s="680">
        <f>IF(AB$9,AB175*Input!$E217/12/AB$9,0)</f>
        <v>3.31874139163854</v>
      </c>
      <c r="AC179" s="680">
        <f>IF(AC$9,AC175*Input!$E217/12/AC$9,0)</f>
        <v>3.4863437497727592</v>
      </c>
      <c r="AD179" s="680">
        <f>IF(AD$9,AD175*Input!$E217/12/AD$9,0)</f>
        <v>3.6624952217112838</v>
      </c>
      <c r="AE179" s="680">
        <f>IF(AE$9,AE175*Input!$E217/12/AE$9,0)</f>
        <v>3.8384559295148293</v>
      </c>
      <c r="AF179" s="680">
        <f>IF(AF$9,AF175*Input!$E217/12/AF$9,0)</f>
        <v>0</v>
      </c>
      <c r="AG179" s="680">
        <f>IF(AG$9,AG175*Input!$E217/12/AG$9,0)</f>
        <v>0</v>
      </c>
      <c r="AH179" s="680">
        <f>IF(AH$9,AH175*Input!$E217/12/AH$9,0)</f>
        <v>0</v>
      </c>
      <c r="AI179" s="680">
        <f>IF(AI$9,AI175*Input!$E217/12/AI$9,0)</f>
        <v>0</v>
      </c>
    </row>
    <row r="180" spans="1:35" x14ac:dyDescent="0.3">
      <c r="A180" s="680"/>
      <c r="B180" s="8" t="s">
        <v>35</v>
      </c>
      <c r="C180" s="202" t="s">
        <v>11</v>
      </c>
      <c r="D180" s="228"/>
      <c r="E180" s="680">
        <f>IF(E$9,E175*Input!$E218/E$9,0)</f>
        <v>0</v>
      </c>
      <c r="F180" s="680">
        <f>IF(F$9,F175*Input!$E218/F$9,0)</f>
        <v>2.03367554740568</v>
      </c>
      <c r="G180" s="680">
        <f>IF(G$9,G175*Input!$E218/G$9,0)</f>
        <v>2.1351553052292749</v>
      </c>
      <c r="H180" s="680">
        <f>IF(H$9,H175*Input!$E218/H$9,0)</f>
        <v>2.2417633848813541</v>
      </c>
      <c r="I180" s="680">
        <f>IF(I$9,I175*Input!$E218/I$9,0)</f>
        <v>2.3537615071801761</v>
      </c>
      <c r="J180" s="680">
        <f>IF(J$9,J175*Input!$E218/J$9,0)</f>
        <v>2.471424849930826</v>
      </c>
      <c r="K180" s="680">
        <f>IF(K$9,K175*Input!$E218/K$9,0)</f>
        <v>2.5950427437344974</v>
      </c>
      <c r="L180" s="680">
        <f>IF(L$9,L175*Input!$E218/L$9,0)</f>
        <v>2.7249194039250351</v>
      </c>
      <c r="M180" s="680">
        <f>IF(M$9,M175*Input!$E218/M$9,0)</f>
        <v>2.8613747005142223</v>
      </c>
      <c r="N180" s="680">
        <f>IF(N$9,N175*Input!$E218/N$9,0)</f>
        <v>3.0047449681255363</v>
      </c>
      <c r="O180" s="680">
        <f>IF(O$9,O175*Input!$E218/O$9,0)</f>
        <v>3.1553838579993974</v>
      </c>
      <c r="P180" s="680">
        <f>IF(P$9,P175*Input!$E218/P$9,0)</f>
        <v>3.3136632342617176</v>
      </c>
      <c r="Q180" s="680">
        <f>IF(Q$9,Q175*Input!$E218/Q$9,0)</f>
        <v>3.4799741167619547</v>
      </c>
      <c r="R180" s="680">
        <f>IF(R$9,R175*Input!$E218/R$9,0)</f>
        <v>3.6547276729072999</v>
      </c>
      <c r="S180" s="680">
        <f>IF(S$9,S175*Input!$E218/S$9,0)</f>
        <v>3.8383562610463553</v>
      </c>
      <c r="T180" s="680">
        <f>IF(T$9,T175*Input!$E218/T$9,0)</f>
        <v>4.0313145280889513</v>
      </c>
      <c r="U180" s="680">
        <f>IF(U$9,U175*Input!$E218/U$9,0)</f>
        <v>4.2340805641891137</v>
      </c>
      <c r="V180" s="680">
        <f>IF(V$9,V175*Input!$E218/V$9,0)</f>
        <v>4.4471571174657898</v>
      </c>
      <c r="W180" s="680">
        <f>IF(W$9,W175*Input!$E218/W$9,0)</f>
        <v>4.6710728718913508</v>
      </c>
      <c r="X180" s="680">
        <f>IF(X$9,X175*Input!$E218/X$9,0)</f>
        <v>4.9063837916413542</v>
      </c>
      <c r="Y180" s="680">
        <f>IF(Y$9,Y175*Input!$E218/Y$9,0)</f>
        <v>5.153674535371116</v>
      </c>
      <c r="Z180" s="680">
        <f>IF(Z$9,Z175*Input!$E218/Z$9,0)</f>
        <v>5.413559944065697</v>
      </c>
      <c r="AA180" s="680">
        <f>IF(AA$9,AA175*Input!$E218/AA$9,0)</f>
        <v>5.6866866063003965</v>
      </c>
      <c r="AB180" s="680">
        <f>IF(AB$9,AB175*Input!$E218/AB$9,0)</f>
        <v>5.9737345049493724</v>
      </c>
      <c r="AC180" s="680">
        <f>IF(AC$9,AC175*Input!$E218/AC$9,0)</f>
        <v>6.2754187495909663</v>
      </c>
      <c r="AD180" s="680">
        <f>IF(AD$9,AD175*Input!$E218/AD$9,0)</f>
        <v>6.5924913990803109</v>
      </c>
      <c r="AE180" s="680">
        <f>IF(AE$9,AE175*Input!$E218/AE$9,0)</f>
        <v>6.9092206731266925</v>
      </c>
      <c r="AF180" s="680">
        <f>IF(AF$9,AF175*Input!$E218/AF$9,0)</f>
        <v>0</v>
      </c>
      <c r="AG180" s="680">
        <f>IF(AG$9,AG175*Input!$E218/AG$9,0)</f>
        <v>0</v>
      </c>
      <c r="AH180" s="680">
        <f>IF(AH$9,AH175*Input!$E218/AH$9,0)</f>
        <v>0</v>
      </c>
      <c r="AI180" s="680">
        <f>IF(AI$9,AI175*Input!$E218/AI$9,0)</f>
        <v>0</v>
      </c>
    </row>
    <row r="181" spans="1:35" x14ac:dyDescent="0.3">
      <c r="A181" s="8"/>
      <c r="B181" s="8" t="s">
        <v>10</v>
      </c>
      <c r="C181" s="202" t="s">
        <v>11</v>
      </c>
      <c r="E181" s="81">
        <f t="shared" ref="E181" si="91">SUM(E178:E180)</f>
        <v>0</v>
      </c>
      <c r="F181" s="81">
        <f t="shared" ref="F181:AI181" ca="1" si="92">SUM(F178:F180)</f>
        <v>25.678932309182528</v>
      </c>
      <c r="G181" s="81">
        <f t="shared" ca="1" si="92"/>
        <v>25.485319373725517</v>
      </c>
      <c r="H181" s="81">
        <f t="shared" ca="1" si="92"/>
        <v>25.374104580836637</v>
      </c>
      <c r="I181" s="81">
        <f t="shared" ca="1" si="92"/>
        <v>25.274737418524818</v>
      </c>
      <c r="J181" s="81">
        <f t="shared" ca="1" si="92"/>
        <v>25.187602652156112</v>
      </c>
      <c r="K181" s="81">
        <f t="shared" ca="1" si="92"/>
        <v>25.11310760366964</v>
      </c>
      <c r="L181" s="81">
        <f t="shared" ca="1" si="92"/>
        <v>25.051683283381664</v>
      </c>
      <c r="M181" s="81">
        <f t="shared" ca="1" si="92"/>
        <v>25.003785580998894</v>
      </c>
      <c r="N181" s="81">
        <f t="shared" ca="1" si="92"/>
        <v>24.969896518919562</v>
      </c>
      <c r="O181" s="81">
        <f t="shared" ca="1" si="92"/>
        <v>24.950525571061515</v>
      </c>
      <c r="P181" s="81">
        <f t="shared" ca="1" si="92"/>
        <v>24.946211050625731</v>
      </c>
      <c r="Q181" s="81">
        <f t="shared" ca="1" si="92"/>
        <v>24.957521570381704</v>
      </c>
      <c r="R181" s="81">
        <f t="shared" ca="1" si="92"/>
        <v>24.985057579248398</v>
      </c>
      <c r="S181" s="81">
        <f t="shared" ca="1" si="92"/>
        <v>25.029452979141752</v>
      </c>
      <c r="T181" s="81">
        <f t="shared" ca="1" si="92"/>
        <v>25.091376826266856</v>
      </c>
      <c r="U181" s="81">
        <f t="shared" ca="1" si="92"/>
        <v>25.171535121251619</v>
      </c>
      <c r="V181" s="81">
        <f t="shared" ca="1" si="92"/>
        <v>25.270672692747812</v>
      </c>
      <c r="W181" s="81">
        <f t="shared" ca="1" si="92"/>
        <v>25.389575179367842</v>
      </c>
      <c r="X181" s="81">
        <f t="shared" ca="1" si="92"/>
        <v>25.529071115079187</v>
      </c>
      <c r="Y181" s="81">
        <f t="shared" ca="1" si="92"/>
        <v>25.690034123446686</v>
      </c>
      <c r="Z181" s="81">
        <f t="shared" ca="1" si="92"/>
        <v>25.87338522639406</v>
      </c>
      <c r="AA181" s="81">
        <f t="shared" ca="1" si="92"/>
        <v>26.080095273452727</v>
      </c>
      <c r="AB181" s="81">
        <f t="shared" ca="1" si="92"/>
        <v>26.311187497777702</v>
      </c>
      <c r="AC181" s="81">
        <f t="shared" ca="1" si="92"/>
        <v>26.567740205538644</v>
      </c>
      <c r="AD181" s="81">
        <f t="shared" ca="1" si="92"/>
        <v>26.850889605639324</v>
      </c>
      <c r="AE181" s="81">
        <f t="shared" ca="1" si="92"/>
        <v>30.056980612281723</v>
      </c>
      <c r="AF181" s="81">
        <f t="shared" si="92"/>
        <v>0</v>
      </c>
      <c r="AG181" s="81">
        <f t="shared" si="92"/>
        <v>0</v>
      </c>
      <c r="AH181" s="81">
        <f t="shared" si="92"/>
        <v>0</v>
      </c>
      <c r="AI181" s="81">
        <f t="shared" si="92"/>
        <v>0</v>
      </c>
    </row>
    <row r="182" spans="1:35" x14ac:dyDescent="0.3">
      <c r="A182" s="8"/>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row>
    <row r="183" spans="1:35" x14ac:dyDescent="0.3">
      <c r="A183" s="217"/>
      <c r="B183" s="5" t="s">
        <v>151</v>
      </c>
      <c r="C183" s="198" t="s">
        <v>11</v>
      </c>
      <c r="D183" s="64"/>
      <c r="E183" s="5">
        <f>MAX((1-Input!$E$221)*E$181,0)</f>
        <v>0</v>
      </c>
      <c r="F183" s="5">
        <f ca="1">MAX((1-Input!$E$221)*F$181,0)</f>
        <v>19.259199231886896</v>
      </c>
      <c r="G183" s="5">
        <f ca="1">MAX((1-Input!$E$221)*G$181,0)</f>
        <v>19.113989530294138</v>
      </c>
      <c r="H183" s="5">
        <f ca="1">MAX((1-Input!$E$221)*H$181,0)</f>
        <v>19.030578435627476</v>
      </c>
      <c r="I183" s="5">
        <f ca="1">MAX((1-Input!$E$221)*I$181,0)</f>
        <v>18.956053063893613</v>
      </c>
      <c r="J183" s="5">
        <f ca="1">MAX((1-Input!$E$221)*J$181,0)</f>
        <v>18.890701989117083</v>
      </c>
      <c r="K183" s="5">
        <f ca="1">MAX((1-Input!$E$221)*K$181,0)</f>
        <v>18.834830702752228</v>
      </c>
      <c r="L183" s="5">
        <f ca="1">MAX((1-Input!$E$221)*L$181,0)</f>
        <v>18.788762462536248</v>
      </c>
      <c r="M183" s="5">
        <f ca="1">MAX((1-Input!$E$221)*M$181,0)</f>
        <v>18.752839185749171</v>
      </c>
      <c r="N183" s="5">
        <f ca="1">MAX((1-Input!$E$221)*N$181,0)</f>
        <v>18.72742238918967</v>
      </c>
      <c r="O183" s="5">
        <f ca="1">MAX((1-Input!$E$221)*O$181,0)</f>
        <v>18.712894178296136</v>
      </c>
      <c r="P183" s="5">
        <f ca="1">MAX((1-Input!$E$221)*P$181,0)</f>
        <v>18.709658287969297</v>
      </c>
      <c r="Q183" s="5">
        <f ca="1">MAX((1-Input!$E$221)*Q$181,0)</f>
        <v>18.718141177786279</v>
      </c>
      <c r="R183" s="5">
        <f ca="1">MAX((1-Input!$E$221)*R$181,0)</f>
        <v>18.738793184436297</v>
      </c>
      <c r="S183" s="5">
        <f ca="1">MAX((1-Input!$E$221)*S$181,0)</f>
        <v>18.772089734356314</v>
      </c>
      <c r="T183" s="5">
        <f ca="1">MAX((1-Input!$E$221)*T$181,0)</f>
        <v>18.818532619700143</v>
      </c>
      <c r="U183" s="5">
        <f ca="1">MAX((1-Input!$E$221)*U$181,0)</f>
        <v>18.878651340938713</v>
      </c>
      <c r="V183" s="5">
        <f ca="1">MAX((1-Input!$E$221)*V$181,0)</f>
        <v>18.95300451956086</v>
      </c>
      <c r="W183" s="5">
        <f ca="1">MAX((1-Input!$E$221)*W$181,0)</f>
        <v>19.042181384525882</v>
      </c>
      <c r="X183" s="5">
        <f ca="1">MAX((1-Input!$E$221)*X$181,0)</f>
        <v>19.146803336309389</v>
      </c>
      <c r="Y183" s="5">
        <f ca="1">MAX((1-Input!$E$221)*Y$181,0)</f>
        <v>19.267525592585017</v>
      </c>
      <c r="Z183" s="5">
        <f ca="1">MAX((1-Input!$E$221)*Z$181,0)</f>
        <v>19.405038919795544</v>
      </c>
      <c r="AA183" s="5">
        <f ca="1">MAX((1-Input!$E$221)*AA$181,0)</f>
        <v>19.560071455089545</v>
      </c>
      <c r="AB183" s="5">
        <f ca="1">MAX((1-Input!$E$221)*AB$181,0)</f>
        <v>19.733390623333278</v>
      </c>
      <c r="AC183" s="5">
        <f ca="1">MAX((1-Input!$E$221)*AC$181,0)</f>
        <v>19.925805154153984</v>
      </c>
      <c r="AD183" s="5">
        <f ca="1">MAX((1-Input!$E$221)*AD$181,0)</f>
        <v>20.138167204229493</v>
      </c>
      <c r="AE183" s="5">
        <f ca="1">MAX((1-Input!$E$221)*AE$181,0)</f>
        <v>22.542735459211293</v>
      </c>
      <c r="AF183" s="5">
        <f>MAX((1-Input!$E$221)*AF$181,0)</f>
        <v>0</v>
      </c>
      <c r="AG183" s="5">
        <f>MAX((1-Input!$E$221)*AG$181,0)</f>
        <v>0</v>
      </c>
      <c r="AH183" s="5">
        <f>MAX((1-Input!$E$221)*AH$181,0)</f>
        <v>0</v>
      </c>
      <c r="AI183" s="5">
        <f>MAX((1-Input!$E$221)*AI$181,0)</f>
        <v>0</v>
      </c>
    </row>
    <row r="184" spans="1:35" x14ac:dyDescent="0.3">
      <c r="A184" s="8"/>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row>
    <row r="185" spans="1:35" x14ac:dyDescent="0.3">
      <c r="A185" s="8"/>
      <c r="B185" s="5" t="s">
        <v>53</v>
      </c>
      <c r="C185" s="198" t="s">
        <v>11</v>
      </c>
      <c r="D185" s="205"/>
      <c r="E185" s="203">
        <f>Input!$E$220</f>
        <v>0.115</v>
      </c>
      <c r="F185" s="203">
        <f>Input!$E$220</f>
        <v>0.115</v>
      </c>
      <c r="G185" s="203">
        <f>Input!$E$220</f>
        <v>0.115</v>
      </c>
      <c r="H185" s="203">
        <f>Input!$E$220</f>
        <v>0.115</v>
      </c>
      <c r="I185" s="203">
        <f>Input!$E$220</f>
        <v>0.115</v>
      </c>
      <c r="J185" s="203">
        <f>Input!$E$220</f>
        <v>0.115</v>
      </c>
      <c r="K185" s="203">
        <f>Input!$E$220</f>
        <v>0.115</v>
      </c>
      <c r="L185" s="203">
        <f>Input!$E$220</f>
        <v>0.115</v>
      </c>
      <c r="M185" s="203">
        <f>Input!$E$220</f>
        <v>0.115</v>
      </c>
      <c r="N185" s="203">
        <f>Input!$E$220</f>
        <v>0.115</v>
      </c>
      <c r="O185" s="203">
        <f>Input!$E$220</f>
        <v>0.115</v>
      </c>
      <c r="P185" s="203">
        <f>Input!$E$220</f>
        <v>0.115</v>
      </c>
      <c r="Q185" s="203">
        <f>Input!$E$220</f>
        <v>0.115</v>
      </c>
      <c r="R185" s="203">
        <f>Input!$E$220</f>
        <v>0.115</v>
      </c>
      <c r="S185" s="203">
        <f>Input!$E$220</f>
        <v>0.115</v>
      </c>
      <c r="T185" s="203">
        <f>Input!$E$220</f>
        <v>0.115</v>
      </c>
      <c r="U185" s="203">
        <f>Input!$E$220</f>
        <v>0.115</v>
      </c>
      <c r="V185" s="203">
        <f>Input!$E$220</f>
        <v>0.115</v>
      </c>
      <c r="W185" s="203">
        <f>Input!$E$220</f>
        <v>0.115</v>
      </c>
      <c r="X185" s="203">
        <f>Input!$E$220</f>
        <v>0.115</v>
      </c>
      <c r="Y185" s="203">
        <f>Input!$E$220</f>
        <v>0.115</v>
      </c>
      <c r="Z185" s="203">
        <f>Input!$E$220</f>
        <v>0.115</v>
      </c>
      <c r="AA185" s="203">
        <f>Input!$E$220</f>
        <v>0.115</v>
      </c>
      <c r="AB185" s="203">
        <f>Input!$E$220</f>
        <v>0.115</v>
      </c>
      <c r="AC185" s="203">
        <f>Input!$E$220</f>
        <v>0.115</v>
      </c>
      <c r="AD185" s="203">
        <f>Input!$E$220</f>
        <v>0.115</v>
      </c>
      <c r="AE185" s="203">
        <f>Input!$E$220</f>
        <v>0.115</v>
      </c>
      <c r="AF185" s="203">
        <f>Input!$E$220</f>
        <v>0.115</v>
      </c>
      <c r="AG185" s="203">
        <f>Input!$E$220</f>
        <v>0.115</v>
      </c>
      <c r="AH185" s="203">
        <f>Input!$E$220</f>
        <v>0.115</v>
      </c>
      <c r="AI185" s="203">
        <f>Input!$E$220</f>
        <v>0.115</v>
      </c>
    </row>
    <row r="186" spans="1:35" x14ac:dyDescent="0.3">
      <c r="A186" s="217"/>
      <c r="B186" s="5" t="s">
        <v>150</v>
      </c>
      <c r="C186" s="198" t="s">
        <v>11</v>
      </c>
      <c r="D186" s="64"/>
      <c r="E186" s="5">
        <f t="shared" ref="E186:AI186" si="93">E183*E185*E9</f>
        <v>0</v>
      </c>
      <c r="F186" s="5">
        <f t="shared" ref="F186:AE186" ca="1" si="94">F183*F185*F9</f>
        <v>1.1043699723928568</v>
      </c>
      <c r="G186" s="5">
        <f t="shared" ca="1" si="94"/>
        <v>2.1981087959838259</v>
      </c>
      <c r="H186" s="5">
        <f t="shared" ca="1" si="94"/>
        <v>2.1885165200971599</v>
      </c>
      <c r="I186" s="5">
        <f t="shared" ca="1" si="94"/>
        <v>2.1799461023477655</v>
      </c>
      <c r="J186" s="5">
        <f t="shared" ca="1" si="94"/>
        <v>2.1724307287484645</v>
      </c>
      <c r="K186" s="5">
        <f t="shared" ca="1" si="94"/>
        <v>2.1660055308165065</v>
      </c>
      <c r="L186" s="5">
        <f t="shared" ca="1" si="94"/>
        <v>2.1607076831916685</v>
      </c>
      <c r="M186" s="5">
        <f t="shared" ca="1" si="94"/>
        <v>2.1565765063611546</v>
      </c>
      <c r="N186" s="5">
        <f t="shared" ca="1" si="94"/>
        <v>2.1536535747568122</v>
      </c>
      <c r="O186" s="5">
        <f t="shared" ca="1" si="94"/>
        <v>2.1519828305040556</v>
      </c>
      <c r="P186" s="5">
        <f t="shared" ca="1" si="94"/>
        <v>2.1516107031164693</v>
      </c>
      <c r="Q186" s="5">
        <f t="shared" ca="1" si="94"/>
        <v>2.1525862354454222</v>
      </c>
      <c r="R186" s="5">
        <f t="shared" ca="1" si="94"/>
        <v>2.1549612162101743</v>
      </c>
      <c r="S186" s="5">
        <f t="shared" ca="1" si="94"/>
        <v>2.1587903194509761</v>
      </c>
      <c r="T186" s="5">
        <f t="shared" ca="1" si="94"/>
        <v>2.1641312512655166</v>
      </c>
      <c r="U186" s="5">
        <f t="shared" ca="1" si="94"/>
        <v>2.1710449042079523</v>
      </c>
      <c r="V186" s="5">
        <f t="shared" ca="1" si="94"/>
        <v>2.1795955197494989</v>
      </c>
      <c r="W186" s="5">
        <f t="shared" ca="1" si="94"/>
        <v>2.1898508592204764</v>
      </c>
      <c r="X186" s="5">
        <f t="shared" ca="1" si="94"/>
        <v>2.2018823836755801</v>
      </c>
      <c r="Y186" s="5">
        <f t="shared" ca="1" si="94"/>
        <v>2.2157654431472769</v>
      </c>
      <c r="Z186" s="5">
        <f t="shared" ca="1" si="94"/>
        <v>2.2315794757764875</v>
      </c>
      <c r="AA186" s="5">
        <f t="shared" ca="1" si="94"/>
        <v>2.2494082173352976</v>
      </c>
      <c r="AB186" s="5">
        <f t="shared" ca="1" si="94"/>
        <v>2.269339921683327</v>
      </c>
      <c r="AC186" s="5">
        <f t="shared" ca="1" si="94"/>
        <v>2.2914675927277082</v>
      </c>
      <c r="AD186" s="5">
        <f t="shared" ca="1" si="94"/>
        <v>2.3158892284863919</v>
      </c>
      <c r="AE186" s="5">
        <f t="shared" ca="1" si="94"/>
        <v>1.2962072889046494</v>
      </c>
      <c r="AF186" s="5">
        <f t="shared" si="93"/>
        <v>0</v>
      </c>
      <c r="AG186" s="5">
        <f t="shared" si="93"/>
        <v>0</v>
      </c>
      <c r="AH186" s="5">
        <f t="shared" si="93"/>
        <v>0</v>
      </c>
      <c r="AI186" s="5">
        <f t="shared" si="93"/>
        <v>0</v>
      </c>
    </row>
    <row r="187" spans="1:35" x14ac:dyDescent="0.3">
      <c r="A187" s="217"/>
      <c r="B187" s="5"/>
      <c r="C187" s="174"/>
      <c r="D187" s="64"/>
      <c r="E187" s="175"/>
      <c r="F187" s="17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row>
    <row r="188" spans="1:35" hidden="1" x14ac:dyDescent="0.3">
      <c r="A188" s="210" t="s">
        <v>223</v>
      </c>
      <c r="B188" s="178"/>
      <c r="C188" s="195"/>
      <c r="D188" s="211"/>
      <c r="E188" s="212"/>
      <c r="F188" s="212"/>
      <c r="G188" s="212"/>
      <c r="H188" s="212"/>
      <c r="I188" s="212"/>
      <c r="J188" s="212"/>
      <c r="K188" s="212"/>
      <c r="L188" s="212"/>
      <c r="M188" s="212"/>
      <c r="N188" s="212"/>
      <c r="O188" s="212"/>
      <c r="P188" s="212"/>
      <c r="Q188" s="212"/>
      <c r="R188" s="212"/>
      <c r="S188" s="212"/>
      <c r="T188" s="212"/>
      <c r="U188" s="211"/>
      <c r="V188" s="211"/>
      <c r="W188" s="211"/>
      <c r="X188" s="211"/>
      <c r="Y188" s="211"/>
      <c r="Z188" s="211"/>
      <c r="AA188" s="211"/>
      <c r="AB188" s="211"/>
      <c r="AC188" s="211"/>
      <c r="AD188" s="211"/>
      <c r="AE188" s="211"/>
      <c r="AF188" s="211"/>
      <c r="AG188" s="211"/>
      <c r="AH188" s="211"/>
      <c r="AI188" s="211"/>
    </row>
    <row r="189" spans="1:35" hidden="1" x14ac:dyDescent="0.3">
      <c r="A189" s="217" t="s">
        <v>224</v>
      </c>
      <c r="B189" s="5"/>
      <c r="C189" s="174"/>
      <c r="D189" s="64"/>
      <c r="E189" s="175"/>
      <c r="F189" s="17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row>
    <row r="190" spans="1:35" hidden="1" x14ac:dyDescent="0.3">
      <c r="A190" s="5"/>
      <c r="B190" s="229" t="s">
        <v>83</v>
      </c>
      <c r="C190" s="198" t="s">
        <v>11</v>
      </c>
      <c r="D190" s="319">
        <f ca="1">SUM(E190:AI190)</f>
        <v>384.85524833718586</v>
      </c>
      <c r="E190" s="5">
        <f t="shared" ref="E190:AI190" ca="1" si="95">E81+E91</f>
        <v>0</v>
      </c>
      <c r="F190" s="5">
        <f t="shared" ca="1" si="95"/>
        <v>18.672217381508435</v>
      </c>
      <c r="G190" s="5">
        <f t="shared" ca="1" si="95"/>
        <v>48.708431671063991</v>
      </c>
      <c r="H190" s="5">
        <f t="shared" ca="1" si="95"/>
        <v>45.229257980273701</v>
      </c>
      <c r="I190" s="5">
        <f t="shared" ca="1" si="95"/>
        <v>41.750084289483418</v>
      </c>
      <c r="J190" s="5">
        <f t="shared" ca="1" si="95"/>
        <v>38.270910598693128</v>
      </c>
      <c r="K190" s="5">
        <f t="shared" ca="1" si="95"/>
        <v>34.791736907902845</v>
      </c>
      <c r="L190" s="5">
        <f t="shared" ca="1" si="95"/>
        <v>31.312563217112558</v>
      </c>
      <c r="M190" s="5">
        <f t="shared" ca="1" si="95"/>
        <v>27.833389526322271</v>
      </c>
      <c r="N190" s="5">
        <f t="shared" ca="1" si="95"/>
        <v>24.354215835531988</v>
      </c>
      <c r="O190" s="5">
        <f t="shared" ca="1" si="95"/>
        <v>20.875042144741702</v>
      </c>
      <c r="P190" s="5">
        <f t="shared" ca="1" si="95"/>
        <v>17.395868453951422</v>
      </c>
      <c r="Q190" s="5">
        <f t="shared" ca="1" si="95"/>
        <v>13.916694763161136</v>
      </c>
      <c r="R190" s="5">
        <f t="shared" ca="1" si="95"/>
        <v>10.437521072370851</v>
      </c>
      <c r="S190" s="5">
        <f t="shared" ca="1" si="95"/>
        <v>6.9583473815805652</v>
      </c>
      <c r="T190" s="5">
        <f t="shared" ca="1" si="95"/>
        <v>3.4791736907902795</v>
      </c>
      <c r="U190" s="5">
        <f t="shared" ca="1" si="95"/>
        <v>0.86979342269756865</v>
      </c>
      <c r="V190" s="5">
        <f t="shared" ca="1" si="95"/>
        <v>0</v>
      </c>
      <c r="W190" s="5">
        <f t="shared" ca="1" si="95"/>
        <v>0</v>
      </c>
      <c r="X190" s="5">
        <f t="shared" ca="1" si="95"/>
        <v>0</v>
      </c>
      <c r="Y190" s="5">
        <f t="shared" ca="1" si="95"/>
        <v>0</v>
      </c>
      <c r="Z190" s="5">
        <f t="shared" ca="1" si="95"/>
        <v>0</v>
      </c>
      <c r="AA190" s="5">
        <f t="shared" ca="1" si="95"/>
        <v>0</v>
      </c>
      <c r="AB190" s="5">
        <f t="shared" ca="1" si="95"/>
        <v>0</v>
      </c>
      <c r="AC190" s="5">
        <f t="shared" ca="1" si="95"/>
        <v>0</v>
      </c>
      <c r="AD190" s="5">
        <f t="shared" ca="1" si="95"/>
        <v>0</v>
      </c>
      <c r="AE190" s="5">
        <f t="shared" ca="1" si="95"/>
        <v>0</v>
      </c>
      <c r="AF190" s="5">
        <f t="shared" ca="1" si="95"/>
        <v>0</v>
      </c>
      <c r="AG190" s="5">
        <f t="shared" ca="1" si="95"/>
        <v>0</v>
      </c>
      <c r="AH190" s="5">
        <f t="shared" ca="1" si="95"/>
        <v>0</v>
      </c>
      <c r="AI190" s="5">
        <f t="shared" ca="1" si="95"/>
        <v>0</v>
      </c>
    </row>
    <row r="191" spans="1:35" hidden="1" x14ac:dyDescent="0.3">
      <c r="A191" s="5"/>
      <c r="B191" s="5" t="s">
        <v>87</v>
      </c>
      <c r="C191" s="198" t="s">
        <v>11</v>
      </c>
      <c r="D191" s="319">
        <f ca="1">SUM(E191:AI191)</f>
        <v>869.79342269757137</v>
      </c>
      <c r="E191" s="5">
        <f t="shared" ref="E191" si="96">E86+E76</f>
        <v>0</v>
      </c>
      <c r="F191" s="5">
        <f t="shared" ref="F191:AI191" ca="1" si="97">F86+F76</f>
        <v>28.993114089919043</v>
      </c>
      <c r="G191" s="5">
        <f t="shared" ca="1" si="97"/>
        <v>57.986228179838086</v>
      </c>
      <c r="H191" s="5">
        <f t="shared" ca="1" si="97"/>
        <v>57.986228179838086</v>
      </c>
      <c r="I191" s="5">
        <f t="shared" ca="1" si="97"/>
        <v>57.986228179838086</v>
      </c>
      <c r="J191" s="5">
        <f t="shared" ca="1" si="97"/>
        <v>57.986228179838086</v>
      </c>
      <c r="K191" s="5">
        <f t="shared" ca="1" si="97"/>
        <v>57.986228179838086</v>
      </c>
      <c r="L191" s="5">
        <f t="shared" ca="1" si="97"/>
        <v>57.986228179838086</v>
      </c>
      <c r="M191" s="5">
        <f t="shared" ca="1" si="97"/>
        <v>57.986228179838086</v>
      </c>
      <c r="N191" s="5">
        <f t="shared" ca="1" si="97"/>
        <v>57.986228179838086</v>
      </c>
      <c r="O191" s="5">
        <f t="shared" ca="1" si="97"/>
        <v>57.986228179838086</v>
      </c>
      <c r="P191" s="5">
        <f t="shared" ca="1" si="97"/>
        <v>57.986228179838086</v>
      </c>
      <c r="Q191" s="5">
        <f t="shared" ca="1" si="97"/>
        <v>57.986228179838086</v>
      </c>
      <c r="R191" s="5">
        <f t="shared" ca="1" si="97"/>
        <v>57.986228179838086</v>
      </c>
      <c r="S191" s="5">
        <f t="shared" ca="1" si="97"/>
        <v>57.986228179838086</v>
      </c>
      <c r="T191" s="5">
        <f t="shared" ca="1" si="97"/>
        <v>57.986228179838086</v>
      </c>
      <c r="U191" s="5">
        <f t="shared" ca="1" si="97"/>
        <v>28.993114089918954</v>
      </c>
      <c r="V191" s="5">
        <f t="shared" ca="1" si="97"/>
        <v>0</v>
      </c>
      <c r="W191" s="5">
        <f t="shared" ca="1" si="97"/>
        <v>0</v>
      </c>
      <c r="X191" s="5">
        <f t="shared" ca="1" si="97"/>
        <v>0</v>
      </c>
      <c r="Y191" s="5">
        <f t="shared" ca="1" si="97"/>
        <v>0</v>
      </c>
      <c r="Z191" s="5">
        <f t="shared" ca="1" si="97"/>
        <v>0</v>
      </c>
      <c r="AA191" s="5">
        <f t="shared" ca="1" si="97"/>
        <v>0</v>
      </c>
      <c r="AB191" s="5">
        <f t="shared" ca="1" si="97"/>
        <v>0</v>
      </c>
      <c r="AC191" s="5">
        <f t="shared" ca="1" si="97"/>
        <v>0</v>
      </c>
      <c r="AD191" s="5">
        <f t="shared" ca="1" si="97"/>
        <v>0</v>
      </c>
      <c r="AE191" s="5">
        <f t="shared" ca="1" si="97"/>
        <v>0</v>
      </c>
      <c r="AF191" s="5">
        <f t="shared" ca="1" si="97"/>
        <v>0</v>
      </c>
      <c r="AG191" s="5">
        <f t="shared" ca="1" si="97"/>
        <v>0</v>
      </c>
      <c r="AH191" s="5">
        <f t="shared" ca="1" si="97"/>
        <v>0</v>
      </c>
      <c r="AI191" s="5">
        <f t="shared" ca="1" si="97"/>
        <v>0</v>
      </c>
    </row>
    <row r="192" spans="1:35" hidden="1" x14ac:dyDescent="0.3">
      <c r="A192" s="5"/>
      <c r="B192" s="231" t="s">
        <v>10</v>
      </c>
      <c r="C192" s="198" t="s">
        <v>11</v>
      </c>
      <c r="D192" s="319">
        <f ca="1">SUM(E192:AI192)</f>
        <v>1254.6486710347567</v>
      </c>
      <c r="E192" s="5">
        <f t="shared" ref="E192:AI192" ca="1" si="98">SUM(E190:E191)</f>
        <v>0</v>
      </c>
      <c r="F192" s="5">
        <f t="shared" ca="1" si="98"/>
        <v>47.665331471427479</v>
      </c>
      <c r="G192" s="5">
        <f t="shared" ca="1" si="98"/>
        <v>106.69465985090207</v>
      </c>
      <c r="H192" s="5">
        <f t="shared" ca="1" si="98"/>
        <v>103.21548616011179</v>
      </c>
      <c r="I192" s="5">
        <f t="shared" ca="1" si="98"/>
        <v>99.736312469321504</v>
      </c>
      <c r="J192" s="5">
        <f t="shared" ca="1" si="98"/>
        <v>96.257138778531214</v>
      </c>
      <c r="K192" s="5">
        <f t="shared" ca="1" si="98"/>
        <v>92.777965087740938</v>
      </c>
      <c r="L192" s="5">
        <f t="shared" ca="1" si="98"/>
        <v>89.298791396950648</v>
      </c>
      <c r="M192" s="5">
        <f t="shared" ca="1" si="98"/>
        <v>85.819617706160358</v>
      </c>
      <c r="N192" s="5">
        <f t="shared" ca="1" si="98"/>
        <v>82.340444015370082</v>
      </c>
      <c r="O192" s="5">
        <f t="shared" ca="1" si="98"/>
        <v>78.861270324579792</v>
      </c>
      <c r="P192" s="5">
        <f t="shared" ca="1" si="98"/>
        <v>75.382096633789502</v>
      </c>
      <c r="Q192" s="5">
        <f t="shared" ca="1" si="98"/>
        <v>71.902922942999226</v>
      </c>
      <c r="R192" s="5">
        <f t="shared" ca="1" si="98"/>
        <v>68.423749252208935</v>
      </c>
      <c r="S192" s="5">
        <f t="shared" ca="1" si="98"/>
        <v>64.944575561418645</v>
      </c>
      <c r="T192" s="5">
        <f t="shared" ca="1" si="98"/>
        <v>61.465401870628369</v>
      </c>
      <c r="U192" s="5">
        <f t="shared" ca="1" si="98"/>
        <v>29.862907512616523</v>
      </c>
      <c r="V192" s="5">
        <f t="shared" ca="1" si="98"/>
        <v>0</v>
      </c>
      <c r="W192" s="5">
        <f t="shared" ca="1" si="98"/>
        <v>0</v>
      </c>
      <c r="X192" s="5">
        <f t="shared" ca="1" si="98"/>
        <v>0</v>
      </c>
      <c r="Y192" s="5">
        <f t="shared" ca="1" si="98"/>
        <v>0</v>
      </c>
      <c r="Z192" s="5">
        <f t="shared" ca="1" si="98"/>
        <v>0</v>
      </c>
      <c r="AA192" s="5">
        <f t="shared" ca="1" si="98"/>
        <v>0</v>
      </c>
      <c r="AB192" s="5">
        <f t="shared" ca="1" si="98"/>
        <v>0</v>
      </c>
      <c r="AC192" s="5">
        <f t="shared" ca="1" si="98"/>
        <v>0</v>
      </c>
      <c r="AD192" s="5">
        <f t="shared" ca="1" si="98"/>
        <v>0</v>
      </c>
      <c r="AE192" s="5">
        <f t="shared" ca="1" si="98"/>
        <v>0</v>
      </c>
      <c r="AF192" s="5">
        <f t="shared" ca="1" si="98"/>
        <v>0</v>
      </c>
      <c r="AG192" s="5">
        <f t="shared" ca="1" si="98"/>
        <v>0</v>
      </c>
      <c r="AH192" s="5">
        <f t="shared" ca="1" si="98"/>
        <v>0</v>
      </c>
      <c r="AI192" s="5">
        <f t="shared" ca="1" si="98"/>
        <v>0</v>
      </c>
    </row>
    <row r="193" spans="1:35" hidden="1" outlineLevel="1" x14ac:dyDescent="0.3">
      <c r="A193" s="217" t="s">
        <v>223</v>
      </c>
      <c r="B193" s="5"/>
      <c r="C193" s="174"/>
      <c r="D193" s="64"/>
      <c r="E193" s="175"/>
      <c r="F193" s="17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row>
    <row r="194" spans="1:35" hidden="1" outlineLevel="1" x14ac:dyDescent="0.3">
      <c r="A194" s="217"/>
      <c r="B194" s="5" t="s">
        <v>138</v>
      </c>
      <c r="C194" s="198" t="s">
        <v>11</v>
      </c>
      <c r="D194" s="64"/>
      <c r="E194" s="5">
        <f t="shared" ref="E194:AI194" si="99">D196</f>
        <v>0</v>
      </c>
      <c r="F194" s="5">
        <f t="shared" ca="1" si="99"/>
        <v>0</v>
      </c>
      <c r="G194" s="5">
        <f t="shared" ca="1" si="99"/>
        <v>0</v>
      </c>
      <c r="H194" s="5">
        <f t="shared" ca="1" si="99"/>
        <v>0</v>
      </c>
      <c r="I194" s="5">
        <f t="shared" ca="1" si="99"/>
        <v>0</v>
      </c>
      <c r="J194" s="5">
        <f t="shared" ca="1" si="99"/>
        <v>0</v>
      </c>
      <c r="K194" s="5">
        <f t="shared" ca="1" si="99"/>
        <v>0</v>
      </c>
      <c r="L194" s="5">
        <f t="shared" ca="1" si="99"/>
        <v>0</v>
      </c>
      <c r="M194" s="5">
        <f t="shared" ca="1" si="99"/>
        <v>0</v>
      </c>
      <c r="N194" s="5">
        <f t="shared" ca="1" si="99"/>
        <v>0</v>
      </c>
      <c r="O194" s="5">
        <f t="shared" ca="1" si="99"/>
        <v>0</v>
      </c>
      <c r="P194" s="5">
        <f t="shared" ca="1" si="99"/>
        <v>0</v>
      </c>
      <c r="Q194" s="5">
        <f t="shared" ca="1" si="99"/>
        <v>0</v>
      </c>
      <c r="R194" s="5">
        <f t="shared" ca="1" si="99"/>
        <v>0</v>
      </c>
      <c r="S194" s="5">
        <f t="shared" ca="1" si="99"/>
        <v>0</v>
      </c>
      <c r="T194" s="5">
        <f t="shared" ca="1" si="99"/>
        <v>0</v>
      </c>
      <c r="U194" s="5">
        <f t="shared" ca="1" si="99"/>
        <v>0</v>
      </c>
      <c r="V194" s="5">
        <f t="shared" ca="1" si="99"/>
        <v>0</v>
      </c>
      <c r="W194" s="5">
        <f t="shared" ca="1" si="99"/>
        <v>0</v>
      </c>
      <c r="X194" s="5">
        <f t="shared" ca="1" si="99"/>
        <v>0</v>
      </c>
      <c r="Y194" s="5">
        <f t="shared" ca="1" si="99"/>
        <v>0</v>
      </c>
      <c r="Z194" s="5">
        <f t="shared" ca="1" si="99"/>
        <v>0</v>
      </c>
      <c r="AA194" s="5">
        <f t="shared" ca="1" si="99"/>
        <v>0</v>
      </c>
      <c r="AB194" s="5">
        <f t="shared" ca="1" si="99"/>
        <v>0</v>
      </c>
      <c r="AC194" s="5">
        <f t="shared" ca="1" si="99"/>
        <v>0</v>
      </c>
      <c r="AD194" s="5">
        <f t="shared" ca="1" si="99"/>
        <v>0</v>
      </c>
      <c r="AE194" s="5">
        <f t="shared" ca="1" si="99"/>
        <v>0</v>
      </c>
      <c r="AF194" s="5">
        <f t="shared" ca="1" si="99"/>
        <v>0</v>
      </c>
      <c r="AG194" s="5">
        <f t="shared" ca="1" si="99"/>
        <v>0</v>
      </c>
      <c r="AH194" s="5">
        <f t="shared" ca="1" si="99"/>
        <v>0</v>
      </c>
      <c r="AI194" s="5">
        <f t="shared" ca="1" si="99"/>
        <v>0</v>
      </c>
    </row>
    <row r="195" spans="1:35" hidden="1" outlineLevel="1" x14ac:dyDescent="0.3">
      <c r="A195" s="217"/>
      <c r="B195" s="3" t="s">
        <v>168</v>
      </c>
      <c r="C195" s="198" t="s">
        <v>11</v>
      </c>
      <c r="D195" s="232">
        <f ca="1">SUM(E195:BL195)</f>
        <v>0</v>
      </c>
      <c r="E195" s="5">
        <f ca="1">IF(AND(E4,(E77+E87)&gt;0),E192*Input!$E$194/12-E194,-E194)</f>
        <v>0</v>
      </c>
      <c r="F195" s="5">
        <f ca="1">IF(AND(F4,(F77+F87)&gt;0),F192*Input!$E$194/12-F194,-F194)</f>
        <v>0</v>
      </c>
      <c r="G195" s="5">
        <f ca="1">IF(AND(G4,(G77+G87)&gt;0),G192*Input!$E$194/12-G194,-G194)</f>
        <v>0</v>
      </c>
      <c r="H195" s="5">
        <f ca="1">IF(AND(H4,(H77+H87)&gt;0),H192*Input!$E$194/12-H194,-H194)</f>
        <v>0</v>
      </c>
      <c r="I195" s="5">
        <f ca="1">IF(AND(I4,(I77+I87)&gt;0),I192*Input!$E$194/12-I194,-I194)</f>
        <v>0</v>
      </c>
      <c r="J195" s="5">
        <f ca="1">IF(AND(J4,(J77+J87)&gt;0),J192*Input!$E$194/12-J194,-J194)</f>
        <v>0</v>
      </c>
      <c r="K195" s="5">
        <f ca="1">IF(AND(K4,(K77+K87)&gt;0),K192*Input!$E$194/12-K194,-K194)</f>
        <v>0</v>
      </c>
      <c r="L195" s="5">
        <f ca="1">IF(AND(L4,(L77+L87)&gt;0),L192*Input!$E$194/12-L194,-L194)</f>
        <v>0</v>
      </c>
      <c r="M195" s="5">
        <f ca="1">IF(AND(M4,(M77+M87)&gt;0),M192*Input!$E$194/12-M194,-M194)</f>
        <v>0</v>
      </c>
      <c r="N195" s="5">
        <f ca="1">IF(AND(N4,(N77+N87)&gt;0),N192*Input!$E$194/12-N194,-N194)</f>
        <v>0</v>
      </c>
      <c r="O195" s="5">
        <f ca="1">IF(AND(O4,(O77+O87)&gt;0),O192*Input!$E$194/12-O194,-O194)</f>
        <v>0</v>
      </c>
      <c r="P195" s="5">
        <f ca="1">IF(AND(P4,(P77+P87)&gt;0),P192*Input!$E$194/12-P194,-P194)</f>
        <v>0</v>
      </c>
      <c r="Q195" s="5">
        <f ca="1">IF(AND(Q4,(Q77+Q87)&gt;0),Q192*Input!$E$194/12-Q194,-Q194)</f>
        <v>0</v>
      </c>
      <c r="R195" s="5">
        <f ca="1">IF(AND(R4,(R77+R87)&gt;0),R192*Input!$E$194/12-R194,-R194)</f>
        <v>0</v>
      </c>
      <c r="S195" s="5">
        <f ca="1">IF(AND(S4,(S77+S87)&gt;0),S192*Input!$E$194/12-S194,-S194)</f>
        <v>0</v>
      </c>
      <c r="T195" s="5">
        <f ca="1">IF(AND(T4,(T77+T87)&gt;0),T192*Input!$E$194/12-T194,-T194)</f>
        <v>0</v>
      </c>
      <c r="U195" s="5">
        <f ca="1">IF(AND(U4,(U77+U87)&gt;0),U192*Input!$E$194/12-U194,-U194)</f>
        <v>0</v>
      </c>
      <c r="V195" s="5">
        <f ca="1">IF(AND(V4,(V77+V87)&gt;0),V192*Input!$E$194/12-V194,-V194)</f>
        <v>0</v>
      </c>
      <c r="W195" s="5">
        <f ca="1">IF(AND(W4,(W77+W87)&gt;0),W192*Input!$E$194/12-W194,-W194)</f>
        <v>0</v>
      </c>
      <c r="X195" s="5">
        <f ca="1">IF(AND(X4,(X77+X87)&gt;0),X192*Input!$E$194/12-X194,-X194)</f>
        <v>0</v>
      </c>
      <c r="Y195" s="5">
        <f ca="1">IF(AND(Y4,(Y77+Y87)&gt;0),Y192*Input!$E$194/12-Y194,-Y194)</f>
        <v>0</v>
      </c>
      <c r="Z195" s="5">
        <f ca="1">IF(AND(Z4,(Z77+Z87)&gt;0),Z192*Input!$E$194/12-Z194,-Z194)</f>
        <v>0</v>
      </c>
      <c r="AA195" s="5">
        <f ca="1">IF(AND(AA4,(AA77+AA87)&gt;0),AA192*Input!$E$194/12-AA194,-AA194)</f>
        <v>0</v>
      </c>
      <c r="AB195" s="5">
        <f ca="1">IF(AND(AB4,(AB77+AB87)&gt;0),AB192*Input!$E$194/12-AB194,-AB194)</f>
        <v>0</v>
      </c>
      <c r="AC195" s="5">
        <f ca="1">IF(AND(AC4,(AC77+AC87)&gt;0),AC192*Input!$E$194/12-AC194,-AC194)</f>
        <v>0</v>
      </c>
      <c r="AD195" s="5">
        <f ca="1">IF(AND(AD4,(AD77+AD87)&gt;0),AD192*Input!$E$194/12-AD194,-AD194)</f>
        <v>0</v>
      </c>
      <c r="AE195" s="5">
        <f ca="1">IF(AND(AE4,(AE77+AE87)&gt;0),AE192*Input!$E$194/12-AE194,-AE194)</f>
        <v>0</v>
      </c>
      <c r="AF195" s="5">
        <f ca="1">IF(AND(AF4,(AF77+AF87)&gt;0),AF192*Input!$E$194/12-AF194,-AF194)</f>
        <v>0</v>
      </c>
      <c r="AG195" s="5">
        <f ca="1">IF(AND(AG4,(AG77+AG87)&gt;0),AG192*Input!$E$194/12-AG194,-AG194)</f>
        <v>0</v>
      </c>
      <c r="AH195" s="5">
        <f ca="1">IF(AND(AH4,(AH77+AH87)&gt;0),AH192*Input!$E$194/12-AH194,-AH194)</f>
        <v>0</v>
      </c>
      <c r="AI195" s="5">
        <f ca="1">IF(AND(AI4,(AI77+AI87)&gt;0),AI192*Input!$E$194/12-AI194,-AI194)</f>
        <v>0</v>
      </c>
    </row>
    <row r="196" spans="1:35" hidden="1" outlineLevel="1" x14ac:dyDescent="0.3">
      <c r="A196" s="217"/>
      <c r="B196" s="5" t="s">
        <v>135</v>
      </c>
      <c r="C196" s="198" t="s">
        <v>11</v>
      </c>
      <c r="D196" s="64"/>
      <c r="E196" s="5">
        <f t="shared" ref="E196:AI196" ca="1" si="100">SUM(E194:E195)</f>
        <v>0</v>
      </c>
      <c r="F196" s="5">
        <f t="shared" ca="1" si="100"/>
        <v>0</v>
      </c>
      <c r="G196" s="5">
        <f t="shared" ca="1" si="100"/>
        <v>0</v>
      </c>
      <c r="H196" s="5">
        <f t="shared" ca="1" si="100"/>
        <v>0</v>
      </c>
      <c r="I196" s="5">
        <f t="shared" ca="1" si="100"/>
        <v>0</v>
      </c>
      <c r="J196" s="5">
        <f t="shared" ca="1" si="100"/>
        <v>0</v>
      </c>
      <c r="K196" s="5">
        <f t="shared" ca="1" si="100"/>
        <v>0</v>
      </c>
      <c r="L196" s="5">
        <f t="shared" ca="1" si="100"/>
        <v>0</v>
      </c>
      <c r="M196" s="5">
        <f t="shared" ca="1" si="100"/>
        <v>0</v>
      </c>
      <c r="N196" s="5">
        <f t="shared" ca="1" si="100"/>
        <v>0</v>
      </c>
      <c r="O196" s="5">
        <f t="shared" ca="1" si="100"/>
        <v>0</v>
      </c>
      <c r="P196" s="5">
        <f t="shared" ca="1" si="100"/>
        <v>0</v>
      </c>
      <c r="Q196" s="5">
        <f t="shared" ca="1" si="100"/>
        <v>0</v>
      </c>
      <c r="R196" s="5">
        <f t="shared" ca="1" si="100"/>
        <v>0</v>
      </c>
      <c r="S196" s="5">
        <f t="shared" ca="1" si="100"/>
        <v>0</v>
      </c>
      <c r="T196" s="5">
        <f t="shared" ca="1" si="100"/>
        <v>0</v>
      </c>
      <c r="U196" s="5">
        <f t="shared" ca="1" si="100"/>
        <v>0</v>
      </c>
      <c r="V196" s="5">
        <f t="shared" ca="1" si="100"/>
        <v>0</v>
      </c>
      <c r="W196" s="5">
        <f t="shared" ca="1" si="100"/>
        <v>0</v>
      </c>
      <c r="X196" s="5">
        <f t="shared" ca="1" si="100"/>
        <v>0</v>
      </c>
      <c r="Y196" s="5">
        <f t="shared" ca="1" si="100"/>
        <v>0</v>
      </c>
      <c r="Z196" s="5">
        <f t="shared" ca="1" si="100"/>
        <v>0</v>
      </c>
      <c r="AA196" s="5">
        <f t="shared" ca="1" si="100"/>
        <v>0</v>
      </c>
      <c r="AB196" s="5">
        <f t="shared" ca="1" si="100"/>
        <v>0</v>
      </c>
      <c r="AC196" s="5">
        <f t="shared" ca="1" si="100"/>
        <v>0</v>
      </c>
      <c r="AD196" s="5">
        <f t="shared" ca="1" si="100"/>
        <v>0</v>
      </c>
      <c r="AE196" s="5">
        <f t="shared" ca="1" si="100"/>
        <v>0</v>
      </c>
      <c r="AF196" s="5">
        <f t="shared" ca="1" si="100"/>
        <v>0</v>
      </c>
      <c r="AG196" s="5">
        <f t="shared" ca="1" si="100"/>
        <v>0</v>
      </c>
      <c r="AH196" s="5">
        <f t="shared" ca="1" si="100"/>
        <v>0</v>
      </c>
      <c r="AI196" s="5">
        <f t="shared" ca="1" si="100"/>
        <v>0</v>
      </c>
    </row>
    <row r="197" spans="1:35" hidden="1" collapsed="1" x14ac:dyDescent="0.3">
      <c r="A197" s="217" t="s">
        <v>225</v>
      </c>
      <c r="B197" s="5"/>
      <c r="C197" s="198"/>
      <c r="D197" s="64"/>
      <c r="E197" s="175"/>
      <c r="F197" s="17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row>
    <row r="198" spans="1:35" hidden="1" x14ac:dyDescent="0.3">
      <c r="A198" s="217"/>
      <c r="B198" s="5" t="s">
        <v>53</v>
      </c>
      <c r="C198" s="198" t="s">
        <v>0</v>
      </c>
      <c r="D198" s="64"/>
      <c r="E198" s="203">
        <f>IF(Input!$E$195="Cash",Input!$E$197,0)</f>
        <v>0</v>
      </c>
      <c r="F198" s="203">
        <f>IF(Input!$E$195="Cash",Input!$E$197,0)</f>
        <v>0</v>
      </c>
      <c r="G198" s="203">
        <f>IF(Input!$E$195="Cash",Input!$E$197,0)</f>
        <v>0</v>
      </c>
      <c r="H198" s="203">
        <f>IF(Input!$E$195="Cash",Input!$E$197,0)</f>
        <v>0</v>
      </c>
      <c r="I198" s="203">
        <f>IF(Input!$E$195="Cash",Input!$E$197,0)</f>
        <v>0</v>
      </c>
      <c r="J198" s="203">
        <f>IF(Input!$E$195="Cash",Input!$E$197,0)</f>
        <v>0</v>
      </c>
      <c r="K198" s="203">
        <f>IF(Input!$E$195="Cash",Input!$E$197,0)</f>
        <v>0</v>
      </c>
      <c r="L198" s="203">
        <f>IF(Input!$E$195="Cash",Input!$E$197,0)</f>
        <v>0</v>
      </c>
      <c r="M198" s="203">
        <f>IF(Input!$E$195="Cash",Input!$E$197,0)</f>
        <v>0</v>
      </c>
      <c r="N198" s="203">
        <f>IF(Input!$E$195="Cash",Input!$E$197,0)</f>
        <v>0</v>
      </c>
      <c r="O198" s="203">
        <f>IF(Input!$E$195="Cash",Input!$E$197,0)</f>
        <v>0</v>
      </c>
      <c r="P198" s="203">
        <f>IF(Input!$E$195="Cash",Input!$E$197,0)</f>
        <v>0</v>
      </c>
      <c r="Q198" s="203">
        <f>IF(Input!$E$195="Cash",Input!$E$197,0)</f>
        <v>0</v>
      </c>
      <c r="R198" s="203">
        <f>IF(Input!$E$195="Cash",Input!$E$197,0)</f>
        <v>0</v>
      </c>
      <c r="S198" s="203">
        <f>IF(Input!$E$195="Cash",Input!$E$197,0)</f>
        <v>0</v>
      </c>
      <c r="T198" s="203">
        <f>IF(Input!$E$195="Cash",Input!$E$197,0)</f>
        <v>0</v>
      </c>
      <c r="U198" s="203">
        <f>IF(Input!$E$195="Cash",Input!$E$197,0)</f>
        <v>0</v>
      </c>
      <c r="V198" s="203">
        <f>IF(Input!$E$195="Cash",Input!$E$197,0)</f>
        <v>0</v>
      </c>
      <c r="W198" s="203">
        <f>IF(Input!$E$195="Cash",Input!$E$197,0)</f>
        <v>0</v>
      </c>
      <c r="X198" s="203">
        <f>IF(Input!$E$195="Cash",Input!$E$197,0)</f>
        <v>0</v>
      </c>
      <c r="Y198" s="203">
        <f>IF(Input!$E$195="Cash",Input!$E$197,0)</f>
        <v>0</v>
      </c>
      <c r="Z198" s="203">
        <f>IF(Input!$E$195="Cash",Input!$E$197,0)</f>
        <v>0</v>
      </c>
      <c r="AA198" s="203">
        <f>IF(Input!$E$195="Cash",Input!$E$197,0)</f>
        <v>0</v>
      </c>
      <c r="AB198" s="203">
        <f>IF(Input!$E$195="Cash",Input!$E$197,0)</f>
        <v>0</v>
      </c>
      <c r="AC198" s="203">
        <f>IF(Input!$E$195="Cash",Input!$E$197,0)</f>
        <v>0</v>
      </c>
      <c r="AD198" s="203">
        <f>IF(Input!$E$195="Cash",Input!$E$197,0)</f>
        <v>0</v>
      </c>
      <c r="AE198" s="203">
        <f>IF(Input!$E$195="Cash",Input!$E$197,0)</f>
        <v>0</v>
      </c>
      <c r="AF198" s="203">
        <f>IF(Input!$E$195="Cash",Input!$E$197,0)</f>
        <v>0</v>
      </c>
      <c r="AG198" s="203">
        <f>IF(Input!$E$195="Cash",Input!$E$197,0)</f>
        <v>0</v>
      </c>
      <c r="AH198" s="203">
        <f>IF(Input!$E$195="Cash",Input!$E$197,0)</f>
        <v>0</v>
      </c>
      <c r="AI198" s="203">
        <f>IF(Input!$E$195="Cash",Input!$E$197,0)</f>
        <v>0</v>
      </c>
    </row>
    <row r="199" spans="1:35" hidden="1" x14ac:dyDescent="0.3">
      <c r="A199" s="217"/>
      <c r="B199" s="5" t="s">
        <v>144</v>
      </c>
      <c r="C199" s="198" t="s">
        <v>11</v>
      </c>
      <c r="D199" s="232">
        <f ca="1">SUM(E199:BL199)</f>
        <v>0</v>
      </c>
      <c r="E199" s="5">
        <f t="shared" ref="E199:AI199" ca="1" si="101">E196*E198*E9</f>
        <v>0</v>
      </c>
      <c r="F199" s="5">
        <f t="shared" ca="1" si="101"/>
        <v>0</v>
      </c>
      <c r="G199" s="5">
        <f t="shared" ca="1" si="101"/>
        <v>0</v>
      </c>
      <c r="H199" s="5">
        <f t="shared" ca="1" si="101"/>
        <v>0</v>
      </c>
      <c r="I199" s="5">
        <f t="shared" ca="1" si="101"/>
        <v>0</v>
      </c>
      <c r="J199" s="5">
        <f t="shared" ca="1" si="101"/>
        <v>0</v>
      </c>
      <c r="K199" s="5">
        <f t="shared" ca="1" si="101"/>
        <v>0</v>
      </c>
      <c r="L199" s="5">
        <f t="shared" ca="1" si="101"/>
        <v>0</v>
      </c>
      <c r="M199" s="5">
        <f t="shared" ca="1" si="101"/>
        <v>0</v>
      </c>
      <c r="N199" s="5">
        <f t="shared" ca="1" si="101"/>
        <v>0</v>
      </c>
      <c r="O199" s="5">
        <f t="shared" ca="1" si="101"/>
        <v>0</v>
      </c>
      <c r="P199" s="5">
        <f t="shared" ca="1" si="101"/>
        <v>0</v>
      </c>
      <c r="Q199" s="5">
        <f t="shared" ca="1" si="101"/>
        <v>0</v>
      </c>
      <c r="R199" s="5">
        <f t="shared" ca="1" si="101"/>
        <v>0</v>
      </c>
      <c r="S199" s="5">
        <f t="shared" ca="1" si="101"/>
        <v>0</v>
      </c>
      <c r="T199" s="5">
        <f t="shared" ca="1" si="101"/>
        <v>0</v>
      </c>
      <c r="U199" s="5">
        <f t="shared" ca="1" si="101"/>
        <v>0</v>
      </c>
      <c r="V199" s="5">
        <f t="shared" ca="1" si="101"/>
        <v>0</v>
      </c>
      <c r="W199" s="5">
        <f t="shared" ca="1" si="101"/>
        <v>0</v>
      </c>
      <c r="X199" s="5">
        <f t="shared" ca="1" si="101"/>
        <v>0</v>
      </c>
      <c r="Y199" s="5">
        <f t="shared" ca="1" si="101"/>
        <v>0</v>
      </c>
      <c r="Z199" s="5">
        <f t="shared" ca="1" si="101"/>
        <v>0</v>
      </c>
      <c r="AA199" s="5">
        <f t="shared" ca="1" si="101"/>
        <v>0</v>
      </c>
      <c r="AB199" s="5">
        <f t="shared" ca="1" si="101"/>
        <v>0</v>
      </c>
      <c r="AC199" s="5">
        <f t="shared" ca="1" si="101"/>
        <v>0</v>
      </c>
      <c r="AD199" s="5">
        <f t="shared" ca="1" si="101"/>
        <v>0</v>
      </c>
      <c r="AE199" s="5">
        <f t="shared" ca="1" si="101"/>
        <v>0</v>
      </c>
      <c r="AF199" s="5">
        <f t="shared" ca="1" si="101"/>
        <v>0</v>
      </c>
      <c r="AG199" s="5">
        <f t="shared" ca="1" si="101"/>
        <v>0</v>
      </c>
      <c r="AH199" s="5">
        <f t="shared" ca="1" si="101"/>
        <v>0</v>
      </c>
      <c r="AI199" s="5">
        <f t="shared" ca="1" si="101"/>
        <v>0</v>
      </c>
    </row>
    <row r="200" spans="1:35" hidden="1" x14ac:dyDescent="0.3">
      <c r="A200" s="217" t="s">
        <v>226</v>
      </c>
      <c r="B200" s="5"/>
      <c r="C200" s="174"/>
      <c r="D200" s="64"/>
      <c r="E200" s="175"/>
      <c r="F200" s="17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row>
    <row r="201" spans="1:35" hidden="1" x14ac:dyDescent="0.3">
      <c r="A201" s="217"/>
      <c r="B201" s="5" t="s">
        <v>53</v>
      </c>
      <c r="C201" s="198" t="s">
        <v>0</v>
      </c>
      <c r="D201" s="64"/>
      <c r="E201" s="203">
        <f>IF(Input!$E$195="Cash",0,Input!$E$196)</f>
        <v>0</v>
      </c>
      <c r="F201" s="203">
        <f>IF(Input!$E$195="Cash",0,Input!$E$196)</f>
        <v>0</v>
      </c>
      <c r="G201" s="203">
        <f>IF(Input!$E$195="Cash",0,Input!$E$196)</f>
        <v>0</v>
      </c>
      <c r="H201" s="203">
        <f>IF(Input!$E$195="Cash",0,Input!$E$196)</f>
        <v>0</v>
      </c>
      <c r="I201" s="203">
        <f>IF(Input!$E$195="Cash",0,Input!$E$196)</f>
        <v>0</v>
      </c>
      <c r="J201" s="203">
        <f>IF(Input!$E$195="Cash",0,Input!$E$196)</f>
        <v>0</v>
      </c>
      <c r="K201" s="203">
        <f>IF(Input!$E$195="Cash",0,Input!$E$196)</f>
        <v>0</v>
      </c>
      <c r="L201" s="203">
        <f>IF(Input!$E$195="Cash",0,Input!$E$196)</f>
        <v>0</v>
      </c>
      <c r="M201" s="203">
        <f>IF(Input!$E$195="Cash",0,Input!$E$196)</f>
        <v>0</v>
      </c>
      <c r="N201" s="203">
        <f>IF(Input!$E$195="Cash",0,Input!$E$196)</f>
        <v>0</v>
      </c>
      <c r="O201" s="203">
        <f>IF(Input!$E$195="Cash",0,Input!$E$196)</f>
        <v>0</v>
      </c>
      <c r="P201" s="203">
        <f>IF(Input!$E$195="Cash",0,Input!$E$196)</f>
        <v>0</v>
      </c>
      <c r="Q201" s="203">
        <f>IF(Input!$E$195="Cash",0,Input!$E$196)</f>
        <v>0</v>
      </c>
      <c r="R201" s="203">
        <f>IF(Input!$E$195="Cash",0,Input!$E$196)</f>
        <v>0</v>
      </c>
      <c r="S201" s="203">
        <f>IF(Input!$E$195="Cash",0,Input!$E$196)</f>
        <v>0</v>
      </c>
      <c r="T201" s="203">
        <f>IF(Input!$E$195="Cash",0,Input!$E$196)</f>
        <v>0</v>
      </c>
      <c r="U201" s="203">
        <f>IF(Input!$E$195="Cash",0,Input!$E$196)</f>
        <v>0</v>
      </c>
      <c r="V201" s="203">
        <f>IF(Input!$E$195="Cash",0,Input!$E$196)</f>
        <v>0</v>
      </c>
      <c r="W201" s="203">
        <f>IF(Input!$E$195="Cash",0,Input!$E$196)</f>
        <v>0</v>
      </c>
      <c r="X201" s="203">
        <f>IF(Input!$E$195="Cash",0,Input!$E$196)</f>
        <v>0</v>
      </c>
      <c r="Y201" s="203">
        <f>IF(Input!$E$195="Cash",0,Input!$E$196)</f>
        <v>0</v>
      </c>
      <c r="Z201" s="203">
        <f>IF(Input!$E$195="Cash",0,Input!$E$196)</f>
        <v>0</v>
      </c>
      <c r="AA201" s="203">
        <f>IF(Input!$E$195="Cash",0,Input!$E$196)</f>
        <v>0</v>
      </c>
      <c r="AB201" s="203">
        <f>IF(Input!$E$195="Cash",0,Input!$E$196)</f>
        <v>0</v>
      </c>
      <c r="AC201" s="203">
        <f>IF(Input!$E$195="Cash",0,Input!$E$196)</f>
        <v>0</v>
      </c>
      <c r="AD201" s="203">
        <f>IF(Input!$E$195="Cash",0,Input!$E$196)</f>
        <v>0</v>
      </c>
      <c r="AE201" s="203">
        <f>IF(Input!$E$195="Cash",0,Input!$E$196)</f>
        <v>0</v>
      </c>
      <c r="AF201" s="203">
        <f>IF(Input!$E$195="Cash",0,Input!$E$196)</f>
        <v>0</v>
      </c>
      <c r="AG201" s="203">
        <f>IF(Input!$E$195="Cash",0,Input!$E$196)</f>
        <v>0</v>
      </c>
      <c r="AH201" s="203">
        <f>IF(Input!$E$195="Cash",0,Input!$E$196)</f>
        <v>0</v>
      </c>
      <c r="AI201" s="203">
        <f>IF(Input!$E$195="Cash",0,Input!$E$196)</f>
        <v>0</v>
      </c>
    </row>
    <row r="202" spans="1:35" hidden="1" x14ac:dyDescent="0.3">
      <c r="A202" s="217"/>
      <c r="B202" s="5" t="s">
        <v>144</v>
      </c>
      <c r="C202" s="198" t="s">
        <v>11</v>
      </c>
      <c r="D202" s="232">
        <f ca="1">SUM(E202:BL202)</f>
        <v>0</v>
      </c>
      <c r="E202" s="5">
        <f t="shared" ref="E202:AI202" ca="1" si="102">MAX(E194,E196)*E201*E9</f>
        <v>0</v>
      </c>
      <c r="F202" s="5">
        <f t="shared" ca="1" si="102"/>
        <v>0</v>
      </c>
      <c r="G202" s="5">
        <f t="shared" ca="1" si="102"/>
        <v>0</v>
      </c>
      <c r="H202" s="5">
        <f t="shared" ca="1" si="102"/>
        <v>0</v>
      </c>
      <c r="I202" s="5">
        <f t="shared" ca="1" si="102"/>
        <v>0</v>
      </c>
      <c r="J202" s="5">
        <f t="shared" ca="1" si="102"/>
        <v>0</v>
      </c>
      <c r="K202" s="5">
        <f t="shared" ca="1" si="102"/>
        <v>0</v>
      </c>
      <c r="L202" s="5">
        <f t="shared" ca="1" si="102"/>
        <v>0</v>
      </c>
      <c r="M202" s="5">
        <f t="shared" ca="1" si="102"/>
        <v>0</v>
      </c>
      <c r="N202" s="5">
        <f t="shared" ca="1" si="102"/>
        <v>0</v>
      </c>
      <c r="O202" s="5">
        <f t="shared" ca="1" si="102"/>
        <v>0</v>
      </c>
      <c r="P202" s="5">
        <f t="shared" ca="1" si="102"/>
        <v>0</v>
      </c>
      <c r="Q202" s="5">
        <f t="shared" ca="1" si="102"/>
        <v>0</v>
      </c>
      <c r="R202" s="5">
        <f t="shared" ca="1" si="102"/>
        <v>0</v>
      </c>
      <c r="S202" s="5">
        <f t="shared" ca="1" si="102"/>
        <v>0</v>
      </c>
      <c r="T202" s="5">
        <f t="shared" ca="1" si="102"/>
        <v>0</v>
      </c>
      <c r="U202" s="5">
        <f t="shared" ca="1" si="102"/>
        <v>0</v>
      </c>
      <c r="V202" s="5">
        <f t="shared" ca="1" si="102"/>
        <v>0</v>
      </c>
      <c r="W202" s="5">
        <f t="shared" ca="1" si="102"/>
        <v>0</v>
      </c>
      <c r="X202" s="5">
        <f t="shared" ca="1" si="102"/>
        <v>0</v>
      </c>
      <c r="Y202" s="5">
        <f t="shared" ca="1" si="102"/>
        <v>0</v>
      </c>
      <c r="Z202" s="5">
        <f t="shared" ca="1" si="102"/>
        <v>0</v>
      </c>
      <c r="AA202" s="5">
        <f t="shared" ca="1" si="102"/>
        <v>0</v>
      </c>
      <c r="AB202" s="5">
        <f t="shared" ca="1" si="102"/>
        <v>0</v>
      </c>
      <c r="AC202" s="5">
        <f t="shared" ca="1" si="102"/>
        <v>0</v>
      </c>
      <c r="AD202" s="5">
        <f t="shared" ca="1" si="102"/>
        <v>0</v>
      </c>
      <c r="AE202" s="5">
        <f t="shared" ca="1" si="102"/>
        <v>0</v>
      </c>
      <c r="AF202" s="5">
        <f t="shared" ca="1" si="102"/>
        <v>0</v>
      </c>
      <c r="AG202" s="5">
        <f t="shared" ca="1" si="102"/>
        <v>0</v>
      </c>
      <c r="AH202" s="5">
        <f t="shared" ca="1" si="102"/>
        <v>0</v>
      </c>
      <c r="AI202" s="5">
        <f t="shared" ca="1" si="102"/>
        <v>0</v>
      </c>
    </row>
    <row r="203" spans="1:35" x14ac:dyDescent="0.3">
      <c r="A203" s="217"/>
      <c r="B203" s="5"/>
      <c r="C203" s="174"/>
      <c r="D203" s="64"/>
      <c r="E203" s="175"/>
      <c r="F203" s="17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row>
    <row r="204" spans="1:35" x14ac:dyDescent="0.3">
      <c r="A204" s="210" t="s">
        <v>129</v>
      </c>
      <c r="B204" s="178"/>
      <c r="C204" s="195"/>
      <c r="D204" s="211"/>
      <c r="E204" s="212"/>
      <c r="F204" s="212"/>
      <c r="G204" s="212"/>
      <c r="H204" s="212"/>
      <c r="I204" s="212"/>
      <c r="J204" s="212"/>
      <c r="K204" s="212"/>
      <c r="L204" s="212"/>
      <c r="M204" s="212"/>
      <c r="N204" s="212"/>
      <c r="O204" s="212"/>
      <c r="P204" s="212"/>
      <c r="Q204" s="212"/>
      <c r="R204" s="212"/>
      <c r="S204" s="212"/>
      <c r="T204" s="212"/>
      <c r="U204" s="211"/>
      <c r="V204" s="211"/>
      <c r="W204" s="211"/>
      <c r="X204" s="211"/>
      <c r="Y204" s="211"/>
      <c r="Z204" s="211"/>
      <c r="AA204" s="211"/>
      <c r="AB204" s="211"/>
      <c r="AC204" s="211"/>
      <c r="AD204" s="211"/>
      <c r="AE204" s="211"/>
      <c r="AF204" s="211"/>
      <c r="AG204" s="211"/>
      <c r="AH204" s="211"/>
      <c r="AI204" s="211"/>
    </row>
    <row r="205" spans="1:35" x14ac:dyDescent="0.3">
      <c r="A205" s="233"/>
      <c r="B205" s="3" t="s">
        <v>149</v>
      </c>
      <c r="C205" s="198" t="s">
        <v>11</v>
      </c>
      <c r="D205" s="205"/>
      <c r="E205" s="234">
        <f t="shared" ref="E205:AI205" ca="1" si="103">E71</f>
        <v>174.61457293978017</v>
      </c>
      <c r="F205" s="234">
        <f t="shared" ca="1" si="103"/>
        <v>372.76860972753059</v>
      </c>
      <c r="G205" s="234">
        <f t="shared" ca="1" si="103"/>
        <v>372.76860972753059</v>
      </c>
      <c r="H205" s="234">
        <f t="shared" ca="1" si="103"/>
        <v>372.76860972753059</v>
      </c>
      <c r="I205" s="234">
        <f t="shared" ca="1" si="103"/>
        <v>372.76860972753059</v>
      </c>
      <c r="J205" s="234">
        <f t="shared" ca="1" si="103"/>
        <v>372.76860972753059</v>
      </c>
      <c r="K205" s="234">
        <f t="shared" ca="1" si="103"/>
        <v>372.76860972753059</v>
      </c>
      <c r="L205" s="234">
        <f t="shared" ca="1" si="103"/>
        <v>372.76860972753059</v>
      </c>
      <c r="M205" s="234">
        <f t="shared" ca="1" si="103"/>
        <v>372.76860972753059</v>
      </c>
      <c r="N205" s="234">
        <f t="shared" ca="1" si="103"/>
        <v>372.76860972753059</v>
      </c>
      <c r="O205" s="234">
        <f t="shared" ca="1" si="103"/>
        <v>372.76860972753059</v>
      </c>
      <c r="P205" s="234">
        <f t="shared" ca="1" si="103"/>
        <v>372.76860972753059</v>
      </c>
      <c r="Q205" s="234">
        <f t="shared" ca="1" si="103"/>
        <v>372.76860972753059</v>
      </c>
      <c r="R205" s="234">
        <f t="shared" ca="1" si="103"/>
        <v>372.76860972753059</v>
      </c>
      <c r="S205" s="234">
        <f t="shared" ca="1" si="103"/>
        <v>372.76860972753059</v>
      </c>
      <c r="T205" s="234">
        <f t="shared" ca="1" si="103"/>
        <v>372.76860972753059</v>
      </c>
      <c r="U205" s="234">
        <f t="shared" ca="1" si="103"/>
        <v>372.76860972753059</v>
      </c>
      <c r="V205" s="234">
        <f t="shared" ca="1" si="103"/>
        <v>372.76860972753059</v>
      </c>
      <c r="W205" s="234">
        <f t="shared" ca="1" si="103"/>
        <v>372.76860972753059</v>
      </c>
      <c r="X205" s="234">
        <f t="shared" ca="1" si="103"/>
        <v>372.76860972753059</v>
      </c>
      <c r="Y205" s="234">
        <f t="shared" ca="1" si="103"/>
        <v>372.76860972753059</v>
      </c>
      <c r="Z205" s="234">
        <f t="shared" ca="1" si="103"/>
        <v>372.76860972753059</v>
      </c>
      <c r="AA205" s="234">
        <f t="shared" ca="1" si="103"/>
        <v>372.76860972753059</v>
      </c>
      <c r="AB205" s="234">
        <f t="shared" ca="1" si="103"/>
        <v>372.76860972753059</v>
      </c>
      <c r="AC205" s="234">
        <f t="shared" ca="1" si="103"/>
        <v>372.76860972753059</v>
      </c>
      <c r="AD205" s="234">
        <f t="shared" ca="1" si="103"/>
        <v>372.76860972753059</v>
      </c>
      <c r="AE205" s="234">
        <f t="shared" ca="1" si="103"/>
        <v>372.76860972753059</v>
      </c>
      <c r="AF205" s="234">
        <f t="shared" ca="1" si="103"/>
        <v>372.76860972753059</v>
      </c>
      <c r="AG205" s="234">
        <f t="shared" ca="1" si="103"/>
        <v>372.76860972753059</v>
      </c>
      <c r="AH205" s="234">
        <f t="shared" ca="1" si="103"/>
        <v>372.76860972753059</v>
      </c>
      <c r="AI205" s="234">
        <f t="shared" ca="1" si="103"/>
        <v>372.76860972753059</v>
      </c>
    </row>
    <row r="206" spans="1:35" x14ac:dyDescent="0.3">
      <c r="A206" s="8"/>
      <c r="B206" s="8" t="s">
        <v>148</v>
      </c>
      <c r="C206" s="202" t="s">
        <v>0</v>
      </c>
      <c r="E206" s="235">
        <f>Input!$E$192</f>
        <v>0.14000000000000001</v>
      </c>
      <c r="F206" s="235">
        <f>Input!$E$192</f>
        <v>0.14000000000000001</v>
      </c>
      <c r="G206" s="235">
        <f>Input!$E$192</f>
        <v>0.14000000000000001</v>
      </c>
      <c r="H206" s="235">
        <f>Input!$E$192</f>
        <v>0.14000000000000001</v>
      </c>
      <c r="I206" s="235">
        <f>Input!$E$192</f>
        <v>0.14000000000000001</v>
      </c>
      <c r="J206" s="235">
        <f>Input!$E$192</f>
        <v>0.14000000000000001</v>
      </c>
      <c r="K206" s="235">
        <f>Input!$E$192</f>
        <v>0.14000000000000001</v>
      </c>
      <c r="L206" s="235">
        <f>Input!$E$192</f>
        <v>0.14000000000000001</v>
      </c>
      <c r="M206" s="235">
        <f>Input!$E$192</f>
        <v>0.14000000000000001</v>
      </c>
      <c r="N206" s="235">
        <f>Input!$E$192</f>
        <v>0.14000000000000001</v>
      </c>
      <c r="O206" s="235">
        <f>Input!$E$192</f>
        <v>0.14000000000000001</v>
      </c>
      <c r="P206" s="235">
        <f>Input!$E$192</f>
        <v>0.14000000000000001</v>
      </c>
      <c r="Q206" s="235">
        <f>Input!$E$192</f>
        <v>0.14000000000000001</v>
      </c>
      <c r="R206" s="235">
        <f>Input!$E$192</f>
        <v>0.14000000000000001</v>
      </c>
      <c r="S206" s="235">
        <f>Input!$E$192</f>
        <v>0.14000000000000001</v>
      </c>
      <c r="T206" s="235">
        <f>Input!$E$192</f>
        <v>0.14000000000000001</v>
      </c>
      <c r="U206" s="235">
        <f>Input!$E$192</f>
        <v>0.14000000000000001</v>
      </c>
      <c r="V206" s="235">
        <f>Input!$E$192</f>
        <v>0.14000000000000001</v>
      </c>
      <c r="W206" s="235">
        <f>Input!$E$192</f>
        <v>0.14000000000000001</v>
      </c>
      <c r="X206" s="235">
        <f>Input!$E$192</f>
        <v>0.14000000000000001</v>
      </c>
      <c r="Y206" s="235">
        <f>Input!$E$192</f>
        <v>0.14000000000000001</v>
      </c>
      <c r="Z206" s="235">
        <f>Input!$E$192</f>
        <v>0.14000000000000001</v>
      </c>
      <c r="AA206" s="235">
        <f>Input!$E$192</f>
        <v>0.14000000000000001</v>
      </c>
      <c r="AB206" s="235">
        <f>Input!$E$192</f>
        <v>0.14000000000000001</v>
      </c>
      <c r="AC206" s="235">
        <f>Input!$E$192</f>
        <v>0.14000000000000001</v>
      </c>
      <c r="AD206" s="235">
        <f>Input!$E$192</f>
        <v>0.14000000000000001</v>
      </c>
      <c r="AE206" s="235">
        <f>Input!$E$192</f>
        <v>0.14000000000000001</v>
      </c>
      <c r="AF206" s="235">
        <f>Input!$E$192</f>
        <v>0.14000000000000001</v>
      </c>
      <c r="AG206" s="235">
        <f>Input!$E$192</f>
        <v>0.14000000000000001</v>
      </c>
      <c r="AH206" s="235">
        <f>Input!$E$192</f>
        <v>0.14000000000000001</v>
      </c>
      <c r="AI206" s="235">
        <f>Input!$E$192</f>
        <v>0.14000000000000001</v>
      </c>
    </row>
    <row r="207" spans="1:35" x14ac:dyDescent="0.3">
      <c r="A207" s="8"/>
      <c r="B207" s="8" t="s">
        <v>148</v>
      </c>
      <c r="C207" s="198" t="s">
        <v>11</v>
      </c>
      <c r="E207" s="81">
        <f t="shared" ref="E207:AI207" ca="1" si="104">E206*E205*E9</f>
        <v>0</v>
      </c>
      <c r="F207" s="81">
        <f t="shared" ca="1" si="104"/>
        <v>26.02231281056844</v>
      </c>
      <c r="G207" s="81">
        <f t="shared" ca="1" si="104"/>
        <v>52.187605361854288</v>
      </c>
      <c r="H207" s="81">
        <f t="shared" ca="1" si="104"/>
        <v>52.187605361854288</v>
      </c>
      <c r="I207" s="81">
        <f t="shared" ca="1" si="104"/>
        <v>52.187605361854288</v>
      </c>
      <c r="J207" s="81">
        <f t="shared" ca="1" si="104"/>
        <v>52.187605361854288</v>
      </c>
      <c r="K207" s="81">
        <f t="shared" ca="1" si="104"/>
        <v>52.187605361854288</v>
      </c>
      <c r="L207" s="81">
        <f t="shared" ca="1" si="104"/>
        <v>52.187605361854288</v>
      </c>
      <c r="M207" s="81">
        <f t="shared" ca="1" si="104"/>
        <v>52.187605361854288</v>
      </c>
      <c r="N207" s="81">
        <f t="shared" ca="1" si="104"/>
        <v>52.187605361854288</v>
      </c>
      <c r="O207" s="81">
        <f t="shared" ca="1" si="104"/>
        <v>52.187605361854288</v>
      </c>
      <c r="P207" s="81">
        <f t="shared" ca="1" si="104"/>
        <v>52.187605361854288</v>
      </c>
      <c r="Q207" s="81">
        <f t="shared" ca="1" si="104"/>
        <v>52.187605361854288</v>
      </c>
      <c r="R207" s="81">
        <f t="shared" ca="1" si="104"/>
        <v>52.187605361854288</v>
      </c>
      <c r="S207" s="81">
        <f t="shared" ca="1" si="104"/>
        <v>52.187605361854288</v>
      </c>
      <c r="T207" s="81">
        <f t="shared" ca="1" si="104"/>
        <v>52.187605361854288</v>
      </c>
      <c r="U207" s="81">
        <f t="shared" ca="1" si="104"/>
        <v>52.187605361854288</v>
      </c>
      <c r="V207" s="81">
        <f t="shared" ca="1" si="104"/>
        <v>52.187605361854288</v>
      </c>
      <c r="W207" s="81">
        <f t="shared" ca="1" si="104"/>
        <v>52.187605361854288</v>
      </c>
      <c r="X207" s="81">
        <f t="shared" ca="1" si="104"/>
        <v>52.187605361854288</v>
      </c>
      <c r="Y207" s="81">
        <f t="shared" ca="1" si="104"/>
        <v>52.187605361854288</v>
      </c>
      <c r="Z207" s="81">
        <f t="shared" ca="1" si="104"/>
        <v>52.187605361854288</v>
      </c>
      <c r="AA207" s="81">
        <f t="shared" ca="1" si="104"/>
        <v>52.187605361854288</v>
      </c>
      <c r="AB207" s="81">
        <f t="shared" ca="1" si="104"/>
        <v>52.187605361854288</v>
      </c>
      <c r="AC207" s="81">
        <f t="shared" ca="1" si="104"/>
        <v>52.187605361854288</v>
      </c>
      <c r="AD207" s="81">
        <f t="shared" ca="1" si="104"/>
        <v>52.187605361854288</v>
      </c>
      <c r="AE207" s="81">
        <f t="shared" ca="1" si="104"/>
        <v>26.093802680927144</v>
      </c>
      <c r="AF207" s="81">
        <f t="shared" ca="1" si="104"/>
        <v>0</v>
      </c>
      <c r="AG207" s="81">
        <f t="shared" ca="1" si="104"/>
        <v>0</v>
      </c>
      <c r="AH207" s="81">
        <f t="shared" ca="1" si="104"/>
        <v>0</v>
      </c>
      <c r="AI207" s="81">
        <f t="shared" ca="1" si="104"/>
        <v>0</v>
      </c>
    </row>
    <row r="208" spans="1:35" x14ac:dyDescent="0.3">
      <c r="A208" s="8"/>
      <c r="E208" s="235"/>
      <c r="F208" s="235"/>
      <c r="G208" s="235"/>
      <c r="H208" s="235"/>
      <c r="I208" s="235"/>
      <c r="J208" s="235"/>
      <c r="K208" s="235"/>
      <c r="L208" s="235"/>
      <c r="M208" s="235"/>
      <c r="N208" s="235"/>
      <c r="O208" s="235"/>
      <c r="P208" s="235"/>
      <c r="Q208" s="235"/>
      <c r="R208" s="235"/>
      <c r="S208" s="235"/>
      <c r="T208" s="235"/>
      <c r="U208" s="235"/>
      <c r="V208" s="235"/>
      <c r="W208" s="235"/>
      <c r="X208" s="235"/>
      <c r="Y208" s="235"/>
      <c r="Z208" s="235"/>
      <c r="AA208" s="235"/>
      <c r="AB208" s="235"/>
      <c r="AC208" s="235"/>
      <c r="AD208" s="235"/>
      <c r="AE208" s="235"/>
      <c r="AF208" s="235"/>
      <c r="AG208" s="235"/>
      <c r="AH208" s="235"/>
      <c r="AI208" s="235"/>
    </row>
    <row r="209" spans="1:35" x14ac:dyDescent="0.3">
      <c r="A209" s="8"/>
      <c r="B209" s="8" t="s">
        <v>840</v>
      </c>
      <c r="C209" s="202" t="s">
        <v>0</v>
      </c>
      <c r="E209" s="235">
        <f t="shared" ref="E209" ca="1" si="105">E312</f>
        <v>0</v>
      </c>
      <c r="F209" s="235">
        <f>IF(F5&lt;=20,Input!$E$224,Input!$E$223)</f>
        <v>0.1716</v>
      </c>
      <c r="G209" s="235">
        <f>IF(G5&lt;=20,Input!$E$224,Input!$E$223)</f>
        <v>0.1716</v>
      </c>
      <c r="H209" s="235">
        <f>IF(H5&lt;=20,Input!$E$224,Input!$E$223)</f>
        <v>0.1716</v>
      </c>
      <c r="I209" s="235">
        <f>IF(I5&lt;=20,Input!$E$224,Input!$E$223)</f>
        <v>0.1716</v>
      </c>
      <c r="J209" s="235">
        <f>IF(J5&lt;=20,Input!$E$224,Input!$E$223)</f>
        <v>0.1716</v>
      </c>
      <c r="K209" s="235">
        <f>IF(K5&lt;=20,Input!$E$224,Input!$E$223)</f>
        <v>0.1716</v>
      </c>
      <c r="L209" s="235">
        <f>IF(L5&lt;=20,Input!$E$224,Input!$E$223)</f>
        <v>0.1716</v>
      </c>
      <c r="M209" s="235">
        <f>IF(M5&lt;=20,Input!$E$224,Input!$E$223)</f>
        <v>0.1716</v>
      </c>
      <c r="N209" s="235">
        <f>IF(N5&lt;=20,Input!$E$224,Input!$E$223)</f>
        <v>0.1716</v>
      </c>
      <c r="O209" s="235">
        <f>IF(O5&lt;=20,Input!$E$224,Input!$E$223)</f>
        <v>0.1716</v>
      </c>
      <c r="P209" s="235">
        <f>IF(P5&lt;=20,Input!$E$224,Input!$E$223)</f>
        <v>0.1716</v>
      </c>
      <c r="Q209" s="235">
        <f>IF(Q5&lt;=20,Input!$E$224,Input!$E$223)</f>
        <v>0.1716</v>
      </c>
      <c r="R209" s="235">
        <f>IF(R5&lt;=20,Input!$E$224,Input!$E$223)</f>
        <v>0.1716</v>
      </c>
      <c r="S209" s="235">
        <f>IF(S5&lt;=20,Input!$E$224,Input!$E$223)</f>
        <v>0.1716</v>
      </c>
      <c r="T209" s="235">
        <f>IF(T5&lt;=20,Input!$E$224,Input!$E$223)</f>
        <v>0.1716</v>
      </c>
      <c r="U209" s="235">
        <f>IF(U5&lt;=20,Input!$E$224,Input!$E$223)</f>
        <v>0.1716</v>
      </c>
      <c r="V209" s="235">
        <f>IF(V5&lt;=20,Input!$E$224,Input!$E$223)</f>
        <v>0.1716</v>
      </c>
      <c r="W209" s="235">
        <f>IF(W5&lt;=20,Input!$E$224,Input!$E$223)</f>
        <v>0.1716</v>
      </c>
      <c r="X209" s="235">
        <f>IF(X5&lt;=20,Input!$E$224,Input!$E$223)</f>
        <v>0.1716</v>
      </c>
      <c r="Y209" s="235">
        <f>IF(Y5&lt;=20,Input!$E$224,Input!$E$223)</f>
        <v>0.1716</v>
      </c>
      <c r="Z209" s="235">
        <f>IF(Z5&lt;=20,Input!$E$224,Input!$E$223)</f>
        <v>0.22</v>
      </c>
      <c r="AA209" s="235">
        <f>IF(AA5&lt;=20,Input!$E$224,Input!$E$223)</f>
        <v>0.22</v>
      </c>
      <c r="AB209" s="235">
        <f>IF(AB5&lt;=20,Input!$E$224,Input!$E$223)</f>
        <v>0.22</v>
      </c>
      <c r="AC209" s="235">
        <f>IF(AC5&lt;=20,Input!$E$224,Input!$E$223)</f>
        <v>0.22</v>
      </c>
      <c r="AD209" s="235">
        <f>IF(AD5&lt;=20,Input!$E$224,Input!$E$223)</f>
        <v>0.22</v>
      </c>
      <c r="AE209" s="235">
        <f>IF(AE5&lt;=20,Input!$E$224,Input!$E$223)</f>
        <v>0.22</v>
      </c>
      <c r="AF209" s="235">
        <f>IF(AF5&lt;=20,Input!$E$224,Input!$E$223)</f>
        <v>0.22</v>
      </c>
      <c r="AG209" s="235">
        <f>IF(AG5&lt;=20,Input!$E$224,Input!$E$223)</f>
        <v>0.22</v>
      </c>
      <c r="AH209" s="235">
        <f>IF(AH5&lt;=20,Input!$E$224,Input!$E$223)</f>
        <v>0.22</v>
      </c>
      <c r="AI209" s="235">
        <f>IF(AI5&lt;=20,Input!$E$224,Input!$E$223)</f>
        <v>0.22</v>
      </c>
    </row>
    <row r="210" spans="1:35" x14ac:dyDescent="0.3">
      <c r="A210" s="8"/>
      <c r="B210" s="8" t="s">
        <v>147</v>
      </c>
      <c r="C210" s="202" t="s">
        <v>0</v>
      </c>
      <c r="E210" s="235">
        <f t="shared" ref="E210:AI210" ca="1" si="106">E206/(1-E209)</f>
        <v>0.14000000000000001</v>
      </c>
      <c r="F210" s="235">
        <f t="shared" si="106"/>
        <v>0.16900048285852245</v>
      </c>
      <c r="G210" s="235">
        <f t="shared" si="106"/>
        <v>0.16900048285852245</v>
      </c>
      <c r="H210" s="235">
        <f t="shared" si="106"/>
        <v>0.16900048285852245</v>
      </c>
      <c r="I210" s="235">
        <f t="shared" si="106"/>
        <v>0.16900048285852245</v>
      </c>
      <c r="J210" s="235">
        <f t="shared" si="106"/>
        <v>0.16900048285852245</v>
      </c>
      <c r="K210" s="235">
        <f t="shared" si="106"/>
        <v>0.16900048285852245</v>
      </c>
      <c r="L210" s="235">
        <f t="shared" si="106"/>
        <v>0.16900048285852245</v>
      </c>
      <c r="M210" s="235">
        <f t="shared" si="106"/>
        <v>0.16900048285852245</v>
      </c>
      <c r="N210" s="235">
        <f t="shared" si="106"/>
        <v>0.16900048285852245</v>
      </c>
      <c r="O210" s="235">
        <f t="shared" si="106"/>
        <v>0.16900048285852245</v>
      </c>
      <c r="P210" s="235">
        <f t="shared" si="106"/>
        <v>0.16900048285852245</v>
      </c>
      <c r="Q210" s="235">
        <f t="shared" si="106"/>
        <v>0.16900048285852245</v>
      </c>
      <c r="R210" s="235">
        <f t="shared" si="106"/>
        <v>0.16900048285852245</v>
      </c>
      <c r="S210" s="235">
        <f t="shared" si="106"/>
        <v>0.16900048285852245</v>
      </c>
      <c r="T210" s="235">
        <f t="shared" si="106"/>
        <v>0.16900048285852245</v>
      </c>
      <c r="U210" s="235">
        <f t="shared" si="106"/>
        <v>0.16900048285852245</v>
      </c>
      <c r="V210" s="235">
        <f t="shared" si="106"/>
        <v>0.16900048285852245</v>
      </c>
      <c r="W210" s="235">
        <f t="shared" si="106"/>
        <v>0.16900048285852245</v>
      </c>
      <c r="X210" s="235">
        <f t="shared" si="106"/>
        <v>0.16900048285852245</v>
      </c>
      <c r="Y210" s="235">
        <f t="shared" si="106"/>
        <v>0.16900048285852245</v>
      </c>
      <c r="Z210" s="235">
        <f t="shared" si="106"/>
        <v>0.17948717948717949</v>
      </c>
      <c r="AA210" s="235">
        <f t="shared" si="106"/>
        <v>0.17948717948717949</v>
      </c>
      <c r="AB210" s="235">
        <f t="shared" si="106"/>
        <v>0.17948717948717949</v>
      </c>
      <c r="AC210" s="235">
        <f t="shared" si="106"/>
        <v>0.17948717948717949</v>
      </c>
      <c r="AD210" s="235">
        <f t="shared" si="106"/>
        <v>0.17948717948717949</v>
      </c>
      <c r="AE210" s="235">
        <f t="shared" si="106"/>
        <v>0.17948717948717949</v>
      </c>
      <c r="AF210" s="235">
        <f t="shared" si="106"/>
        <v>0.17948717948717949</v>
      </c>
      <c r="AG210" s="235">
        <f t="shared" si="106"/>
        <v>0.17948717948717949</v>
      </c>
      <c r="AH210" s="235">
        <f t="shared" si="106"/>
        <v>0.17948717948717949</v>
      </c>
      <c r="AI210" s="235">
        <f t="shared" si="106"/>
        <v>0.17948717948717949</v>
      </c>
    </row>
    <row r="211" spans="1:35" x14ac:dyDescent="0.3">
      <c r="A211" s="8"/>
      <c r="B211" s="8" t="s">
        <v>147</v>
      </c>
      <c r="C211" s="198" t="s">
        <v>11</v>
      </c>
      <c r="E211" s="81">
        <f t="shared" ref="E211:AI211" ca="1" si="107">E210*E205*E9</f>
        <v>0</v>
      </c>
      <c r="F211" s="81">
        <f t="shared" ca="1" si="107"/>
        <v>31.412738786297005</v>
      </c>
      <c r="G211" s="81">
        <f t="shared" ca="1" si="107"/>
        <v>62.998075038452782</v>
      </c>
      <c r="H211" s="81">
        <f t="shared" ca="1" si="107"/>
        <v>62.998075038452782</v>
      </c>
      <c r="I211" s="81">
        <f t="shared" ca="1" si="107"/>
        <v>62.998075038452782</v>
      </c>
      <c r="J211" s="81">
        <f t="shared" ca="1" si="107"/>
        <v>62.998075038452782</v>
      </c>
      <c r="K211" s="81">
        <f t="shared" ca="1" si="107"/>
        <v>62.998075038452782</v>
      </c>
      <c r="L211" s="81">
        <f t="shared" ca="1" si="107"/>
        <v>62.998075038452782</v>
      </c>
      <c r="M211" s="81">
        <f t="shared" ca="1" si="107"/>
        <v>62.998075038452782</v>
      </c>
      <c r="N211" s="81">
        <f t="shared" ca="1" si="107"/>
        <v>62.998075038452782</v>
      </c>
      <c r="O211" s="81">
        <f t="shared" ca="1" si="107"/>
        <v>62.998075038452782</v>
      </c>
      <c r="P211" s="81">
        <f t="shared" ca="1" si="107"/>
        <v>62.998075038452782</v>
      </c>
      <c r="Q211" s="81">
        <f t="shared" ca="1" si="107"/>
        <v>62.998075038452782</v>
      </c>
      <c r="R211" s="81">
        <f t="shared" ca="1" si="107"/>
        <v>62.998075038452782</v>
      </c>
      <c r="S211" s="81">
        <f t="shared" ca="1" si="107"/>
        <v>62.998075038452782</v>
      </c>
      <c r="T211" s="81">
        <f t="shared" ca="1" si="107"/>
        <v>62.998075038452782</v>
      </c>
      <c r="U211" s="81">
        <f t="shared" ca="1" si="107"/>
        <v>62.998075038452782</v>
      </c>
      <c r="V211" s="81">
        <f t="shared" ca="1" si="107"/>
        <v>62.998075038452782</v>
      </c>
      <c r="W211" s="81">
        <f t="shared" ca="1" si="107"/>
        <v>62.998075038452782</v>
      </c>
      <c r="X211" s="81">
        <f t="shared" ca="1" si="107"/>
        <v>62.998075038452782</v>
      </c>
      <c r="Y211" s="81">
        <f t="shared" ca="1" si="107"/>
        <v>62.998075038452782</v>
      </c>
      <c r="Z211" s="81">
        <f t="shared" ca="1" si="107"/>
        <v>66.907186361351648</v>
      </c>
      <c r="AA211" s="81">
        <f t="shared" ca="1" si="107"/>
        <v>66.907186361351648</v>
      </c>
      <c r="AB211" s="81">
        <f t="shared" ca="1" si="107"/>
        <v>66.907186361351648</v>
      </c>
      <c r="AC211" s="81">
        <f t="shared" ca="1" si="107"/>
        <v>66.907186361351648</v>
      </c>
      <c r="AD211" s="81">
        <f t="shared" ca="1" si="107"/>
        <v>66.907186361351648</v>
      </c>
      <c r="AE211" s="81">
        <f t="shared" ca="1" si="107"/>
        <v>33.453593180675824</v>
      </c>
      <c r="AF211" s="81">
        <f t="shared" ca="1" si="107"/>
        <v>0</v>
      </c>
      <c r="AG211" s="81">
        <f t="shared" ca="1" si="107"/>
        <v>0</v>
      </c>
      <c r="AH211" s="81">
        <f t="shared" ca="1" si="107"/>
        <v>0</v>
      </c>
      <c r="AI211" s="81">
        <f t="shared" ca="1" si="107"/>
        <v>0</v>
      </c>
    </row>
    <row r="212" spans="1:35" x14ac:dyDescent="0.3">
      <c r="A212" s="8"/>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row>
    <row r="213" spans="1:35" x14ac:dyDescent="0.3">
      <c r="A213" s="8"/>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row>
    <row r="214" spans="1:35" hidden="1" x14ac:dyDescent="0.3">
      <c r="A214" s="210" t="s">
        <v>146</v>
      </c>
      <c r="B214" s="178"/>
      <c r="C214" s="195"/>
      <c r="D214" s="211"/>
      <c r="E214" s="212"/>
      <c r="F214" s="212"/>
      <c r="G214" s="212"/>
      <c r="H214" s="212"/>
      <c r="I214" s="212"/>
      <c r="J214" s="212"/>
      <c r="K214" s="212"/>
      <c r="L214" s="212"/>
      <c r="M214" s="212"/>
      <c r="N214" s="212"/>
      <c r="O214" s="212"/>
      <c r="P214" s="212"/>
      <c r="Q214" s="212"/>
      <c r="R214" s="212"/>
      <c r="S214" s="212"/>
      <c r="T214" s="212"/>
      <c r="U214" s="211"/>
      <c r="V214" s="211"/>
      <c r="W214" s="211"/>
      <c r="X214" s="211"/>
      <c r="Y214" s="211"/>
      <c r="Z214" s="211"/>
      <c r="AA214" s="211"/>
      <c r="AB214" s="211"/>
      <c r="AC214" s="211"/>
      <c r="AD214" s="211"/>
      <c r="AE214" s="211"/>
      <c r="AF214" s="211"/>
      <c r="AG214" s="211"/>
      <c r="AH214" s="211"/>
      <c r="AI214" s="211"/>
    </row>
    <row r="215" spans="1:35" hidden="1" x14ac:dyDescent="0.3">
      <c r="A215" s="5"/>
      <c r="B215" s="5" t="s">
        <v>117</v>
      </c>
      <c r="C215" s="198" t="s">
        <v>11</v>
      </c>
      <c r="D215" s="205"/>
      <c r="E215" s="5">
        <f t="shared" ref="E215:AI215" ca="1" si="108">E162</f>
        <v>0</v>
      </c>
      <c r="F215" s="5">
        <f t="shared" ca="1" si="108"/>
        <v>89.815003537659209</v>
      </c>
      <c r="G215" s="5">
        <f t="shared" ca="1" si="108"/>
        <v>177.31173341361759</v>
      </c>
      <c r="H215" s="5">
        <f t="shared" ca="1" si="108"/>
        <v>175.09533674594738</v>
      </c>
      <c r="I215" s="5">
        <f t="shared" ca="1" si="108"/>
        <v>172.90664503662305</v>
      </c>
      <c r="J215" s="5">
        <f t="shared" ca="1" si="108"/>
        <v>170.74531197366528</v>
      </c>
      <c r="K215" s="5">
        <f t="shared" ca="1" si="108"/>
        <v>168.61099557399447</v>
      </c>
      <c r="L215" s="5">
        <f t="shared" ca="1" si="108"/>
        <v>166.50335812931954</v>
      </c>
      <c r="M215" s="5">
        <f t="shared" ca="1" si="108"/>
        <v>164.42206615270305</v>
      </c>
      <c r="N215" s="5">
        <f t="shared" ca="1" si="108"/>
        <v>162.36679032579428</v>
      </c>
      <c r="O215" s="5">
        <f t="shared" ca="1" si="108"/>
        <v>160.33720544672184</v>
      </c>
      <c r="P215" s="5">
        <f t="shared" ca="1" si="108"/>
        <v>158.33299037863782</v>
      </c>
      <c r="Q215" s="5">
        <f t="shared" ca="1" si="108"/>
        <v>156.35382799890488</v>
      </c>
      <c r="R215" s="5">
        <f t="shared" ca="1" si="108"/>
        <v>154.39940514891856</v>
      </c>
      <c r="S215" s="5">
        <f t="shared" ca="1" si="108"/>
        <v>152.46941258455712</v>
      </c>
      <c r="T215" s="5">
        <f t="shared" ca="1" si="108"/>
        <v>150.56354492725012</v>
      </c>
      <c r="U215" s="5">
        <f t="shared" ca="1" si="108"/>
        <v>148.68150061565953</v>
      </c>
      <c r="V215" s="5">
        <f t="shared" ca="1" si="108"/>
        <v>146.82298185796378</v>
      </c>
      <c r="W215" s="5">
        <f t="shared" ca="1" si="108"/>
        <v>144.98769458473924</v>
      </c>
      <c r="X215" s="5">
        <f t="shared" ca="1" si="108"/>
        <v>143.17534840242999</v>
      </c>
      <c r="Y215" s="5">
        <f t="shared" ca="1" si="108"/>
        <v>141.38565654739961</v>
      </c>
      <c r="Z215" s="5">
        <f t="shared" ca="1" si="108"/>
        <v>139.61833584055714</v>
      </c>
      <c r="AA215" s="5">
        <f t="shared" ca="1" si="108"/>
        <v>137.8731066425502</v>
      </c>
      <c r="AB215" s="5">
        <f t="shared" ca="1" si="108"/>
        <v>136.14969280951831</v>
      </c>
      <c r="AC215" s="5">
        <f t="shared" ca="1" si="108"/>
        <v>134.44782164939937</v>
      </c>
      <c r="AD215" s="5">
        <f t="shared" ca="1" si="108"/>
        <v>132.76722387878186</v>
      </c>
      <c r="AE215" s="5">
        <f t="shared" ca="1" si="108"/>
        <v>77.237216038560803</v>
      </c>
      <c r="AF215" s="5">
        <f t="shared" ca="1" si="108"/>
        <v>0</v>
      </c>
      <c r="AG215" s="5">
        <f t="shared" ca="1" si="108"/>
        <v>0</v>
      </c>
      <c r="AH215" s="5">
        <f t="shared" ca="1" si="108"/>
        <v>0</v>
      </c>
      <c r="AI215" s="5">
        <f t="shared" ca="1" si="108"/>
        <v>0</v>
      </c>
    </row>
    <row r="216" spans="1:35" hidden="1" x14ac:dyDescent="0.3">
      <c r="A216" s="3"/>
      <c r="B216" s="5" t="s">
        <v>145</v>
      </c>
      <c r="C216" s="198" t="s">
        <v>11</v>
      </c>
      <c r="D216" s="205"/>
      <c r="E216" s="3">
        <f>-E175</f>
        <v>0</v>
      </c>
      <c r="F216" s="3">
        <f t="shared" ref="F216:AI216" si="109">-F175</f>
        <v>-6.7603461119239059</v>
      </c>
      <c r="G216" s="3">
        <f t="shared" si="109"/>
        <v>-14.234368701528499</v>
      </c>
      <c r="H216" s="3">
        <f t="shared" si="109"/>
        <v>-14.945089232542362</v>
      </c>
      <c r="I216" s="3">
        <f t="shared" si="109"/>
        <v>-15.691743381201174</v>
      </c>
      <c r="J216" s="3">
        <f t="shared" si="109"/>
        <v>-16.476165666205507</v>
      </c>
      <c r="K216" s="3">
        <f t="shared" si="109"/>
        <v>-17.300284958229984</v>
      </c>
      <c r="L216" s="3">
        <f t="shared" si="109"/>
        <v>-18.166129359500236</v>
      </c>
      <c r="M216" s="3">
        <f t="shared" si="109"/>
        <v>-19.075831336761482</v>
      </c>
      <c r="N216" s="3">
        <f t="shared" si="109"/>
        <v>-20.031633120836908</v>
      </c>
      <c r="O216" s="3">
        <f t="shared" si="109"/>
        <v>-21.035892386662649</v>
      </c>
      <c r="P216" s="3">
        <f t="shared" si="109"/>
        <v>-22.091088228411451</v>
      </c>
      <c r="Q216" s="3">
        <f t="shared" si="109"/>
        <v>-23.199827445079698</v>
      </c>
      <c r="R216" s="3">
        <f t="shared" si="109"/>
        <v>-24.364851152715335</v>
      </c>
      <c r="S216" s="3">
        <f t="shared" si="109"/>
        <v>-25.589041740309035</v>
      </c>
      <c r="T216" s="3">
        <f t="shared" si="109"/>
        <v>-26.875430187259674</v>
      </c>
      <c r="U216" s="3">
        <f t="shared" si="109"/>
        <v>-28.227203761260757</v>
      </c>
      <c r="V216" s="3">
        <f t="shared" si="109"/>
        <v>-29.6477141164386</v>
      </c>
      <c r="W216" s="3">
        <f t="shared" si="109"/>
        <v>-31.140485812609008</v>
      </c>
      <c r="X216" s="3">
        <f t="shared" si="109"/>
        <v>-32.709225277609029</v>
      </c>
      <c r="Y216" s="3">
        <f t="shared" si="109"/>
        <v>-34.357830235807441</v>
      </c>
      <c r="Z216" s="3">
        <f t="shared" si="109"/>
        <v>-36.090399627104645</v>
      </c>
      <c r="AA216" s="3">
        <f t="shared" si="109"/>
        <v>-37.911244042002643</v>
      </c>
      <c r="AB216" s="3">
        <f t="shared" si="109"/>
        <v>-39.824896699662482</v>
      </c>
      <c r="AC216" s="3">
        <f t="shared" si="109"/>
        <v>-41.83612499727311</v>
      </c>
      <c r="AD216" s="3">
        <f t="shared" si="109"/>
        <v>-43.949942660535406</v>
      </c>
      <c r="AE216" s="3">
        <f t="shared" si="109"/>
        <v>-23.030735577088976</v>
      </c>
      <c r="AF216" s="3">
        <f t="shared" si="109"/>
        <v>0</v>
      </c>
      <c r="AG216" s="3">
        <f t="shared" si="109"/>
        <v>0</v>
      </c>
      <c r="AH216" s="3">
        <f t="shared" si="109"/>
        <v>0</v>
      </c>
      <c r="AI216" s="3">
        <f t="shared" si="109"/>
        <v>0</v>
      </c>
    </row>
    <row r="217" spans="1:35" hidden="1" x14ac:dyDescent="0.3">
      <c r="A217" s="3"/>
      <c r="B217" s="5" t="s">
        <v>456</v>
      </c>
      <c r="C217" s="198" t="s">
        <v>11</v>
      </c>
      <c r="D217" s="205"/>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row>
    <row r="218" spans="1:35" hidden="1" x14ac:dyDescent="0.3">
      <c r="A218" s="5"/>
      <c r="B218" s="5" t="s">
        <v>144</v>
      </c>
      <c r="C218" s="198" t="s">
        <v>11</v>
      </c>
      <c r="D218" s="205"/>
      <c r="E218" s="5">
        <f t="shared" ref="E218:AI218" ca="1" si="110">-E81-E91</f>
        <v>0</v>
      </c>
      <c r="F218" s="5">
        <f t="shared" ca="1" si="110"/>
        <v>-18.672217381508435</v>
      </c>
      <c r="G218" s="5">
        <f t="shared" ca="1" si="110"/>
        <v>-48.708431671063991</v>
      </c>
      <c r="H218" s="5">
        <f t="shared" ca="1" si="110"/>
        <v>-45.229257980273701</v>
      </c>
      <c r="I218" s="5">
        <f t="shared" ca="1" si="110"/>
        <v>-41.750084289483418</v>
      </c>
      <c r="J218" s="5">
        <f t="shared" ca="1" si="110"/>
        <v>-38.270910598693128</v>
      </c>
      <c r="K218" s="5">
        <f t="shared" ca="1" si="110"/>
        <v>-34.791736907902845</v>
      </c>
      <c r="L218" s="5">
        <f t="shared" ca="1" si="110"/>
        <v>-31.312563217112558</v>
      </c>
      <c r="M218" s="5">
        <f t="shared" ca="1" si="110"/>
        <v>-27.833389526322271</v>
      </c>
      <c r="N218" s="5">
        <f t="shared" ca="1" si="110"/>
        <v>-24.354215835531988</v>
      </c>
      <c r="O218" s="5">
        <f t="shared" ca="1" si="110"/>
        <v>-20.875042144741702</v>
      </c>
      <c r="P218" s="5">
        <f t="shared" ca="1" si="110"/>
        <v>-17.395868453951422</v>
      </c>
      <c r="Q218" s="5">
        <f t="shared" ca="1" si="110"/>
        <v>-13.916694763161136</v>
      </c>
      <c r="R218" s="5">
        <f t="shared" ca="1" si="110"/>
        <v>-10.437521072370851</v>
      </c>
      <c r="S218" s="5">
        <f t="shared" ca="1" si="110"/>
        <v>-6.9583473815805652</v>
      </c>
      <c r="T218" s="5">
        <f t="shared" ca="1" si="110"/>
        <v>-3.4791736907902795</v>
      </c>
      <c r="U218" s="5">
        <f t="shared" ca="1" si="110"/>
        <v>-0.86979342269756865</v>
      </c>
      <c r="V218" s="5">
        <f t="shared" ca="1" si="110"/>
        <v>0</v>
      </c>
      <c r="W218" s="5">
        <f t="shared" ca="1" si="110"/>
        <v>0</v>
      </c>
      <c r="X218" s="5">
        <f t="shared" ca="1" si="110"/>
        <v>0</v>
      </c>
      <c r="Y218" s="5">
        <f t="shared" ca="1" si="110"/>
        <v>0</v>
      </c>
      <c r="Z218" s="5">
        <f t="shared" ca="1" si="110"/>
        <v>0</v>
      </c>
      <c r="AA218" s="5">
        <f t="shared" ca="1" si="110"/>
        <v>0</v>
      </c>
      <c r="AB218" s="5">
        <f t="shared" ca="1" si="110"/>
        <v>0</v>
      </c>
      <c r="AC218" s="5">
        <f t="shared" ca="1" si="110"/>
        <v>0</v>
      </c>
      <c r="AD218" s="5">
        <f t="shared" ca="1" si="110"/>
        <v>0</v>
      </c>
      <c r="AE218" s="5">
        <f t="shared" ca="1" si="110"/>
        <v>0</v>
      </c>
      <c r="AF218" s="5">
        <f t="shared" ca="1" si="110"/>
        <v>0</v>
      </c>
      <c r="AG218" s="5">
        <f t="shared" ca="1" si="110"/>
        <v>0</v>
      </c>
      <c r="AH218" s="5">
        <f t="shared" ca="1" si="110"/>
        <v>0</v>
      </c>
      <c r="AI218" s="5">
        <f t="shared" ca="1" si="110"/>
        <v>0</v>
      </c>
    </row>
    <row r="219" spans="1:35" hidden="1" x14ac:dyDescent="0.3">
      <c r="A219" s="5"/>
      <c r="B219" s="5" t="s">
        <v>130</v>
      </c>
      <c r="C219" s="198" t="s">
        <v>11</v>
      </c>
      <c r="D219" s="205"/>
      <c r="E219" s="5">
        <f t="shared" ref="E219:AI219" si="111">-E186</f>
        <v>0</v>
      </c>
      <c r="F219" s="5">
        <f t="shared" ca="1" si="111"/>
        <v>-1.1043699723928568</v>
      </c>
      <c r="G219" s="5">
        <f t="shared" ca="1" si="111"/>
        <v>-2.1981087959838259</v>
      </c>
      <c r="H219" s="5">
        <f t="shared" ca="1" si="111"/>
        <v>-2.1885165200971599</v>
      </c>
      <c r="I219" s="5">
        <f t="shared" ca="1" si="111"/>
        <v>-2.1799461023477655</v>
      </c>
      <c r="J219" s="5">
        <f t="shared" ca="1" si="111"/>
        <v>-2.1724307287484645</v>
      </c>
      <c r="K219" s="5">
        <f t="shared" ca="1" si="111"/>
        <v>-2.1660055308165065</v>
      </c>
      <c r="L219" s="5">
        <f t="shared" ca="1" si="111"/>
        <v>-2.1607076831916685</v>
      </c>
      <c r="M219" s="5">
        <f t="shared" ca="1" si="111"/>
        <v>-2.1565765063611546</v>
      </c>
      <c r="N219" s="5">
        <f t="shared" ca="1" si="111"/>
        <v>-2.1536535747568122</v>
      </c>
      <c r="O219" s="5">
        <f t="shared" ca="1" si="111"/>
        <v>-2.1519828305040556</v>
      </c>
      <c r="P219" s="5">
        <f t="shared" ca="1" si="111"/>
        <v>-2.1516107031164693</v>
      </c>
      <c r="Q219" s="5">
        <f t="shared" ca="1" si="111"/>
        <v>-2.1525862354454222</v>
      </c>
      <c r="R219" s="5">
        <f t="shared" ca="1" si="111"/>
        <v>-2.1549612162101743</v>
      </c>
      <c r="S219" s="5">
        <f t="shared" ca="1" si="111"/>
        <v>-2.1587903194509761</v>
      </c>
      <c r="T219" s="5">
        <f t="shared" ca="1" si="111"/>
        <v>-2.1641312512655166</v>
      </c>
      <c r="U219" s="5">
        <f t="shared" ca="1" si="111"/>
        <v>-2.1710449042079523</v>
      </c>
      <c r="V219" s="5">
        <f t="shared" ca="1" si="111"/>
        <v>-2.1795955197494989</v>
      </c>
      <c r="W219" s="5">
        <f t="shared" ca="1" si="111"/>
        <v>-2.1898508592204764</v>
      </c>
      <c r="X219" s="5">
        <f t="shared" ca="1" si="111"/>
        <v>-2.2018823836755801</v>
      </c>
      <c r="Y219" s="5">
        <f t="shared" ca="1" si="111"/>
        <v>-2.2157654431472769</v>
      </c>
      <c r="Z219" s="5">
        <f t="shared" ca="1" si="111"/>
        <v>-2.2315794757764875</v>
      </c>
      <c r="AA219" s="5">
        <f t="shared" ca="1" si="111"/>
        <v>-2.2494082173352976</v>
      </c>
      <c r="AB219" s="5">
        <f t="shared" ca="1" si="111"/>
        <v>-2.269339921683327</v>
      </c>
      <c r="AC219" s="5">
        <f t="shared" ca="1" si="111"/>
        <v>-2.2914675927277082</v>
      </c>
      <c r="AD219" s="5">
        <f t="shared" ca="1" si="111"/>
        <v>-2.3158892284863919</v>
      </c>
      <c r="AE219" s="5">
        <f t="shared" ca="1" si="111"/>
        <v>-1.2962072889046494</v>
      </c>
      <c r="AF219" s="5">
        <f t="shared" si="111"/>
        <v>0</v>
      </c>
      <c r="AG219" s="5">
        <f t="shared" si="111"/>
        <v>0</v>
      </c>
      <c r="AH219" s="5">
        <f t="shared" si="111"/>
        <v>0</v>
      </c>
      <c r="AI219" s="5">
        <f t="shared" si="111"/>
        <v>0</v>
      </c>
    </row>
    <row r="220" spans="1:35" hidden="1" x14ac:dyDescent="0.3">
      <c r="A220" s="5"/>
      <c r="B220" s="3" t="s">
        <v>65</v>
      </c>
      <c r="C220" s="198" t="s">
        <v>11</v>
      </c>
      <c r="D220" s="205"/>
      <c r="E220" s="5">
        <f t="shared" ref="E220:AI220" ca="1" si="112">-E330</f>
        <v>0</v>
      </c>
      <c r="F220" s="5">
        <f t="shared" ca="1" si="112"/>
        <v>-5.8933851906050885</v>
      </c>
      <c r="G220" s="5">
        <f t="shared" ca="1" si="112"/>
        <v>-9.2909692299633981</v>
      </c>
      <c r="H220" s="5">
        <f t="shared" ca="1" si="112"/>
        <v>-9.3873481585509726</v>
      </c>
      <c r="I220" s="5">
        <f t="shared" ca="1" si="112"/>
        <v>-9.4821396983464776</v>
      </c>
      <c r="J220" s="5">
        <f t="shared" ca="1" si="112"/>
        <v>-9.5749639240854361</v>
      </c>
      <c r="K220" s="5">
        <f t="shared" ca="1" si="112"/>
        <v>-9.6654251286952615</v>
      </c>
      <c r="L220" s="5">
        <f t="shared" ca="1" si="112"/>
        <v>-9.7531109599230987</v>
      </c>
      <c r="M220" s="5">
        <f t="shared" ca="1" si="112"/>
        <v>-9.83759151272141</v>
      </c>
      <c r="N220" s="5">
        <f t="shared" ca="1" si="112"/>
        <v>-9.9184183750794404</v>
      </c>
      <c r="O220" s="5">
        <f t="shared" ca="1" si="112"/>
        <v>-9.9951236248682989</v>
      </c>
      <c r="P220" s="5">
        <f t="shared" ca="1" si="112"/>
        <v>-10.06721877514031</v>
      </c>
      <c r="Q220" s="5">
        <f t="shared" ca="1" si="112"/>
        <v>-10.134193665189828</v>
      </c>
      <c r="R220" s="5">
        <f t="shared" ca="1" si="112"/>
        <v>-10.195515294542282</v>
      </c>
      <c r="S220" s="5">
        <f t="shared" ca="1" si="112"/>
        <v>-10.250626596890271</v>
      </c>
      <c r="T220" s="5">
        <f t="shared" ca="1" si="112"/>
        <v>-10.298945150839899</v>
      </c>
      <c r="U220" s="5">
        <f t="shared" ca="1" si="112"/>
        <v>-15.883676588034893</v>
      </c>
      <c r="V220" s="5">
        <f t="shared" ca="1" si="112"/>
        <v>-15.468784457973758</v>
      </c>
      <c r="W220" s="5">
        <f t="shared" ca="1" si="112"/>
        <v>-14.895929722572369</v>
      </c>
      <c r="X220" s="5">
        <f t="shared" ca="1" si="112"/>
        <v>-14.313670815897595</v>
      </c>
      <c r="Y220" s="5">
        <f t="shared" ca="1" si="112"/>
        <v>-14.361874676079978</v>
      </c>
      <c r="Z220" s="5">
        <f t="shared" ca="1" si="112"/>
        <v>-22.28519848228872</v>
      </c>
      <c r="AA220" s="5">
        <f t="shared" ca="1" si="112"/>
        <v>-21.496739964306702</v>
      </c>
      <c r="AB220" s="5">
        <f t="shared" ca="1" si="112"/>
        <v>-20.692200361397955</v>
      </c>
      <c r="AC220" s="5">
        <f t="shared" ca="1" si="112"/>
        <v>-19.870450393067678</v>
      </c>
      <c r="AD220" s="5">
        <f t="shared" ca="1" si="112"/>
        <v>-19.030306237747215</v>
      </c>
      <c r="AE220" s="5">
        <f t="shared" ca="1" si="112"/>
        <v>-11.640260097964781</v>
      </c>
      <c r="AF220" s="5">
        <f t="shared" ca="1" si="112"/>
        <v>0</v>
      </c>
      <c r="AG220" s="5">
        <f t="shared" ca="1" si="112"/>
        <v>0</v>
      </c>
      <c r="AH220" s="5">
        <f t="shared" ca="1" si="112"/>
        <v>0</v>
      </c>
      <c r="AI220" s="5">
        <f t="shared" ca="1" si="112"/>
        <v>0</v>
      </c>
    </row>
    <row r="221" spans="1:35" hidden="1" x14ac:dyDescent="0.3">
      <c r="A221" s="5"/>
      <c r="B221" s="5" t="s">
        <v>227</v>
      </c>
      <c r="C221" s="198" t="s">
        <v>11</v>
      </c>
      <c r="D221" s="205"/>
      <c r="E221" s="5">
        <f t="shared" ref="E221:AI221" ca="1" si="113">-E195</f>
        <v>0</v>
      </c>
      <c r="F221" s="5">
        <f t="shared" ca="1" si="113"/>
        <v>0</v>
      </c>
      <c r="G221" s="5">
        <f t="shared" ca="1" si="113"/>
        <v>0</v>
      </c>
      <c r="H221" s="5">
        <f t="shared" ca="1" si="113"/>
        <v>0</v>
      </c>
      <c r="I221" s="5">
        <f t="shared" ca="1" si="113"/>
        <v>0</v>
      </c>
      <c r="J221" s="5">
        <f t="shared" ca="1" si="113"/>
        <v>0</v>
      </c>
      <c r="K221" s="5">
        <f t="shared" ca="1" si="113"/>
        <v>0</v>
      </c>
      <c r="L221" s="5">
        <f t="shared" ca="1" si="113"/>
        <v>0</v>
      </c>
      <c r="M221" s="5">
        <f t="shared" ca="1" si="113"/>
        <v>0</v>
      </c>
      <c r="N221" s="5">
        <f t="shared" ca="1" si="113"/>
        <v>0</v>
      </c>
      <c r="O221" s="5">
        <f t="shared" ca="1" si="113"/>
        <v>0</v>
      </c>
      <c r="P221" s="5">
        <f t="shared" ca="1" si="113"/>
        <v>0</v>
      </c>
      <c r="Q221" s="5">
        <f t="shared" ca="1" si="113"/>
        <v>0</v>
      </c>
      <c r="R221" s="5">
        <f t="shared" ca="1" si="113"/>
        <v>0</v>
      </c>
      <c r="S221" s="5">
        <f t="shared" ca="1" si="113"/>
        <v>0</v>
      </c>
      <c r="T221" s="5">
        <f t="shared" ca="1" si="113"/>
        <v>0</v>
      </c>
      <c r="U221" s="5">
        <f t="shared" ca="1" si="113"/>
        <v>0</v>
      </c>
      <c r="V221" s="5">
        <f t="shared" ca="1" si="113"/>
        <v>0</v>
      </c>
      <c r="W221" s="5">
        <f t="shared" ca="1" si="113"/>
        <v>0</v>
      </c>
      <c r="X221" s="5">
        <f t="shared" ca="1" si="113"/>
        <v>0</v>
      </c>
      <c r="Y221" s="5">
        <f t="shared" ca="1" si="113"/>
        <v>0</v>
      </c>
      <c r="Z221" s="5">
        <f t="shared" ca="1" si="113"/>
        <v>0</v>
      </c>
      <c r="AA221" s="5">
        <f t="shared" ca="1" si="113"/>
        <v>0</v>
      </c>
      <c r="AB221" s="5">
        <f t="shared" ca="1" si="113"/>
        <v>0</v>
      </c>
      <c r="AC221" s="5">
        <f t="shared" ca="1" si="113"/>
        <v>0</v>
      </c>
      <c r="AD221" s="5">
        <f t="shared" ca="1" si="113"/>
        <v>0</v>
      </c>
      <c r="AE221" s="5">
        <f t="shared" ca="1" si="113"/>
        <v>0</v>
      </c>
      <c r="AF221" s="5">
        <f t="shared" ca="1" si="113"/>
        <v>0</v>
      </c>
      <c r="AG221" s="5">
        <f t="shared" ca="1" si="113"/>
        <v>0</v>
      </c>
      <c r="AH221" s="5">
        <f t="shared" ca="1" si="113"/>
        <v>0</v>
      </c>
      <c r="AI221" s="5">
        <f t="shared" ca="1" si="113"/>
        <v>0</v>
      </c>
    </row>
    <row r="222" spans="1:35" hidden="1" x14ac:dyDescent="0.3">
      <c r="A222" s="5"/>
      <c r="B222" s="5" t="s">
        <v>228</v>
      </c>
      <c r="C222" s="198" t="s">
        <v>11</v>
      </c>
      <c r="D222" s="205"/>
      <c r="E222" s="5">
        <f t="shared" ref="E222:AI222" ca="1" si="114">E199</f>
        <v>0</v>
      </c>
      <c r="F222" s="5">
        <f t="shared" ca="1" si="114"/>
        <v>0</v>
      </c>
      <c r="G222" s="5">
        <f t="shared" ca="1" si="114"/>
        <v>0</v>
      </c>
      <c r="H222" s="5">
        <f t="shared" ca="1" si="114"/>
        <v>0</v>
      </c>
      <c r="I222" s="5">
        <f t="shared" ca="1" si="114"/>
        <v>0</v>
      </c>
      <c r="J222" s="5">
        <f t="shared" ca="1" si="114"/>
        <v>0</v>
      </c>
      <c r="K222" s="5">
        <f t="shared" ca="1" si="114"/>
        <v>0</v>
      </c>
      <c r="L222" s="5">
        <f t="shared" ca="1" si="114"/>
        <v>0</v>
      </c>
      <c r="M222" s="5">
        <f t="shared" ca="1" si="114"/>
        <v>0</v>
      </c>
      <c r="N222" s="5">
        <f t="shared" ca="1" si="114"/>
        <v>0</v>
      </c>
      <c r="O222" s="5">
        <f t="shared" ca="1" si="114"/>
        <v>0</v>
      </c>
      <c r="P222" s="5">
        <f t="shared" ca="1" si="114"/>
        <v>0</v>
      </c>
      <c r="Q222" s="5">
        <f t="shared" ca="1" si="114"/>
        <v>0</v>
      </c>
      <c r="R222" s="5">
        <f t="shared" ca="1" si="114"/>
        <v>0</v>
      </c>
      <c r="S222" s="5">
        <f t="shared" ca="1" si="114"/>
        <v>0</v>
      </c>
      <c r="T222" s="5">
        <f t="shared" ca="1" si="114"/>
        <v>0</v>
      </c>
      <c r="U222" s="5">
        <f t="shared" ca="1" si="114"/>
        <v>0</v>
      </c>
      <c r="V222" s="5">
        <f t="shared" ca="1" si="114"/>
        <v>0</v>
      </c>
      <c r="W222" s="5">
        <f t="shared" ca="1" si="114"/>
        <v>0</v>
      </c>
      <c r="X222" s="5">
        <f t="shared" ca="1" si="114"/>
        <v>0</v>
      </c>
      <c r="Y222" s="5">
        <f t="shared" ca="1" si="114"/>
        <v>0</v>
      </c>
      <c r="Z222" s="5">
        <f t="shared" ca="1" si="114"/>
        <v>0</v>
      </c>
      <c r="AA222" s="5">
        <f t="shared" ca="1" si="114"/>
        <v>0</v>
      </c>
      <c r="AB222" s="5">
        <f t="shared" ca="1" si="114"/>
        <v>0</v>
      </c>
      <c r="AC222" s="5">
        <f t="shared" ca="1" si="114"/>
        <v>0</v>
      </c>
      <c r="AD222" s="5">
        <f t="shared" ca="1" si="114"/>
        <v>0</v>
      </c>
      <c r="AE222" s="5">
        <f t="shared" ca="1" si="114"/>
        <v>0</v>
      </c>
      <c r="AF222" s="5">
        <f t="shared" ca="1" si="114"/>
        <v>0</v>
      </c>
      <c r="AG222" s="5">
        <f t="shared" ca="1" si="114"/>
        <v>0</v>
      </c>
      <c r="AH222" s="5">
        <f t="shared" ca="1" si="114"/>
        <v>0</v>
      </c>
      <c r="AI222" s="5">
        <f t="shared" ca="1" si="114"/>
        <v>0</v>
      </c>
    </row>
    <row r="223" spans="1:35" hidden="1" x14ac:dyDescent="0.3">
      <c r="A223" s="5"/>
      <c r="B223" s="5" t="s">
        <v>229</v>
      </c>
      <c r="C223" s="198" t="s">
        <v>11</v>
      </c>
      <c r="D223" s="205"/>
      <c r="E223" s="5">
        <f t="shared" ref="E223:AI223" ca="1" si="115">-E202</f>
        <v>0</v>
      </c>
      <c r="F223" s="5">
        <f t="shared" ca="1" si="115"/>
        <v>0</v>
      </c>
      <c r="G223" s="5">
        <f t="shared" ca="1" si="115"/>
        <v>0</v>
      </c>
      <c r="H223" s="5">
        <f t="shared" ca="1" si="115"/>
        <v>0</v>
      </c>
      <c r="I223" s="5">
        <f t="shared" ca="1" si="115"/>
        <v>0</v>
      </c>
      <c r="J223" s="5">
        <f t="shared" ca="1" si="115"/>
        <v>0</v>
      </c>
      <c r="K223" s="5">
        <f t="shared" ca="1" si="115"/>
        <v>0</v>
      </c>
      <c r="L223" s="5">
        <f t="shared" ca="1" si="115"/>
        <v>0</v>
      </c>
      <c r="M223" s="5">
        <f t="shared" ca="1" si="115"/>
        <v>0</v>
      </c>
      <c r="N223" s="5">
        <f t="shared" ca="1" si="115"/>
        <v>0</v>
      </c>
      <c r="O223" s="5">
        <f t="shared" ca="1" si="115"/>
        <v>0</v>
      </c>
      <c r="P223" s="5">
        <f t="shared" ca="1" si="115"/>
        <v>0</v>
      </c>
      <c r="Q223" s="5">
        <f t="shared" ca="1" si="115"/>
        <v>0</v>
      </c>
      <c r="R223" s="5">
        <f t="shared" ca="1" si="115"/>
        <v>0</v>
      </c>
      <c r="S223" s="5">
        <f t="shared" ca="1" si="115"/>
        <v>0</v>
      </c>
      <c r="T223" s="5">
        <f t="shared" ca="1" si="115"/>
        <v>0</v>
      </c>
      <c r="U223" s="5">
        <f t="shared" ca="1" si="115"/>
        <v>0</v>
      </c>
      <c r="V223" s="5">
        <f t="shared" ca="1" si="115"/>
        <v>0</v>
      </c>
      <c r="W223" s="5">
        <f t="shared" ca="1" si="115"/>
        <v>0</v>
      </c>
      <c r="X223" s="5">
        <f t="shared" ca="1" si="115"/>
        <v>0</v>
      </c>
      <c r="Y223" s="5">
        <f t="shared" ca="1" si="115"/>
        <v>0</v>
      </c>
      <c r="Z223" s="5">
        <f t="shared" ca="1" si="115"/>
        <v>0</v>
      </c>
      <c r="AA223" s="5">
        <f t="shared" ca="1" si="115"/>
        <v>0</v>
      </c>
      <c r="AB223" s="5">
        <f t="shared" ca="1" si="115"/>
        <v>0</v>
      </c>
      <c r="AC223" s="5">
        <f t="shared" ca="1" si="115"/>
        <v>0</v>
      </c>
      <c r="AD223" s="5">
        <f t="shared" ca="1" si="115"/>
        <v>0</v>
      </c>
      <c r="AE223" s="5">
        <f t="shared" ca="1" si="115"/>
        <v>0</v>
      </c>
      <c r="AF223" s="5">
        <f t="shared" ca="1" si="115"/>
        <v>0</v>
      </c>
      <c r="AG223" s="5">
        <f t="shared" ca="1" si="115"/>
        <v>0</v>
      </c>
      <c r="AH223" s="5">
        <f t="shared" ca="1" si="115"/>
        <v>0</v>
      </c>
      <c r="AI223" s="5">
        <f t="shared" ca="1" si="115"/>
        <v>0</v>
      </c>
    </row>
    <row r="224" spans="1:35" hidden="1" x14ac:dyDescent="0.3">
      <c r="A224" s="5"/>
      <c r="B224" s="5" t="s">
        <v>78</v>
      </c>
      <c r="C224" s="198" t="s">
        <v>11</v>
      </c>
      <c r="D224" s="205"/>
      <c r="E224" s="5">
        <f t="shared" ref="E224:AI224" si="116">-(E181-D181)*E4</f>
        <v>0</v>
      </c>
      <c r="F224" s="5">
        <f t="shared" ref="F224:AF224" ca="1" si="117">-(F181-E181)*F4</f>
        <v>-25.678932309182528</v>
      </c>
      <c r="G224" s="5">
        <f t="shared" ca="1" si="117"/>
        <v>0.1936129354570113</v>
      </c>
      <c r="H224" s="5">
        <f t="shared" ca="1" si="117"/>
        <v>0.11121479288888025</v>
      </c>
      <c r="I224" s="5">
        <f t="shared" ca="1" si="117"/>
        <v>9.9367162311818191E-2</v>
      </c>
      <c r="J224" s="5">
        <f t="shared" ca="1" si="117"/>
        <v>8.7134766368706096E-2</v>
      </c>
      <c r="K224" s="5">
        <f t="shared" ca="1" si="117"/>
        <v>7.4495048486472371E-2</v>
      </c>
      <c r="L224" s="5">
        <f t="shared" ca="1" si="117"/>
        <v>6.1424320287976286E-2</v>
      </c>
      <c r="M224" s="5">
        <f t="shared" ca="1" si="117"/>
        <v>4.789770238276958E-2</v>
      </c>
      <c r="N224" s="5">
        <f t="shared" ca="1" si="117"/>
        <v>3.3889062079332177E-2</v>
      </c>
      <c r="O224" s="5">
        <f t="shared" ca="1" si="117"/>
        <v>1.9370947858046605E-2</v>
      </c>
      <c r="P224" s="5">
        <f t="shared" ca="1" si="117"/>
        <v>4.3145204357841749E-3</v>
      </c>
      <c r="Q224" s="5">
        <f t="shared" ca="1" si="117"/>
        <v>-1.1310519755973303E-2</v>
      </c>
      <c r="R224" s="5">
        <f t="shared" ca="1" si="117"/>
        <v>-2.7536008866693606E-2</v>
      </c>
      <c r="S224" s="5">
        <f t="shared" ca="1" si="117"/>
        <v>-4.4395399893353726E-2</v>
      </c>
      <c r="T224" s="5">
        <f t="shared" ca="1" si="117"/>
        <v>-6.1923847125104459E-2</v>
      </c>
      <c r="U224" s="5">
        <f t="shared" ca="1" si="117"/>
        <v>-8.015829498476279E-2</v>
      </c>
      <c r="V224" s="5">
        <f t="shared" ca="1" si="117"/>
        <v>-9.9137571496193289E-2</v>
      </c>
      <c r="W224" s="5">
        <f t="shared" ca="1" si="117"/>
        <v>-0.11890248662002989</v>
      </c>
      <c r="X224" s="5">
        <f t="shared" ca="1" si="117"/>
        <v>-0.139495935711345</v>
      </c>
      <c r="Y224" s="5">
        <f t="shared" ca="1" si="117"/>
        <v>-0.16096300836749933</v>
      </c>
      <c r="Z224" s="5">
        <f t="shared" ca="1" si="117"/>
        <v>-0.18335110294737333</v>
      </c>
      <c r="AA224" s="5">
        <f t="shared" ca="1" si="117"/>
        <v>-0.20671004705866736</v>
      </c>
      <c r="AB224" s="5">
        <f t="shared" ca="1" si="117"/>
        <v>-0.23109222432497489</v>
      </c>
      <c r="AC224" s="5">
        <f t="shared" ca="1" si="117"/>
        <v>-0.25655270776094241</v>
      </c>
      <c r="AD224" s="5">
        <f t="shared" ca="1" si="117"/>
        <v>-0.28314940010067957</v>
      </c>
      <c r="AE224" s="5">
        <f t="shared" ca="1" si="117"/>
        <v>-3.2060910066423993</v>
      </c>
      <c r="AF224" s="5">
        <f t="shared" ca="1" si="117"/>
        <v>0</v>
      </c>
      <c r="AG224" s="5">
        <f t="shared" si="116"/>
        <v>0</v>
      </c>
      <c r="AH224" s="5">
        <f t="shared" si="116"/>
        <v>0</v>
      </c>
      <c r="AI224" s="5">
        <f t="shared" si="116"/>
        <v>0</v>
      </c>
    </row>
    <row r="225" spans="1:35" hidden="1" x14ac:dyDescent="0.3">
      <c r="A225" s="5"/>
      <c r="B225" s="5" t="s">
        <v>108</v>
      </c>
      <c r="C225" s="198" t="s">
        <v>11</v>
      </c>
      <c r="D225" s="205"/>
      <c r="E225" s="5">
        <f t="shared" ref="E225:AI225" si="118">(E183-D183)*E4</f>
        <v>0</v>
      </c>
      <c r="F225" s="5">
        <f t="shared" ref="F225:AF225" ca="1" si="119">(F183-E183)*F4</f>
        <v>19.259199231886896</v>
      </c>
      <c r="G225" s="5">
        <f t="shared" ca="1" si="119"/>
        <v>-0.14520970159275848</v>
      </c>
      <c r="H225" s="5">
        <f t="shared" ca="1" si="119"/>
        <v>-8.3411094666661967E-2</v>
      </c>
      <c r="I225" s="5">
        <f t="shared" ca="1" si="119"/>
        <v>-7.4525371733862755E-2</v>
      </c>
      <c r="J225" s="5">
        <f t="shared" ca="1" si="119"/>
        <v>-6.5351074776529572E-2</v>
      </c>
      <c r="K225" s="5">
        <f t="shared" ca="1" si="119"/>
        <v>-5.5871286364855166E-2</v>
      </c>
      <c r="L225" s="5">
        <f t="shared" ca="1" si="119"/>
        <v>-4.6068240215980438E-2</v>
      </c>
      <c r="M225" s="5">
        <f t="shared" ca="1" si="119"/>
        <v>-3.5923276787077185E-2</v>
      </c>
      <c r="N225" s="5">
        <f t="shared" ca="1" si="119"/>
        <v>-2.5416796559500909E-2</v>
      </c>
      <c r="O225" s="5">
        <f t="shared" ca="1" si="119"/>
        <v>-1.4528210893534066E-2</v>
      </c>
      <c r="P225" s="5">
        <f t="shared" ca="1" si="119"/>
        <v>-3.2358903268381312E-3</v>
      </c>
      <c r="Q225" s="5">
        <f t="shared" ca="1" si="119"/>
        <v>8.4828898169817535E-3</v>
      </c>
      <c r="R225" s="5">
        <f t="shared" ca="1" si="119"/>
        <v>2.065200665001754E-2</v>
      </c>
      <c r="S225" s="5">
        <f t="shared" ca="1" si="119"/>
        <v>3.3296549920017071E-2</v>
      </c>
      <c r="T225" s="5">
        <f t="shared" ca="1" si="119"/>
        <v>4.6442885343829232E-2</v>
      </c>
      <c r="U225" s="5">
        <f t="shared" ca="1" si="119"/>
        <v>6.0118721238570316E-2</v>
      </c>
      <c r="V225" s="5">
        <f t="shared" ca="1" si="119"/>
        <v>7.4353178622146743E-2</v>
      </c>
      <c r="W225" s="5">
        <f t="shared" ca="1" si="119"/>
        <v>8.9176864965022418E-2</v>
      </c>
      <c r="X225" s="5">
        <f t="shared" ca="1" si="119"/>
        <v>0.10462195178350697</v>
      </c>
      <c r="Y225" s="5">
        <f t="shared" ca="1" si="119"/>
        <v>0.12072225627562716</v>
      </c>
      <c r="Z225" s="5">
        <f t="shared" ca="1" si="119"/>
        <v>0.13751332721052734</v>
      </c>
      <c r="AA225" s="5">
        <f t="shared" ca="1" si="119"/>
        <v>0.15503253529400141</v>
      </c>
      <c r="AB225" s="5">
        <f t="shared" ca="1" si="119"/>
        <v>0.17331916824373295</v>
      </c>
      <c r="AC225" s="5">
        <f t="shared" ca="1" si="119"/>
        <v>0.19241453082070592</v>
      </c>
      <c r="AD225" s="5">
        <f t="shared" ca="1" si="119"/>
        <v>0.21236205007550879</v>
      </c>
      <c r="AE225" s="5">
        <f t="shared" ca="1" si="119"/>
        <v>2.4045682549818004</v>
      </c>
      <c r="AF225" s="5">
        <f t="shared" ca="1" si="119"/>
        <v>0</v>
      </c>
      <c r="AG225" s="5">
        <f t="shared" si="118"/>
        <v>0</v>
      </c>
      <c r="AH225" s="5">
        <f t="shared" si="118"/>
        <v>0</v>
      </c>
      <c r="AI225" s="5">
        <f t="shared" si="118"/>
        <v>0</v>
      </c>
    </row>
    <row r="226" spans="1:35" hidden="1" x14ac:dyDescent="0.3">
      <c r="A226" s="5"/>
      <c r="B226" s="5" t="s">
        <v>24</v>
      </c>
      <c r="C226" s="198" t="s">
        <v>11</v>
      </c>
      <c r="D226" s="205"/>
      <c r="E226" s="5">
        <f t="shared" ref="E226:AI226" ca="1" si="120">-E53</f>
        <v>-582.04857646593382</v>
      </c>
      <c r="F226" s="5">
        <f t="shared" ca="1" si="120"/>
        <v>-660.51345595916791</v>
      </c>
      <c r="G226" s="5">
        <f t="shared" ca="1" si="120"/>
        <v>0</v>
      </c>
      <c r="H226" s="5">
        <f t="shared" ca="1" si="120"/>
        <v>0</v>
      </c>
      <c r="I226" s="5">
        <f t="shared" ca="1" si="120"/>
        <v>0</v>
      </c>
      <c r="J226" s="5">
        <f t="shared" ca="1" si="120"/>
        <v>0</v>
      </c>
      <c r="K226" s="5">
        <f t="shared" ca="1" si="120"/>
        <v>0</v>
      </c>
      <c r="L226" s="5">
        <f t="shared" ca="1" si="120"/>
        <v>0</v>
      </c>
      <c r="M226" s="5">
        <f t="shared" ca="1" si="120"/>
        <v>0</v>
      </c>
      <c r="N226" s="5">
        <f t="shared" ca="1" si="120"/>
        <v>0</v>
      </c>
      <c r="O226" s="5">
        <f t="shared" ca="1" si="120"/>
        <v>0</v>
      </c>
      <c r="P226" s="5">
        <f t="shared" ca="1" si="120"/>
        <v>0</v>
      </c>
      <c r="Q226" s="5">
        <f t="shared" ca="1" si="120"/>
        <v>0</v>
      </c>
      <c r="R226" s="5">
        <f t="shared" ca="1" si="120"/>
        <v>0</v>
      </c>
      <c r="S226" s="5">
        <f t="shared" ca="1" si="120"/>
        <v>0</v>
      </c>
      <c r="T226" s="5">
        <f t="shared" ca="1" si="120"/>
        <v>0</v>
      </c>
      <c r="U226" s="5">
        <f t="shared" ca="1" si="120"/>
        <v>0</v>
      </c>
      <c r="V226" s="5">
        <f t="shared" ca="1" si="120"/>
        <v>0</v>
      </c>
      <c r="W226" s="5">
        <f t="shared" ca="1" si="120"/>
        <v>0</v>
      </c>
      <c r="X226" s="5">
        <f t="shared" ca="1" si="120"/>
        <v>0</v>
      </c>
      <c r="Y226" s="5">
        <f t="shared" ca="1" si="120"/>
        <v>0</v>
      </c>
      <c r="Z226" s="5">
        <f t="shared" ca="1" si="120"/>
        <v>0</v>
      </c>
      <c r="AA226" s="5">
        <f t="shared" ca="1" si="120"/>
        <v>0</v>
      </c>
      <c r="AB226" s="5">
        <f t="shared" ca="1" si="120"/>
        <v>0</v>
      </c>
      <c r="AC226" s="5">
        <f t="shared" ca="1" si="120"/>
        <v>0</v>
      </c>
      <c r="AD226" s="5">
        <f t="shared" ca="1" si="120"/>
        <v>0</v>
      </c>
      <c r="AE226" s="5">
        <f t="shared" ca="1" si="120"/>
        <v>0</v>
      </c>
      <c r="AF226" s="5">
        <f t="shared" ca="1" si="120"/>
        <v>0</v>
      </c>
      <c r="AG226" s="5">
        <f t="shared" ca="1" si="120"/>
        <v>0</v>
      </c>
      <c r="AH226" s="5">
        <f t="shared" ca="1" si="120"/>
        <v>0</v>
      </c>
      <c r="AI226" s="5">
        <f t="shared" ca="1" si="120"/>
        <v>0</v>
      </c>
    </row>
    <row r="227" spans="1:35" hidden="1" x14ac:dyDescent="0.3">
      <c r="A227" s="5"/>
      <c r="B227" s="5" t="s">
        <v>112</v>
      </c>
      <c r="C227" s="198" t="s">
        <v>11</v>
      </c>
      <c r="D227" s="205"/>
      <c r="E227" s="5">
        <f t="shared" ref="E227:AI227" ca="1" si="121">E66</f>
        <v>0</v>
      </c>
      <c r="F227" s="5">
        <f t="shared" ca="1" si="121"/>
        <v>0</v>
      </c>
      <c r="G227" s="5">
        <f t="shared" ca="1" si="121"/>
        <v>0</v>
      </c>
      <c r="H227" s="5">
        <f t="shared" ca="1" si="121"/>
        <v>0</v>
      </c>
      <c r="I227" s="5">
        <f t="shared" ca="1" si="121"/>
        <v>0</v>
      </c>
      <c r="J227" s="5">
        <f t="shared" ca="1" si="121"/>
        <v>0</v>
      </c>
      <c r="K227" s="5">
        <f t="shared" ca="1" si="121"/>
        <v>0</v>
      </c>
      <c r="L227" s="5">
        <f t="shared" ca="1" si="121"/>
        <v>0</v>
      </c>
      <c r="M227" s="5">
        <f t="shared" ca="1" si="121"/>
        <v>0</v>
      </c>
      <c r="N227" s="5">
        <f t="shared" ca="1" si="121"/>
        <v>0</v>
      </c>
      <c r="O227" s="5">
        <f t="shared" ca="1" si="121"/>
        <v>0</v>
      </c>
      <c r="P227" s="5">
        <f t="shared" ca="1" si="121"/>
        <v>0</v>
      </c>
      <c r="Q227" s="5">
        <f t="shared" ca="1" si="121"/>
        <v>0</v>
      </c>
      <c r="R227" s="5">
        <f t="shared" ca="1" si="121"/>
        <v>0</v>
      </c>
      <c r="S227" s="5">
        <f t="shared" ca="1" si="121"/>
        <v>0</v>
      </c>
      <c r="T227" s="5">
        <f t="shared" ca="1" si="121"/>
        <v>0</v>
      </c>
      <c r="U227" s="5">
        <f t="shared" ca="1" si="121"/>
        <v>0</v>
      </c>
      <c r="V227" s="5">
        <f t="shared" ca="1" si="121"/>
        <v>0</v>
      </c>
      <c r="W227" s="5">
        <f t="shared" ca="1" si="121"/>
        <v>0</v>
      </c>
      <c r="X227" s="5">
        <f t="shared" ca="1" si="121"/>
        <v>0</v>
      </c>
      <c r="Y227" s="5">
        <f t="shared" ca="1" si="121"/>
        <v>0</v>
      </c>
      <c r="Z227" s="5">
        <f t="shared" ca="1" si="121"/>
        <v>0</v>
      </c>
      <c r="AA227" s="5">
        <f t="shared" ca="1" si="121"/>
        <v>0</v>
      </c>
      <c r="AB227" s="5">
        <f t="shared" ca="1" si="121"/>
        <v>0</v>
      </c>
      <c r="AC227" s="5">
        <f t="shared" ca="1" si="121"/>
        <v>0</v>
      </c>
      <c r="AD227" s="5">
        <f t="shared" ca="1" si="121"/>
        <v>0</v>
      </c>
      <c r="AE227" s="5">
        <f t="shared" ca="1" si="121"/>
        <v>0</v>
      </c>
      <c r="AF227" s="5">
        <f t="shared" ca="1" si="121"/>
        <v>0</v>
      </c>
      <c r="AG227" s="5">
        <f t="shared" ca="1" si="121"/>
        <v>0</v>
      </c>
      <c r="AH227" s="5">
        <f t="shared" ca="1" si="121"/>
        <v>0</v>
      </c>
      <c r="AI227" s="5">
        <f t="shared" ca="1" si="121"/>
        <v>0</v>
      </c>
    </row>
    <row r="228" spans="1:35" hidden="1" x14ac:dyDescent="0.3">
      <c r="A228" s="5"/>
      <c r="B228" s="5" t="s">
        <v>143</v>
      </c>
      <c r="C228" s="198" t="s">
        <v>11</v>
      </c>
      <c r="D228" s="205"/>
      <c r="E228" s="5">
        <f t="shared" ref="E228:AI228" ca="1" si="122">E75+E85</f>
        <v>407.43400352615367</v>
      </c>
      <c r="F228" s="5">
        <f t="shared" ca="1" si="122"/>
        <v>462.35941917141758</v>
      </c>
      <c r="G228" s="5">
        <f t="shared" ca="1" si="122"/>
        <v>0</v>
      </c>
      <c r="H228" s="5">
        <f t="shared" ca="1" si="122"/>
        <v>0</v>
      </c>
      <c r="I228" s="5">
        <f t="shared" ca="1" si="122"/>
        <v>0</v>
      </c>
      <c r="J228" s="5">
        <f t="shared" ca="1" si="122"/>
        <v>0</v>
      </c>
      <c r="K228" s="5">
        <f t="shared" ca="1" si="122"/>
        <v>0</v>
      </c>
      <c r="L228" s="5">
        <f t="shared" ca="1" si="122"/>
        <v>0</v>
      </c>
      <c r="M228" s="5">
        <f t="shared" ca="1" si="122"/>
        <v>0</v>
      </c>
      <c r="N228" s="5">
        <f t="shared" ca="1" si="122"/>
        <v>0</v>
      </c>
      <c r="O228" s="5">
        <f t="shared" ca="1" si="122"/>
        <v>0</v>
      </c>
      <c r="P228" s="5">
        <f t="shared" ca="1" si="122"/>
        <v>0</v>
      </c>
      <c r="Q228" s="5">
        <f t="shared" ca="1" si="122"/>
        <v>0</v>
      </c>
      <c r="R228" s="5">
        <f t="shared" ca="1" si="122"/>
        <v>0</v>
      </c>
      <c r="S228" s="5">
        <f t="shared" ca="1" si="122"/>
        <v>0</v>
      </c>
      <c r="T228" s="5">
        <f t="shared" ca="1" si="122"/>
        <v>0</v>
      </c>
      <c r="U228" s="5">
        <f t="shared" ca="1" si="122"/>
        <v>0</v>
      </c>
      <c r="V228" s="5">
        <f t="shared" ca="1" si="122"/>
        <v>0</v>
      </c>
      <c r="W228" s="5">
        <f t="shared" ca="1" si="122"/>
        <v>0</v>
      </c>
      <c r="X228" s="5">
        <f t="shared" ca="1" si="122"/>
        <v>0</v>
      </c>
      <c r="Y228" s="5">
        <f t="shared" ca="1" si="122"/>
        <v>0</v>
      </c>
      <c r="Z228" s="5">
        <f t="shared" ca="1" si="122"/>
        <v>0</v>
      </c>
      <c r="AA228" s="5">
        <f t="shared" ca="1" si="122"/>
        <v>0</v>
      </c>
      <c r="AB228" s="5">
        <f t="shared" ca="1" si="122"/>
        <v>0</v>
      </c>
      <c r="AC228" s="5">
        <f t="shared" ca="1" si="122"/>
        <v>0</v>
      </c>
      <c r="AD228" s="5">
        <f t="shared" ca="1" si="122"/>
        <v>0</v>
      </c>
      <c r="AE228" s="5">
        <f t="shared" ca="1" si="122"/>
        <v>0</v>
      </c>
      <c r="AF228" s="5">
        <f t="shared" ca="1" si="122"/>
        <v>0</v>
      </c>
      <c r="AG228" s="5">
        <f t="shared" ca="1" si="122"/>
        <v>0</v>
      </c>
      <c r="AH228" s="5">
        <f t="shared" ca="1" si="122"/>
        <v>0</v>
      </c>
      <c r="AI228" s="5">
        <f t="shared" ca="1" si="122"/>
        <v>0</v>
      </c>
    </row>
    <row r="229" spans="1:35" hidden="1" x14ac:dyDescent="0.3">
      <c r="A229" s="5"/>
      <c r="B229" s="5" t="s">
        <v>87</v>
      </c>
      <c r="C229" s="198" t="s">
        <v>11</v>
      </c>
      <c r="D229" s="205"/>
      <c r="E229" s="5">
        <f t="shared" ref="E229" si="123">-E76-E86</f>
        <v>0</v>
      </c>
      <c r="F229" s="5">
        <f t="shared" ref="F229:AI229" ca="1" si="124">-F76-F86</f>
        <v>-28.993114089919043</v>
      </c>
      <c r="G229" s="5">
        <f t="shared" ca="1" si="124"/>
        <v>-57.986228179838086</v>
      </c>
      <c r="H229" s="5">
        <f t="shared" ca="1" si="124"/>
        <v>-57.986228179838086</v>
      </c>
      <c r="I229" s="5">
        <f t="shared" ca="1" si="124"/>
        <v>-57.986228179838086</v>
      </c>
      <c r="J229" s="5">
        <f t="shared" ca="1" si="124"/>
        <v>-57.986228179838086</v>
      </c>
      <c r="K229" s="5">
        <f t="shared" ca="1" si="124"/>
        <v>-57.986228179838086</v>
      </c>
      <c r="L229" s="5">
        <f t="shared" ca="1" si="124"/>
        <v>-57.986228179838086</v>
      </c>
      <c r="M229" s="5">
        <f t="shared" ca="1" si="124"/>
        <v>-57.986228179838086</v>
      </c>
      <c r="N229" s="5">
        <f t="shared" ca="1" si="124"/>
        <v>-57.986228179838086</v>
      </c>
      <c r="O229" s="5">
        <f t="shared" ca="1" si="124"/>
        <v>-57.986228179838086</v>
      </c>
      <c r="P229" s="5">
        <f t="shared" ca="1" si="124"/>
        <v>-57.986228179838086</v>
      </c>
      <c r="Q229" s="5">
        <f t="shared" ca="1" si="124"/>
        <v>-57.986228179838086</v>
      </c>
      <c r="R229" s="5">
        <f t="shared" ca="1" si="124"/>
        <v>-57.986228179838086</v>
      </c>
      <c r="S229" s="5">
        <f t="shared" ca="1" si="124"/>
        <v>-57.986228179838086</v>
      </c>
      <c r="T229" s="5">
        <f t="shared" ca="1" si="124"/>
        <v>-57.986228179838086</v>
      </c>
      <c r="U229" s="5">
        <f t="shared" ca="1" si="124"/>
        <v>-28.993114089918954</v>
      </c>
      <c r="V229" s="5">
        <f t="shared" ca="1" si="124"/>
        <v>0</v>
      </c>
      <c r="W229" s="5">
        <f t="shared" ca="1" si="124"/>
        <v>0</v>
      </c>
      <c r="X229" s="5">
        <f t="shared" ca="1" si="124"/>
        <v>0</v>
      </c>
      <c r="Y229" s="5">
        <f t="shared" ca="1" si="124"/>
        <v>0</v>
      </c>
      <c r="Z229" s="5">
        <f t="shared" ca="1" si="124"/>
        <v>0</v>
      </c>
      <c r="AA229" s="5">
        <f t="shared" ca="1" si="124"/>
        <v>0</v>
      </c>
      <c r="AB229" s="5">
        <f t="shared" ca="1" si="124"/>
        <v>0</v>
      </c>
      <c r="AC229" s="5">
        <f t="shared" ca="1" si="124"/>
        <v>0</v>
      </c>
      <c r="AD229" s="5">
        <f t="shared" ca="1" si="124"/>
        <v>0</v>
      </c>
      <c r="AE229" s="5">
        <f t="shared" ca="1" si="124"/>
        <v>0</v>
      </c>
      <c r="AF229" s="5">
        <f t="shared" ca="1" si="124"/>
        <v>0</v>
      </c>
      <c r="AG229" s="5">
        <f t="shared" ca="1" si="124"/>
        <v>0</v>
      </c>
      <c r="AH229" s="5">
        <f t="shared" ca="1" si="124"/>
        <v>0</v>
      </c>
      <c r="AI229" s="5">
        <f t="shared" ca="1" si="124"/>
        <v>0</v>
      </c>
    </row>
    <row r="230" spans="1:35" hidden="1" x14ac:dyDescent="0.3">
      <c r="A230" s="5"/>
      <c r="B230" s="5"/>
      <c r="C230" s="198"/>
      <c r="D230" s="205"/>
      <c r="E230" s="205"/>
      <c r="F230" s="205"/>
      <c r="G230" s="205"/>
      <c r="H230" s="205"/>
      <c r="I230" s="205"/>
      <c r="J230" s="205"/>
      <c r="K230" s="205"/>
      <c r="L230" s="205"/>
      <c r="M230" s="205"/>
      <c r="N230" s="205"/>
      <c r="O230" s="205"/>
      <c r="P230" s="205"/>
      <c r="Q230" s="205"/>
      <c r="R230" s="205"/>
      <c r="S230" s="205"/>
      <c r="T230" s="205"/>
      <c r="U230" s="205"/>
      <c r="V230" s="205"/>
      <c r="W230" s="205"/>
      <c r="X230" s="205"/>
      <c r="Y230" s="205"/>
      <c r="Z230" s="205"/>
      <c r="AA230" s="205"/>
      <c r="AB230" s="205"/>
      <c r="AC230" s="205"/>
      <c r="AD230" s="205"/>
      <c r="AE230" s="205"/>
      <c r="AF230" s="205"/>
      <c r="AG230" s="205"/>
      <c r="AH230" s="205"/>
      <c r="AI230" s="205"/>
    </row>
    <row r="231" spans="1:35" hidden="1" x14ac:dyDescent="0.3">
      <c r="A231" s="8"/>
      <c r="B231" s="8" t="s">
        <v>5</v>
      </c>
      <c r="C231" s="198" t="s">
        <v>11</v>
      </c>
      <c r="E231" s="204">
        <f ca="1">IF(Input!$E$226,MIN(MAX(-SUM(E215:E229)-D240+E251-E233,0),E70),E70)</f>
        <v>174.61457293978017</v>
      </c>
      <c r="F231" s="204">
        <f ca="1">IF(Input!$E$226,MIN(MAX(-SUM(F215:F229)-E240+F251-F233,0),F70),F70)</f>
        <v>198.15403678775041</v>
      </c>
      <c r="G231" s="204">
        <f ca="1">IF(Input!$E$226,MIN(MAX(-SUM(G215:G229)-F240+G251-G233,0),G70),G70)</f>
        <v>0</v>
      </c>
      <c r="H231" s="204">
        <f ca="1">IF(Input!$E$226,MIN(MAX(-SUM(H215:H229)-G240+H251-H233,0),H70),H70)</f>
        <v>0</v>
      </c>
      <c r="I231" s="204">
        <f ca="1">IF(Input!$E$226,MIN(MAX(-SUM(I215:I229)-H240+I251-I233,0),I70),I70)</f>
        <v>0</v>
      </c>
      <c r="J231" s="204">
        <f ca="1">IF(Input!$E$226,MIN(MAX(-SUM(J215:J229)-I240+J251-J233,0),J70),J70)</f>
        <v>0</v>
      </c>
      <c r="K231" s="204">
        <f ca="1">IF(Input!$E$226,MIN(MAX(-SUM(K215:K229)-J240+K251-K233,0),K70),K70)</f>
        <v>0</v>
      </c>
      <c r="L231" s="204">
        <f ca="1">IF(Input!$E$226,MIN(MAX(-SUM(L215:L229)-K240+L251-L233,0),L70),L70)</f>
        <v>0</v>
      </c>
      <c r="M231" s="204">
        <f ca="1">IF(Input!$E$226,MIN(MAX(-SUM(M215:M229)-L240+M251-M233,0),M70),M70)</f>
        <v>0</v>
      </c>
      <c r="N231" s="204">
        <f ca="1">IF(Input!$E$226,MIN(MAX(-SUM(N215:N229)-M240+N251-N233,0),N70),N70)</f>
        <v>0</v>
      </c>
      <c r="O231" s="204">
        <f ca="1">IF(Input!$E$226,MIN(MAX(-SUM(O215:O229)-N240+O251-O233,0),O70),O70)</f>
        <v>0</v>
      </c>
      <c r="P231" s="204">
        <f ca="1">IF(Input!$E$226,MIN(MAX(-SUM(P215:P229)-O240+P251-P233,0),P70),P70)</f>
        <v>0</v>
      </c>
      <c r="Q231" s="204">
        <f ca="1">IF(Input!$E$226,MIN(MAX(-SUM(Q215:Q229)-P240+Q251-Q233,0),Q70),Q70)</f>
        <v>0</v>
      </c>
      <c r="R231" s="204">
        <f ca="1">IF(Input!$E$226,MIN(MAX(-SUM(R215:R229)-Q240+R251-R233,0),R70),R70)</f>
        <v>0</v>
      </c>
      <c r="S231" s="204">
        <f ca="1">IF(Input!$E$226,MIN(MAX(-SUM(S215:S229)-R240+S251-S233,0),S70),S70)</f>
        <v>0</v>
      </c>
      <c r="T231" s="204">
        <f ca="1">IF(Input!$E$226,MIN(MAX(-SUM(T215:T229)-S240+T251-T233,0),T70),T70)</f>
        <v>0</v>
      </c>
      <c r="U231" s="204">
        <f ca="1">IF(Input!$E$226,MIN(MAX(-SUM(U215:U229)-T240+U251-U233,0),U70),U70)</f>
        <v>0</v>
      </c>
      <c r="V231" s="204">
        <f ca="1">IF(Input!$E$226,MIN(MAX(-SUM(V215:V229)-U240+V251-V233,0),V70),V70)</f>
        <v>0</v>
      </c>
      <c r="W231" s="204">
        <f ca="1">IF(Input!$E$226,MIN(MAX(-SUM(W215:W229)-V240+W251-W233,0),W70),W70)</f>
        <v>0</v>
      </c>
      <c r="X231" s="204">
        <f ca="1">IF(Input!$E$226,MIN(MAX(-SUM(X215:X229)-W240+X251-X233,0),X70),X70)</f>
        <v>0</v>
      </c>
      <c r="Y231" s="204">
        <f ca="1">IF(Input!$E$226,MIN(MAX(-SUM(Y215:Y229)-X240+Y251-Y233,0),Y70),Y70)</f>
        <v>0</v>
      </c>
      <c r="Z231" s="204">
        <f ca="1">IF(Input!$E$226,MIN(MAX(-SUM(Z215:Z229)-Y240+Z251-Z233,0),Z70),Z70)</f>
        <v>0</v>
      </c>
      <c r="AA231" s="204">
        <f ca="1">IF(Input!$E$226,MIN(MAX(-SUM(AA215:AA229)-Z240+AA251-AA233,0),AA70),AA70)</f>
        <v>0</v>
      </c>
      <c r="AB231" s="204">
        <f ca="1">IF(Input!$E$226,MIN(MAX(-SUM(AB215:AB229)-AA240+AB251-AB233,0),AB70),AB70)</f>
        <v>0</v>
      </c>
      <c r="AC231" s="204">
        <f ca="1">IF(Input!$E$226,MIN(MAX(-SUM(AC215:AC229)-AB240+AC251-AC233,0),AC70),AC70)</f>
        <v>0</v>
      </c>
      <c r="AD231" s="204">
        <f ca="1">IF(Input!$E$226,MIN(MAX(-SUM(AD215:AD229)-AC240+AD251-AD233,0),AD70),AD70)</f>
        <v>0</v>
      </c>
      <c r="AE231" s="204">
        <f ca="1">IF(Input!$E$226,MIN(MAX(-SUM(AE215:AE229)-AD240+AE251-AE233,0),AE70),AE70)</f>
        <v>0</v>
      </c>
      <c r="AF231" s="204">
        <f ca="1">IF(Input!$E$226,MIN(MAX(-SUM(AF215:AF229)-AE240+AF251-AF233,0),AF70),AF70)</f>
        <v>0</v>
      </c>
      <c r="AG231" s="204">
        <f ca="1">IF(Input!$E$226,MIN(MAX(-SUM(AG215:AG229)-AF240+AG251-AG233,0),AG70),AG70)</f>
        <v>0</v>
      </c>
      <c r="AH231" s="204">
        <f ca="1">IF(Input!$E$226,MIN(MAX(-SUM(AH215:AH229)-AG240+AH251-AH233,0),AH70),AH70)</f>
        <v>0</v>
      </c>
      <c r="AI231" s="204">
        <f ca="1">IF(Input!$E$226,MIN(MAX(-SUM(AI215:AI229)-AH240+AI251-AI233,0),AI70),AI70)</f>
        <v>0</v>
      </c>
    </row>
    <row r="232" spans="1:35" hidden="1" x14ac:dyDescent="0.3">
      <c r="A232" s="8"/>
      <c r="C232" s="198"/>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row>
    <row r="233" spans="1:35" hidden="1" x14ac:dyDescent="0.3">
      <c r="A233" s="680"/>
      <c r="B233" s="8" t="s">
        <v>142</v>
      </c>
      <c r="C233" s="198" t="s">
        <v>11</v>
      </c>
      <c r="E233" s="8">
        <f t="shared" ref="E233:AI233" si="125">-E249</f>
        <v>0</v>
      </c>
      <c r="F233" s="8">
        <f t="shared" si="125"/>
        <v>0</v>
      </c>
      <c r="G233" s="8">
        <f t="shared" si="125"/>
        <v>0</v>
      </c>
      <c r="H233" s="8">
        <f t="shared" si="125"/>
        <v>0</v>
      </c>
      <c r="I233" s="8">
        <f t="shared" si="125"/>
        <v>0</v>
      </c>
      <c r="J233" s="8">
        <f t="shared" si="125"/>
        <v>0</v>
      </c>
      <c r="K233" s="8">
        <f t="shared" si="125"/>
        <v>0</v>
      </c>
      <c r="L233" s="8">
        <f t="shared" si="125"/>
        <v>0</v>
      </c>
      <c r="M233" s="8">
        <f t="shared" si="125"/>
        <v>0</v>
      </c>
      <c r="N233" s="8">
        <f t="shared" si="125"/>
        <v>0</v>
      </c>
      <c r="O233" s="8">
        <f t="shared" si="125"/>
        <v>0</v>
      </c>
      <c r="P233" s="8">
        <f t="shared" si="125"/>
        <v>0</v>
      </c>
      <c r="Q233" s="8">
        <f t="shared" si="125"/>
        <v>0</v>
      </c>
      <c r="R233" s="8">
        <f t="shared" si="125"/>
        <v>0</v>
      </c>
      <c r="S233" s="8">
        <f t="shared" si="125"/>
        <v>0</v>
      </c>
      <c r="T233" s="8">
        <f t="shared" si="125"/>
        <v>0</v>
      </c>
      <c r="U233" s="8">
        <f t="shared" si="125"/>
        <v>0</v>
      </c>
      <c r="V233" s="8">
        <f t="shared" si="125"/>
        <v>0</v>
      </c>
      <c r="W233" s="8">
        <f t="shared" si="125"/>
        <v>0</v>
      </c>
      <c r="X233" s="8">
        <f t="shared" si="125"/>
        <v>0</v>
      </c>
      <c r="Y233" s="8">
        <f t="shared" si="125"/>
        <v>0</v>
      </c>
      <c r="Z233" s="8">
        <f t="shared" si="125"/>
        <v>0</v>
      </c>
      <c r="AA233" s="8">
        <f t="shared" si="125"/>
        <v>0</v>
      </c>
      <c r="AB233" s="8">
        <f t="shared" si="125"/>
        <v>0</v>
      </c>
      <c r="AC233" s="8">
        <f t="shared" si="125"/>
        <v>0</v>
      </c>
      <c r="AD233" s="8">
        <f t="shared" si="125"/>
        <v>0</v>
      </c>
      <c r="AE233" s="8">
        <f t="shared" si="125"/>
        <v>0</v>
      </c>
      <c r="AF233" s="8">
        <f t="shared" si="125"/>
        <v>0</v>
      </c>
      <c r="AG233" s="8">
        <f t="shared" si="125"/>
        <v>0</v>
      </c>
      <c r="AH233" s="8">
        <f t="shared" si="125"/>
        <v>0</v>
      </c>
      <c r="AI233" s="8">
        <f t="shared" si="125"/>
        <v>0</v>
      </c>
    </row>
    <row r="234" spans="1:35" hidden="1" x14ac:dyDescent="0.3">
      <c r="A234" s="680"/>
      <c r="B234" s="8" t="s">
        <v>141</v>
      </c>
      <c r="C234" s="198" t="s">
        <v>11</v>
      </c>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spans="1:35" hidden="1" x14ac:dyDescent="0.3">
      <c r="A235" s="680"/>
      <c r="B235" s="8" t="s">
        <v>140</v>
      </c>
      <c r="C235" s="198" t="s">
        <v>11</v>
      </c>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spans="1:35" hidden="1" x14ac:dyDescent="0.3">
      <c r="A236" s="8"/>
      <c r="C236" s="198"/>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row>
    <row r="237" spans="1:35" hidden="1" x14ac:dyDescent="0.3">
      <c r="A237" s="8" t="s">
        <v>139</v>
      </c>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row>
    <row r="238" spans="1:35" hidden="1" x14ac:dyDescent="0.3">
      <c r="A238" s="8"/>
      <c r="B238" s="5" t="s">
        <v>138</v>
      </c>
      <c r="C238" s="202" t="s">
        <v>11</v>
      </c>
      <c r="E238" s="8">
        <f t="shared" ref="E238" si="126">D240</f>
        <v>0</v>
      </c>
      <c r="F238" s="8">
        <f t="shared" ref="F238:AI238" ca="1" si="127">E240</f>
        <v>2.8421709430404007E-14</v>
      </c>
      <c r="G238" s="8">
        <f t="shared" ca="1" si="127"/>
        <v>21.971837714014413</v>
      </c>
      <c r="H238" s="8">
        <f t="shared" ca="1" si="127"/>
        <v>66.913867783118462</v>
      </c>
      <c r="I238" s="8">
        <f t="shared" ca="1" si="127"/>
        <v>112.30056815598579</v>
      </c>
      <c r="J238" s="8">
        <f t="shared" ca="1" si="127"/>
        <v>158.14191333196985</v>
      </c>
      <c r="K238" s="8">
        <f t="shared" ca="1" si="127"/>
        <v>204.42830989965668</v>
      </c>
      <c r="L238" s="8">
        <f t="shared" ca="1" si="127"/>
        <v>251.14824853029009</v>
      </c>
      <c r="M238" s="8">
        <f t="shared" ca="1" si="127"/>
        <v>298.28822334011596</v>
      </c>
      <c r="N238" s="8">
        <f t="shared" ca="1" si="127"/>
        <v>345.83264685641029</v>
      </c>
      <c r="O238" s="8">
        <f t="shared" ca="1" si="127"/>
        <v>393.76376036168114</v>
      </c>
      <c r="P238" s="8">
        <f t="shared" ca="1" si="127"/>
        <v>442.06153937875268</v>
      </c>
      <c r="Q238" s="8">
        <f t="shared" ca="1" si="127"/>
        <v>490.70359404704169</v>
      </c>
      <c r="R238" s="8">
        <f t="shared" ca="1" si="127"/>
        <v>539.66506412729336</v>
      </c>
      <c r="S238" s="8">
        <f t="shared" ca="1" si="127"/>
        <v>588.91850835831849</v>
      </c>
      <c r="T238" s="8">
        <f t="shared" ca="1" si="127"/>
        <v>638.43378787483334</v>
      </c>
      <c r="U238" s="8">
        <f t="shared" ca="1" si="127"/>
        <v>688.17794338030876</v>
      </c>
      <c r="V238" s="8">
        <f t="shared" ca="1" si="127"/>
        <v>760.69457165610197</v>
      </c>
      <c r="W238" s="8">
        <f t="shared" ca="1" si="127"/>
        <v>860.19667502702987</v>
      </c>
      <c r="X238" s="8">
        <f t="shared" ca="1" si="127"/>
        <v>956.92837759571228</v>
      </c>
      <c r="Y238" s="8">
        <f t="shared" ca="1" si="127"/>
        <v>1050.8440735370323</v>
      </c>
      <c r="Z238" s="8">
        <f t="shared" ca="1" si="127"/>
        <v>1141.2540189773053</v>
      </c>
      <c r="AA238" s="8">
        <f t="shared" ca="1" si="127"/>
        <v>1220.2193394569558</v>
      </c>
      <c r="AB238" s="8">
        <f t="shared" ca="1" si="127"/>
        <v>1296.3833763640966</v>
      </c>
      <c r="AC238" s="8">
        <f t="shared" ca="1" si="127"/>
        <v>1369.6888591347899</v>
      </c>
      <c r="AD238" s="8">
        <f t="shared" ca="1" si="127"/>
        <v>1440.0744996241806</v>
      </c>
      <c r="AE238" s="8">
        <f t="shared" ca="1" si="127"/>
        <v>1507.4747980261682</v>
      </c>
      <c r="AF238" s="8">
        <f t="shared" ca="1" si="127"/>
        <v>1547.9432883491099</v>
      </c>
      <c r="AG238" s="8">
        <f t="shared" ca="1" si="127"/>
        <v>1547.9432883491099</v>
      </c>
      <c r="AH238" s="8">
        <f t="shared" ca="1" si="127"/>
        <v>1547.9432883491099</v>
      </c>
      <c r="AI238" s="8">
        <f t="shared" ca="1" si="127"/>
        <v>1547.9432883491099</v>
      </c>
    </row>
    <row r="239" spans="1:35" hidden="1" x14ac:dyDescent="0.3">
      <c r="A239" s="8"/>
      <c r="B239" s="5" t="s">
        <v>137</v>
      </c>
      <c r="C239" s="202" t="s">
        <v>11</v>
      </c>
      <c r="E239" s="8">
        <f t="shared" ref="E239:AI239" ca="1" si="128">SUM(E215:E235)</f>
        <v>2.8421709430404007E-14</v>
      </c>
      <c r="F239" s="8">
        <f t="shared" ca="1" si="128"/>
        <v>21.971837714014384</v>
      </c>
      <c r="G239" s="8">
        <f t="shared" ca="1" si="128"/>
        <v>44.942030069104042</v>
      </c>
      <c r="H239" s="8">
        <f t="shared" ca="1" si="128"/>
        <v>45.386700372867317</v>
      </c>
      <c r="I239" s="8">
        <f t="shared" ca="1" si="128"/>
        <v>45.841345175984067</v>
      </c>
      <c r="J239" s="8">
        <f t="shared" ca="1" si="128"/>
        <v>46.286396567686843</v>
      </c>
      <c r="K239" s="8">
        <f t="shared" ca="1" si="128"/>
        <v>46.719938630633415</v>
      </c>
      <c r="L239" s="8">
        <f t="shared" ca="1" si="128"/>
        <v>47.13997480982588</v>
      </c>
      <c r="M239" s="8">
        <f t="shared" ca="1" si="128"/>
        <v>47.544423516294337</v>
      </c>
      <c r="N239" s="8">
        <f t="shared" ca="1" si="128"/>
        <v>47.931113505270865</v>
      </c>
      <c r="O239" s="8">
        <f t="shared" ca="1" si="128"/>
        <v>48.297779017071569</v>
      </c>
      <c r="P239" s="8">
        <f t="shared" ca="1" si="128"/>
        <v>48.642054668289028</v>
      </c>
      <c r="Q239" s="8">
        <f t="shared" ca="1" si="128"/>
        <v>48.961470080251708</v>
      </c>
      <c r="R239" s="8">
        <f t="shared" ca="1" si="128"/>
        <v>49.253444231025135</v>
      </c>
      <c r="S239" s="8">
        <f t="shared" ca="1" si="128"/>
        <v>49.515279516514859</v>
      </c>
      <c r="T239" s="8">
        <f t="shared" ca="1" si="128"/>
        <v>49.744155505475398</v>
      </c>
      <c r="U239" s="8">
        <f t="shared" ca="1" si="128"/>
        <v>72.516628275793209</v>
      </c>
      <c r="V239" s="8">
        <f t="shared" ca="1" si="128"/>
        <v>99.50210337092787</v>
      </c>
      <c r="W239" s="8">
        <f t="shared" ca="1" si="128"/>
        <v>96.731702568682394</v>
      </c>
      <c r="X239" s="8">
        <f t="shared" ca="1" si="128"/>
        <v>93.915695941319967</v>
      </c>
      <c r="Y239" s="8">
        <f t="shared" ca="1" si="128"/>
        <v>90.409945440273034</v>
      </c>
      <c r="Z239" s="8">
        <f t="shared" ca="1" si="128"/>
        <v>78.965320479650444</v>
      </c>
      <c r="AA239" s="8">
        <f t="shared" ca="1" si="128"/>
        <v>76.164036907140897</v>
      </c>
      <c r="AB239" s="8">
        <f t="shared" ca="1" si="128"/>
        <v>73.305482770693331</v>
      </c>
      <c r="AC239" s="8">
        <f t="shared" ca="1" si="128"/>
        <v>70.385640489390624</v>
      </c>
      <c r="AD239" s="8">
        <f t="shared" ca="1" si="128"/>
        <v>67.400298401987669</v>
      </c>
      <c r="AE239" s="8">
        <f t="shared" ca="1" si="128"/>
        <v>40.468490322941804</v>
      </c>
      <c r="AF239" s="8">
        <f t="shared" ca="1" si="128"/>
        <v>0</v>
      </c>
      <c r="AG239" s="8">
        <f t="shared" ca="1" si="128"/>
        <v>0</v>
      </c>
      <c r="AH239" s="8">
        <f t="shared" ca="1" si="128"/>
        <v>0</v>
      </c>
      <c r="AI239" s="8">
        <f t="shared" ca="1" si="128"/>
        <v>0</v>
      </c>
    </row>
    <row r="240" spans="1:35" hidden="1" x14ac:dyDescent="0.3">
      <c r="A240" s="8"/>
      <c r="B240" s="5" t="s">
        <v>135</v>
      </c>
      <c r="C240" s="202" t="s">
        <v>11</v>
      </c>
      <c r="E240" s="8">
        <f t="shared" ref="E240:AI240" ca="1" si="129">E238+E239</f>
        <v>2.8421709430404007E-14</v>
      </c>
      <c r="F240" s="8">
        <f t="shared" ca="1" si="129"/>
        <v>21.971837714014413</v>
      </c>
      <c r="G240" s="8">
        <f t="shared" ca="1" si="129"/>
        <v>66.913867783118462</v>
      </c>
      <c r="H240" s="8">
        <f t="shared" ca="1" si="129"/>
        <v>112.30056815598579</v>
      </c>
      <c r="I240" s="8">
        <f t="shared" ca="1" si="129"/>
        <v>158.14191333196985</v>
      </c>
      <c r="J240" s="8">
        <f t="shared" ca="1" si="129"/>
        <v>204.42830989965668</v>
      </c>
      <c r="K240" s="8">
        <f t="shared" ca="1" si="129"/>
        <v>251.14824853029009</v>
      </c>
      <c r="L240" s="8">
        <f t="shared" ca="1" si="129"/>
        <v>298.28822334011596</v>
      </c>
      <c r="M240" s="8">
        <f t="shared" ca="1" si="129"/>
        <v>345.83264685641029</v>
      </c>
      <c r="N240" s="8">
        <f t="shared" ca="1" si="129"/>
        <v>393.76376036168114</v>
      </c>
      <c r="O240" s="8">
        <f t="shared" ca="1" si="129"/>
        <v>442.06153937875268</v>
      </c>
      <c r="P240" s="8">
        <f t="shared" ca="1" si="129"/>
        <v>490.70359404704169</v>
      </c>
      <c r="Q240" s="8">
        <f t="shared" ca="1" si="129"/>
        <v>539.66506412729336</v>
      </c>
      <c r="R240" s="8">
        <f t="shared" ca="1" si="129"/>
        <v>588.91850835831849</v>
      </c>
      <c r="S240" s="8">
        <f t="shared" ca="1" si="129"/>
        <v>638.43378787483334</v>
      </c>
      <c r="T240" s="8">
        <f t="shared" ca="1" si="129"/>
        <v>688.17794338030876</v>
      </c>
      <c r="U240" s="8">
        <f t="shared" ca="1" si="129"/>
        <v>760.69457165610197</v>
      </c>
      <c r="V240" s="8">
        <f t="shared" ca="1" si="129"/>
        <v>860.19667502702987</v>
      </c>
      <c r="W240" s="8">
        <f t="shared" ca="1" si="129"/>
        <v>956.92837759571228</v>
      </c>
      <c r="X240" s="8">
        <f t="shared" ca="1" si="129"/>
        <v>1050.8440735370323</v>
      </c>
      <c r="Y240" s="8">
        <f t="shared" ca="1" si="129"/>
        <v>1141.2540189773053</v>
      </c>
      <c r="Z240" s="8">
        <f t="shared" ca="1" si="129"/>
        <v>1220.2193394569558</v>
      </c>
      <c r="AA240" s="8">
        <f t="shared" ca="1" si="129"/>
        <v>1296.3833763640966</v>
      </c>
      <c r="AB240" s="8">
        <f t="shared" ca="1" si="129"/>
        <v>1369.6888591347899</v>
      </c>
      <c r="AC240" s="8">
        <f t="shared" ca="1" si="129"/>
        <v>1440.0744996241806</v>
      </c>
      <c r="AD240" s="8">
        <f t="shared" ca="1" si="129"/>
        <v>1507.4747980261682</v>
      </c>
      <c r="AE240" s="8">
        <f t="shared" ca="1" si="129"/>
        <v>1547.9432883491099</v>
      </c>
      <c r="AF240" s="8">
        <f t="shared" ca="1" si="129"/>
        <v>1547.9432883491099</v>
      </c>
      <c r="AG240" s="8">
        <f t="shared" ca="1" si="129"/>
        <v>1547.9432883491099</v>
      </c>
      <c r="AH240" s="8">
        <f t="shared" ca="1" si="129"/>
        <v>1547.9432883491099</v>
      </c>
      <c r="AI240" s="8">
        <f t="shared" ca="1" si="129"/>
        <v>1547.9432883491099</v>
      </c>
    </row>
    <row r="241" spans="1:35" hidden="1" x14ac:dyDescent="0.3">
      <c r="A241" s="8"/>
      <c r="C241" s="198"/>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row>
    <row r="242" spans="1:35" hidden="1" x14ac:dyDescent="0.3">
      <c r="A242" s="8" t="s">
        <v>42</v>
      </c>
    </row>
    <row r="243" spans="1:35" hidden="1" x14ac:dyDescent="0.3">
      <c r="A243" s="8"/>
      <c r="B243" s="5" t="s">
        <v>138</v>
      </c>
      <c r="C243" s="198" t="s">
        <v>11</v>
      </c>
      <c r="D243" s="205"/>
      <c r="E243" s="208">
        <f>D246</f>
        <v>0</v>
      </c>
      <c r="F243" s="208">
        <f t="shared" ref="F243:AI243" si="130">E246</f>
        <v>0</v>
      </c>
      <c r="G243" s="208">
        <f t="shared" si="130"/>
        <v>0</v>
      </c>
      <c r="H243" s="208">
        <f t="shared" si="130"/>
        <v>0</v>
      </c>
      <c r="I243" s="208">
        <f t="shared" si="130"/>
        <v>0</v>
      </c>
      <c r="J243" s="208">
        <f t="shared" si="130"/>
        <v>0</v>
      </c>
      <c r="K243" s="208">
        <f t="shared" si="130"/>
        <v>0</v>
      </c>
      <c r="L243" s="208">
        <f t="shared" si="130"/>
        <v>0</v>
      </c>
      <c r="M243" s="208">
        <f t="shared" si="130"/>
        <v>0</v>
      </c>
      <c r="N243" s="208">
        <f t="shared" si="130"/>
        <v>0</v>
      </c>
      <c r="O243" s="208">
        <f t="shared" si="130"/>
        <v>0</v>
      </c>
      <c r="P243" s="208">
        <f t="shared" si="130"/>
        <v>0</v>
      </c>
      <c r="Q243" s="208">
        <f t="shared" si="130"/>
        <v>0</v>
      </c>
      <c r="R243" s="208">
        <f t="shared" si="130"/>
        <v>0</v>
      </c>
      <c r="S243" s="208">
        <f t="shared" si="130"/>
        <v>0</v>
      </c>
      <c r="T243" s="208">
        <f t="shared" si="130"/>
        <v>0</v>
      </c>
      <c r="U243" s="208">
        <f t="shared" si="130"/>
        <v>0</v>
      </c>
      <c r="V243" s="208">
        <f t="shared" si="130"/>
        <v>0</v>
      </c>
      <c r="W243" s="208">
        <f t="shared" si="130"/>
        <v>0</v>
      </c>
      <c r="X243" s="208">
        <f t="shared" si="130"/>
        <v>0</v>
      </c>
      <c r="Y243" s="208">
        <f t="shared" si="130"/>
        <v>0</v>
      </c>
      <c r="Z243" s="208">
        <f t="shared" si="130"/>
        <v>0</v>
      </c>
      <c r="AA243" s="208">
        <f t="shared" si="130"/>
        <v>0</v>
      </c>
      <c r="AB243" s="208">
        <f t="shared" si="130"/>
        <v>0</v>
      </c>
      <c r="AC243" s="208">
        <f t="shared" si="130"/>
        <v>0</v>
      </c>
      <c r="AD243" s="208">
        <f t="shared" si="130"/>
        <v>0</v>
      </c>
      <c r="AE243" s="208">
        <f t="shared" si="130"/>
        <v>0</v>
      </c>
      <c r="AF243" s="208">
        <f t="shared" si="130"/>
        <v>0</v>
      </c>
      <c r="AG243" s="208">
        <f t="shared" si="130"/>
        <v>0</v>
      </c>
      <c r="AH243" s="208">
        <f t="shared" si="130"/>
        <v>0</v>
      </c>
      <c r="AI243" s="208">
        <f t="shared" si="130"/>
        <v>0</v>
      </c>
    </row>
    <row r="244" spans="1:35" hidden="1" x14ac:dyDescent="0.3">
      <c r="A244" s="8"/>
      <c r="B244" s="5" t="s">
        <v>137</v>
      </c>
      <c r="C244" s="198" t="s">
        <v>11</v>
      </c>
      <c r="D244" s="205"/>
      <c r="E244" s="208">
        <f t="shared" ref="E244:AI244" si="131">E235</f>
        <v>0</v>
      </c>
      <c r="F244" s="208">
        <f t="shared" si="131"/>
        <v>0</v>
      </c>
      <c r="G244" s="208">
        <f t="shared" si="131"/>
        <v>0</v>
      </c>
      <c r="H244" s="208">
        <f t="shared" si="131"/>
        <v>0</v>
      </c>
      <c r="I244" s="208">
        <f t="shared" si="131"/>
        <v>0</v>
      </c>
      <c r="J244" s="208">
        <f t="shared" si="131"/>
        <v>0</v>
      </c>
      <c r="K244" s="208">
        <f t="shared" si="131"/>
        <v>0</v>
      </c>
      <c r="L244" s="208">
        <f t="shared" si="131"/>
        <v>0</v>
      </c>
      <c r="M244" s="208">
        <f t="shared" si="131"/>
        <v>0</v>
      </c>
      <c r="N244" s="208">
        <f t="shared" si="131"/>
        <v>0</v>
      </c>
      <c r="O244" s="208">
        <f t="shared" si="131"/>
        <v>0</v>
      </c>
      <c r="P244" s="208">
        <f t="shared" si="131"/>
        <v>0</v>
      </c>
      <c r="Q244" s="208">
        <f t="shared" si="131"/>
        <v>0</v>
      </c>
      <c r="R244" s="208">
        <f t="shared" si="131"/>
        <v>0</v>
      </c>
      <c r="S244" s="208">
        <f t="shared" si="131"/>
        <v>0</v>
      </c>
      <c r="T244" s="208">
        <f t="shared" si="131"/>
        <v>0</v>
      </c>
      <c r="U244" s="208">
        <f t="shared" si="131"/>
        <v>0</v>
      </c>
      <c r="V244" s="208">
        <f t="shared" si="131"/>
        <v>0</v>
      </c>
      <c r="W244" s="208">
        <f t="shared" si="131"/>
        <v>0</v>
      </c>
      <c r="X244" s="208">
        <f t="shared" si="131"/>
        <v>0</v>
      </c>
      <c r="Y244" s="208">
        <f t="shared" si="131"/>
        <v>0</v>
      </c>
      <c r="Z244" s="208">
        <f t="shared" si="131"/>
        <v>0</v>
      </c>
      <c r="AA244" s="208">
        <f t="shared" si="131"/>
        <v>0</v>
      </c>
      <c r="AB244" s="208">
        <f t="shared" si="131"/>
        <v>0</v>
      </c>
      <c r="AC244" s="208">
        <f t="shared" si="131"/>
        <v>0</v>
      </c>
      <c r="AD244" s="208">
        <f t="shared" si="131"/>
        <v>0</v>
      </c>
      <c r="AE244" s="208">
        <f t="shared" si="131"/>
        <v>0</v>
      </c>
      <c r="AF244" s="208">
        <f t="shared" si="131"/>
        <v>0</v>
      </c>
      <c r="AG244" s="208">
        <f t="shared" si="131"/>
        <v>0</v>
      </c>
      <c r="AH244" s="208">
        <f t="shared" si="131"/>
        <v>0</v>
      </c>
      <c r="AI244" s="208">
        <f t="shared" si="131"/>
        <v>0</v>
      </c>
    </row>
    <row r="245" spans="1:35" hidden="1" x14ac:dyDescent="0.3">
      <c r="A245" s="8"/>
      <c r="B245" s="5" t="s">
        <v>136</v>
      </c>
      <c r="C245" s="198" t="s">
        <v>11</v>
      </c>
      <c r="D245" s="205"/>
      <c r="E245" s="208">
        <f t="shared" ref="E245:AI245" si="132">E234</f>
        <v>0</v>
      </c>
      <c r="F245" s="208">
        <f t="shared" si="132"/>
        <v>0</v>
      </c>
      <c r="G245" s="208">
        <f t="shared" si="132"/>
        <v>0</v>
      </c>
      <c r="H245" s="208">
        <f t="shared" si="132"/>
        <v>0</v>
      </c>
      <c r="I245" s="208">
        <f t="shared" si="132"/>
        <v>0</v>
      </c>
      <c r="J245" s="208">
        <f t="shared" si="132"/>
        <v>0</v>
      </c>
      <c r="K245" s="208">
        <f t="shared" si="132"/>
        <v>0</v>
      </c>
      <c r="L245" s="208">
        <f t="shared" si="132"/>
        <v>0</v>
      </c>
      <c r="M245" s="208">
        <f t="shared" si="132"/>
        <v>0</v>
      </c>
      <c r="N245" s="208">
        <f t="shared" si="132"/>
        <v>0</v>
      </c>
      <c r="O245" s="208">
        <f t="shared" si="132"/>
        <v>0</v>
      </c>
      <c r="P245" s="208">
        <f t="shared" si="132"/>
        <v>0</v>
      </c>
      <c r="Q245" s="208">
        <f t="shared" si="132"/>
        <v>0</v>
      </c>
      <c r="R245" s="208">
        <f t="shared" si="132"/>
        <v>0</v>
      </c>
      <c r="S245" s="208">
        <f t="shared" si="132"/>
        <v>0</v>
      </c>
      <c r="T245" s="208">
        <f t="shared" si="132"/>
        <v>0</v>
      </c>
      <c r="U245" s="208">
        <f t="shared" si="132"/>
        <v>0</v>
      </c>
      <c r="V245" s="208">
        <f t="shared" si="132"/>
        <v>0</v>
      </c>
      <c r="W245" s="208">
        <f t="shared" si="132"/>
        <v>0</v>
      </c>
      <c r="X245" s="208">
        <f t="shared" si="132"/>
        <v>0</v>
      </c>
      <c r="Y245" s="208">
        <f t="shared" si="132"/>
        <v>0</v>
      </c>
      <c r="Z245" s="208">
        <f t="shared" si="132"/>
        <v>0</v>
      </c>
      <c r="AA245" s="208">
        <f t="shared" si="132"/>
        <v>0</v>
      </c>
      <c r="AB245" s="208">
        <f t="shared" si="132"/>
        <v>0</v>
      </c>
      <c r="AC245" s="208">
        <f t="shared" si="132"/>
        <v>0</v>
      </c>
      <c r="AD245" s="208">
        <f t="shared" si="132"/>
        <v>0</v>
      </c>
      <c r="AE245" s="208">
        <f t="shared" si="132"/>
        <v>0</v>
      </c>
      <c r="AF245" s="208">
        <f t="shared" si="132"/>
        <v>0</v>
      </c>
      <c r="AG245" s="208">
        <f t="shared" si="132"/>
        <v>0</v>
      </c>
      <c r="AH245" s="208">
        <f t="shared" si="132"/>
        <v>0</v>
      </c>
      <c r="AI245" s="208">
        <f t="shared" si="132"/>
        <v>0</v>
      </c>
    </row>
    <row r="246" spans="1:35" hidden="1" x14ac:dyDescent="0.3">
      <c r="A246" s="8"/>
      <c r="B246" s="5" t="s">
        <v>135</v>
      </c>
      <c r="C246" s="198" t="s">
        <v>11</v>
      </c>
      <c r="D246" s="205"/>
      <c r="E246" s="208">
        <f t="shared" ref="E246:AI246" si="133">E243+E244+E245</f>
        <v>0</v>
      </c>
      <c r="F246" s="208">
        <f t="shared" si="133"/>
        <v>0</v>
      </c>
      <c r="G246" s="208">
        <f t="shared" si="133"/>
        <v>0</v>
      </c>
      <c r="H246" s="208">
        <f t="shared" si="133"/>
        <v>0</v>
      </c>
      <c r="I246" s="208">
        <f t="shared" si="133"/>
        <v>0</v>
      </c>
      <c r="J246" s="208">
        <f t="shared" si="133"/>
        <v>0</v>
      </c>
      <c r="K246" s="208">
        <f t="shared" si="133"/>
        <v>0</v>
      </c>
      <c r="L246" s="208">
        <f t="shared" si="133"/>
        <v>0</v>
      </c>
      <c r="M246" s="208">
        <f t="shared" si="133"/>
        <v>0</v>
      </c>
      <c r="N246" s="208">
        <f t="shared" si="133"/>
        <v>0</v>
      </c>
      <c r="O246" s="208">
        <f t="shared" si="133"/>
        <v>0</v>
      </c>
      <c r="P246" s="208">
        <f t="shared" si="133"/>
        <v>0</v>
      </c>
      <c r="Q246" s="208">
        <f t="shared" si="133"/>
        <v>0</v>
      </c>
      <c r="R246" s="208">
        <f t="shared" si="133"/>
        <v>0</v>
      </c>
      <c r="S246" s="208">
        <f t="shared" si="133"/>
        <v>0</v>
      </c>
      <c r="T246" s="208">
        <f t="shared" si="133"/>
        <v>0</v>
      </c>
      <c r="U246" s="208">
        <f t="shared" si="133"/>
        <v>0</v>
      </c>
      <c r="V246" s="208">
        <f t="shared" si="133"/>
        <v>0</v>
      </c>
      <c r="W246" s="208">
        <f t="shared" si="133"/>
        <v>0</v>
      </c>
      <c r="X246" s="208">
        <f t="shared" si="133"/>
        <v>0</v>
      </c>
      <c r="Y246" s="208">
        <f t="shared" si="133"/>
        <v>0</v>
      </c>
      <c r="Z246" s="208">
        <f t="shared" si="133"/>
        <v>0</v>
      </c>
      <c r="AA246" s="208">
        <f t="shared" si="133"/>
        <v>0</v>
      </c>
      <c r="AB246" s="208">
        <f t="shared" si="133"/>
        <v>0</v>
      </c>
      <c r="AC246" s="208">
        <f t="shared" si="133"/>
        <v>0</v>
      </c>
      <c r="AD246" s="208">
        <f t="shared" si="133"/>
        <v>0</v>
      </c>
      <c r="AE246" s="208">
        <f t="shared" si="133"/>
        <v>0</v>
      </c>
      <c r="AF246" s="208">
        <f t="shared" si="133"/>
        <v>0</v>
      </c>
      <c r="AG246" s="208">
        <f t="shared" si="133"/>
        <v>0</v>
      </c>
      <c r="AH246" s="208">
        <f t="shared" si="133"/>
        <v>0</v>
      </c>
      <c r="AI246" s="208">
        <f t="shared" si="133"/>
        <v>0</v>
      </c>
    </row>
    <row r="247" spans="1:35" hidden="1" x14ac:dyDescent="0.3">
      <c r="A247" s="8"/>
    </row>
    <row r="248" spans="1:35" hidden="1" x14ac:dyDescent="0.3">
      <c r="A248" s="5"/>
      <c r="B248" s="5" t="s">
        <v>53</v>
      </c>
      <c r="C248" s="198" t="s">
        <v>0</v>
      </c>
      <c r="D248" s="205"/>
      <c r="E248" s="213">
        <f>Input!$E$199</f>
        <v>0.09</v>
      </c>
      <c r="F248" s="213">
        <f>Input!$E$199</f>
        <v>0.09</v>
      </c>
      <c r="G248" s="213">
        <f>Input!$E$199</f>
        <v>0.09</v>
      </c>
      <c r="H248" s="213">
        <f>Input!$E$199</f>
        <v>0.09</v>
      </c>
      <c r="I248" s="213">
        <f>Input!$E$199</f>
        <v>0.09</v>
      </c>
      <c r="J248" s="213">
        <f>Input!$E$199</f>
        <v>0.09</v>
      </c>
      <c r="K248" s="213">
        <f>Input!$E$199</f>
        <v>0.09</v>
      </c>
      <c r="L248" s="213">
        <f>Input!$E$199</f>
        <v>0.09</v>
      </c>
      <c r="M248" s="213">
        <f>Input!$E$199</f>
        <v>0.09</v>
      </c>
      <c r="N248" s="213">
        <f>Input!$E$199</f>
        <v>0.09</v>
      </c>
      <c r="O248" s="213">
        <f>Input!$E$199</f>
        <v>0.09</v>
      </c>
      <c r="P248" s="213">
        <f>Input!$E$199</f>
        <v>0.09</v>
      </c>
      <c r="Q248" s="213">
        <f>Input!$E$199</f>
        <v>0.09</v>
      </c>
      <c r="R248" s="213">
        <f>Input!$E$199</f>
        <v>0.09</v>
      </c>
      <c r="S248" s="213">
        <f>Input!$E$199</f>
        <v>0.09</v>
      </c>
      <c r="T248" s="213">
        <f>Input!$E$199</f>
        <v>0.09</v>
      </c>
      <c r="U248" s="213">
        <f>Input!$E$199</f>
        <v>0.09</v>
      </c>
      <c r="V248" s="213">
        <f>Input!$E$199</f>
        <v>0.09</v>
      </c>
      <c r="W248" s="213">
        <f>Input!$E$199</f>
        <v>0.09</v>
      </c>
      <c r="X248" s="213">
        <f>Input!$E$199</f>
        <v>0.09</v>
      </c>
      <c r="Y248" s="213">
        <f>Input!$E$199</f>
        <v>0.09</v>
      </c>
      <c r="Z248" s="213">
        <f>Input!$E$199</f>
        <v>0.09</v>
      </c>
      <c r="AA248" s="213">
        <f>Input!$E$199</f>
        <v>0.09</v>
      </c>
      <c r="AB248" s="213">
        <f>Input!$E$199</f>
        <v>0.09</v>
      </c>
      <c r="AC248" s="213">
        <f>Input!$E$199</f>
        <v>0.09</v>
      </c>
      <c r="AD248" s="213">
        <f>Input!$E$199</f>
        <v>0.09</v>
      </c>
      <c r="AE248" s="213">
        <f>Input!$E$199</f>
        <v>0.09</v>
      </c>
      <c r="AF248" s="213">
        <f>Input!$E$199</f>
        <v>0.09</v>
      </c>
      <c r="AG248" s="213">
        <f>Input!$E$199</f>
        <v>0.09</v>
      </c>
      <c r="AH248" s="213">
        <f>Input!$E$199</f>
        <v>0.09</v>
      </c>
      <c r="AI248" s="213">
        <f>Input!$E$199</f>
        <v>0.09</v>
      </c>
    </row>
    <row r="249" spans="1:35" hidden="1" x14ac:dyDescent="0.3">
      <c r="A249" s="5"/>
      <c r="B249" s="5" t="s">
        <v>134</v>
      </c>
      <c r="C249" s="198" t="s">
        <v>11</v>
      </c>
      <c r="D249" s="205"/>
      <c r="E249" s="175">
        <f>IF(Input!$L$2,AVERAGE(E243,E246)*E248*E9,0)</f>
        <v>0</v>
      </c>
      <c r="F249" s="175">
        <f>IF(Input!$L$2,AVERAGE(F243,F246)*F248*F9,0)</f>
        <v>0</v>
      </c>
      <c r="G249" s="175">
        <f>IF(Input!$L$2,AVERAGE(G243,G246)*G248*G9,0)</f>
        <v>0</v>
      </c>
      <c r="H249" s="175">
        <f>IF(Input!$L$2,AVERAGE(H243,H246)*H248*H9,0)</f>
        <v>0</v>
      </c>
      <c r="I249" s="175">
        <f>IF(Input!$L$2,AVERAGE(I243,I246)*I248*I9,0)</f>
        <v>0</v>
      </c>
      <c r="J249" s="175">
        <f>IF(Input!$L$2,AVERAGE(J243,J246)*J248*J9,0)</f>
        <v>0</v>
      </c>
      <c r="K249" s="175">
        <f>IF(Input!$L$2,AVERAGE(K243,K246)*K248*K9,0)</f>
        <v>0</v>
      </c>
      <c r="L249" s="175">
        <f>IF(Input!$L$2,AVERAGE(L243,L246)*L248*L9,0)</f>
        <v>0</v>
      </c>
      <c r="M249" s="175">
        <f>IF(Input!$L$2,AVERAGE(M243,M246)*M248*M9,0)</f>
        <v>0</v>
      </c>
      <c r="N249" s="175">
        <f>IF(Input!$L$2,AVERAGE(N243,N246)*N248*N9,0)</f>
        <v>0</v>
      </c>
      <c r="O249" s="175">
        <f>IF(Input!$L$2,AVERAGE(O243,O246)*O248*O9,0)</f>
        <v>0</v>
      </c>
      <c r="P249" s="175">
        <f>IF(Input!$L$2,AVERAGE(P243,P246)*P248*P9,0)</f>
        <v>0</v>
      </c>
      <c r="Q249" s="175">
        <f>IF(Input!$L$2,AVERAGE(Q243,Q246)*Q248*Q9,0)</f>
        <v>0</v>
      </c>
      <c r="R249" s="175">
        <f>IF(Input!$L$2,AVERAGE(R243,R246)*R248*R9,0)</f>
        <v>0</v>
      </c>
      <c r="S249" s="175">
        <f>IF(Input!$L$2,AVERAGE(S243,S246)*S248*S9,0)</f>
        <v>0</v>
      </c>
      <c r="T249" s="175">
        <f>IF(Input!$L$2,AVERAGE(T243,T246)*T248*T9,0)</f>
        <v>0</v>
      </c>
      <c r="U249" s="175">
        <f>IF(Input!$L$2,AVERAGE(U243,U246)*U248*U9,0)</f>
        <v>0</v>
      </c>
      <c r="V249" s="175">
        <f>IF(Input!$L$2,AVERAGE(V243,V246)*V248*V9,0)</f>
        <v>0</v>
      </c>
      <c r="W249" s="175">
        <f>IF(Input!$L$2,AVERAGE(W243,W246)*W248*W9,0)</f>
        <v>0</v>
      </c>
      <c r="X249" s="175">
        <f>IF(Input!$L$2,AVERAGE(X243,X246)*X248*X9,0)</f>
        <v>0</v>
      </c>
      <c r="Y249" s="175">
        <f>IF(Input!$L$2,AVERAGE(Y243,Y246)*Y248*Y9,0)</f>
        <v>0</v>
      </c>
      <c r="Z249" s="175">
        <f>IF(Input!$L$2,AVERAGE(Z243,Z246)*Z248*Z9,0)</f>
        <v>0</v>
      </c>
      <c r="AA249" s="175">
        <f>IF(Input!$L$2,AVERAGE(AA243,AA246)*AA248*AA9,0)</f>
        <v>0</v>
      </c>
      <c r="AB249" s="175">
        <f>IF(Input!$L$2,AVERAGE(AB243,AB246)*AB248*AB9,0)</f>
        <v>0</v>
      </c>
      <c r="AC249" s="175">
        <f>IF(Input!$L$2,AVERAGE(AC243,AC246)*AC248*AC9,0)</f>
        <v>0</v>
      </c>
      <c r="AD249" s="175">
        <f>IF(Input!$L$2,AVERAGE(AD243,AD246)*AD248*AD9,0)</f>
        <v>0</v>
      </c>
      <c r="AE249" s="175">
        <f>IF(Input!$L$2,AVERAGE(AE243,AE246)*AE248*AE9,0)</f>
        <v>0</v>
      </c>
      <c r="AF249" s="175">
        <f>IF(Input!$L$2,AVERAGE(AF243,AF246)*AF248*AF9,0)</f>
        <v>0</v>
      </c>
      <c r="AG249" s="175">
        <f>IF(Input!$L$2,AVERAGE(AG243,AG246)*AG248*AG9,0)</f>
        <v>0</v>
      </c>
      <c r="AH249" s="175">
        <f>IF(Input!$L$2,AVERAGE(AH243,AH246)*AH248*AH9,0)</f>
        <v>0</v>
      </c>
      <c r="AI249" s="175">
        <f>IF(Input!$L$2,AVERAGE(AI243,AI246)*AI248*AI9,0)</f>
        <v>0</v>
      </c>
    </row>
    <row r="250" spans="1:35" hidden="1" x14ac:dyDescent="0.3">
      <c r="A250" s="8"/>
    </row>
    <row r="251" spans="1:35" hidden="1" x14ac:dyDescent="0.3">
      <c r="A251" s="8"/>
      <c r="B251" s="8" t="s">
        <v>39</v>
      </c>
      <c r="C251" s="198" t="s">
        <v>11</v>
      </c>
      <c r="E251" s="8">
        <f>IF(E4,Input!$E$201,0)</f>
        <v>0</v>
      </c>
      <c r="F251" s="8">
        <f>IF(F4,Input!$E$201,0)</f>
        <v>0</v>
      </c>
      <c r="G251" s="8">
        <f>IF(G4,Input!$E$201,0)</f>
        <v>0</v>
      </c>
      <c r="H251" s="8">
        <f>IF(H4,Input!$E$201,0)</f>
        <v>0</v>
      </c>
      <c r="I251" s="8">
        <f>IF(I4,Input!$E$201,0)</f>
        <v>0</v>
      </c>
      <c r="J251" s="8">
        <f>IF(J4,Input!$E$201,0)</f>
        <v>0</v>
      </c>
      <c r="K251" s="8">
        <f>IF(K4,Input!$E$201,0)</f>
        <v>0</v>
      </c>
      <c r="L251" s="8">
        <f>IF(L4,Input!$E$201,0)</f>
        <v>0</v>
      </c>
      <c r="M251" s="8">
        <f>IF(M4,Input!$E$201,0)</f>
        <v>0</v>
      </c>
      <c r="N251" s="8">
        <f>IF(N4,Input!$E$201,0)</f>
        <v>0</v>
      </c>
      <c r="O251" s="8">
        <f>IF(O4,Input!$E$201,0)</f>
        <v>0</v>
      </c>
      <c r="P251" s="8">
        <f>IF(P4,Input!$E$201,0)</f>
        <v>0</v>
      </c>
      <c r="Q251" s="8">
        <f>IF(Q4,Input!$E$201,0)</f>
        <v>0</v>
      </c>
      <c r="R251" s="8">
        <f>IF(R4,Input!$E$201,0)</f>
        <v>0</v>
      </c>
      <c r="S251" s="8">
        <f>IF(S4,Input!$E$201,0)</f>
        <v>0</v>
      </c>
      <c r="T251" s="8">
        <f>IF(T4,Input!$E$201,0)</f>
        <v>0</v>
      </c>
      <c r="U251" s="8">
        <f>IF(U4,Input!$E$201,0)</f>
        <v>0</v>
      </c>
      <c r="V251" s="8">
        <f>IF(V4,Input!$E$201,0)</f>
        <v>0</v>
      </c>
      <c r="W251" s="8">
        <f>IF(W4,Input!$E$201,0)</f>
        <v>0</v>
      </c>
      <c r="X251" s="8">
        <f>IF(X4,Input!$E$201,0)</f>
        <v>0</v>
      </c>
      <c r="Y251" s="8">
        <f>IF(Y4,Input!$E$201,0)</f>
        <v>0</v>
      </c>
      <c r="Z251" s="8">
        <f>IF(Z4,Input!$E$201,0)</f>
        <v>0</v>
      </c>
      <c r="AA251" s="8">
        <f>IF(AA4,Input!$E$201,0)</f>
        <v>0</v>
      </c>
      <c r="AB251" s="8">
        <f>IF(AB4,Input!$E$201,0)</f>
        <v>0</v>
      </c>
      <c r="AC251" s="8">
        <f>IF(AC4,Input!$E$201,0)</f>
        <v>0</v>
      </c>
      <c r="AD251" s="8">
        <f>IF(AD4,Input!$E$201,0)</f>
        <v>0</v>
      </c>
      <c r="AE251" s="8">
        <f>IF(AE4,Input!$E$201,0)</f>
        <v>0</v>
      </c>
      <c r="AF251" s="8">
        <f>IF(AF4,Input!$E$201,0)</f>
        <v>0</v>
      </c>
      <c r="AG251" s="8">
        <f>IF(AG4,Input!$E$201,0)</f>
        <v>0</v>
      </c>
      <c r="AH251" s="8">
        <f>IF(AH4,Input!$E$201,0)</f>
        <v>0</v>
      </c>
      <c r="AI251" s="8">
        <f>IF(AI4,Input!$E$201,0)</f>
        <v>0</v>
      </c>
    </row>
    <row r="252" spans="1:35" x14ac:dyDescent="0.3">
      <c r="A252" s="8"/>
    </row>
    <row r="253" spans="1:35" x14ac:dyDescent="0.3">
      <c r="A253" s="210" t="s">
        <v>133</v>
      </c>
      <c r="B253" s="178"/>
      <c r="C253" s="195"/>
      <c r="D253" s="211"/>
      <c r="E253" s="212"/>
      <c r="F253" s="212"/>
      <c r="G253" s="212"/>
      <c r="H253" s="212"/>
      <c r="I253" s="212"/>
      <c r="J253" s="212"/>
      <c r="K253" s="212"/>
      <c r="L253" s="212"/>
      <c r="M253" s="212"/>
      <c r="N253" s="212"/>
      <c r="O253" s="212"/>
      <c r="P253" s="212"/>
      <c r="Q253" s="212"/>
      <c r="R253" s="212"/>
      <c r="S253" s="212"/>
      <c r="T253" s="212"/>
      <c r="U253" s="211"/>
      <c r="V253" s="211"/>
      <c r="W253" s="211"/>
      <c r="X253" s="211"/>
      <c r="Y253" s="211"/>
      <c r="Z253" s="211"/>
      <c r="AA253" s="211"/>
      <c r="AB253" s="211"/>
      <c r="AC253" s="211"/>
      <c r="AD253" s="211"/>
      <c r="AE253" s="211"/>
      <c r="AF253" s="211"/>
      <c r="AG253" s="211"/>
      <c r="AH253" s="211"/>
      <c r="AI253" s="211"/>
    </row>
    <row r="254" spans="1:35" x14ac:dyDescent="0.3">
      <c r="A254" s="8"/>
      <c r="B254" s="8" t="s">
        <v>132</v>
      </c>
      <c r="C254" s="202" t="s">
        <v>28</v>
      </c>
      <c r="E254" s="236">
        <f>IF(E4=1,IF(E5=1,1,D254/(1+Input!$E$228)),0)</f>
        <v>0</v>
      </c>
      <c r="F254" s="236">
        <f>IF(F4=1,IF(F5=1,1,E254/(1+Input!$E$228)),0)</f>
        <v>1</v>
      </c>
      <c r="G254" s="236">
        <f>IF(G4=1,IF(G5=1,1,F254/(1+Input!$E$228)),0)</f>
        <v>0.93044028434255099</v>
      </c>
      <c r="H254" s="236">
        <f>IF(H4=1,IF(H5=1,1,G254/(1+Input!$E$228)),0)</f>
        <v>0.86571912272744711</v>
      </c>
      <c r="I254" s="236">
        <f>IF(I4=1,IF(I5=1,1,H254/(1+Input!$E$228)),0)</f>
        <v>0.80549994671130964</v>
      </c>
      <c r="J254" s="236">
        <f>IF(J4=1,IF(J5=1,1,I254/(1+Input!$E$228)),0)</f>
        <v>0.74946959945598057</v>
      </c>
      <c r="K254" s="236">
        <f>IF(K4=1,IF(K5=1,1,J254/(1+Input!$E$228)),0)</f>
        <v>0.69733670722392038</v>
      </c>
      <c r="L254" s="236">
        <f>IF(L4=1,IF(L5=1,1,K254/(1+Input!$E$228)),0)</f>
        <v>0.64883016415192263</v>
      </c>
      <c r="M254" s="236">
        <f>IF(M4=1,IF(M5=1,1,L254/(1+Input!$E$228)),0)</f>
        <v>0.60369772242353892</v>
      </c>
      <c r="N254" s="236">
        <f>IF(N4=1,IF(N5=1,1,M254/(1+Input!$E$228)),0)</f>
        <v>0.56170468050870792</v>
      </c>
      <c r="O254" s="236">
        <f>IF(O4=1,IF(O5=1,1,N254/(1+Input!$E$228)),0)</f>
        <v>0.52263266264906394</v>
      </c>
      <c r="P254" s="236">
        <f>IF(P4=1,IF(P5=1,1,O254/(1+Input!$E$228)),0)</f>
        <v>0.48627848324189954</v>
      </c>
      <c r="Q254" s="236">
        <f>IF(Q4=1,IF(Q5=1,1,P254/(1+Input!$E$228)),0)</f>
        <v>0.45245309021725738</v>
      </c>
      <c r="R254" s="236">
        <f>IF(R4=1,IF(R5=1,1,Q254/(1+Input!$E$228)),0)</f>
        <v>0.42098058191341081</v>
      </c>
      <c r="S254" s="236">
        <f>IF(S4=1,IF(S5=1,1,R254/(1+Input!$E$228)),0)</f>
        <v>0.39169729233820649</v>
      </c>
      <c r="T254" s="236">
        <f>IF(T4=1,IF(T5=1,1,S254/(1+Input!$E$228)),0)</f>
        <v>0.36445094005936818</v>
      </c>
      <c r="U254" s="236">
        <f>IF(U4=1,IF(U5=1,1,T254/(1+Input!$E$228)),0)</f>
        <v>0.33909983629774854</v>
      </c>
      <c r="V254" s="236">
        <f>IF(V4=1,IF(V5=1,1,U254/(1+Input!$E$228)),0)</f>
        <v>0.31551214810538963</v>
      </c>
      <c r="W254" s="236">
        <f>IF(W4=1,IF(W5=1,1,V254/(1+Input!$E$228)),0)</f>
        <v>0.29356521279670778</v>
      </c>
      <c r="X254" s="236">
        <f>IF(X4=1,IF(X5=1,1,W254/(1+Input!$E$228)),0)</f>
        <v>0.27314490006765024</v>
      </c>
      <c r="Y254" s="236">
        <f>IF(Y4=1,IF(Y5=1,1,X254/(1+Input!$E$228)),0)</f>
        <v>0.25414501848566218</v>
      </c>
      <c r="Z254" s="236">
        <f>IF(Z4=1,IF(Z5=1,1,Y254/(1+Input!$E$228)),0)</f>
        <v>0.2364667632640424</v>
      </c>
      <c r="AA254" s="236">
        <f>IF(AA4=1,IF(AA5=1,1,Z254/(1+Input!$E$228)),0)</f>
        <v>0.22001820244895828</v>
      </c>
      <c r="AB254" s="236">
        <f>IF(AB4=1,IF(AB5=1,1,AA254/(1+Input!$E$228)),0)</f>
        <v>0.20471379884714569</v>
      </c>
      <c r="AC254" s="236">
        <f>IF(AC4=1,IF(AC5=1,1,AB254/(1+Input!$E$228)),0)</f>
        <v>0.19047396520818202</v>
      </c>
      <c r="AD254" s="236">
        <f>IF(AD4=1,IF(AD5=1,1,AC254/(1+Input!$E$228)),0)</f>
        <v>0.17722465034815404</v>
      </c>
      <c r="AE254" s="236">
        <f>IF(AE4=1,IF(AE5=1,1,AD254/(1+Input!$E$228)),0)</f>
        <v>0.16489695406244562</v>
      </c>
      <c r="AF254" s="236">
        <f>IF(AF4=1,IF(AF5=1,1,AE254/(1+Input!$E$228)),0)</f>
        <v>0</v>
      </c>
      <c r="AG254" s="236">
        <f>IF(AG4=1,IF(AG5=1,1,AF254/(1+Input!$E$228)),0)</f>
        <v>0</v>
      </c>
      <c r="AH254" s="236">
        <f>IF(AH4=1,IF(AH5=1,1,AG254/(1+Input!$E$228)),0)</f>
        <v>0</v>
      </c>
      <c r="AI254" s="236">
        <f>IF(AI4=1,IF(AI5=1,1,AH254/(1+Input!$E$228)),0)</f>
        <v>0</v>
      </c>
    </row>
    <row r="255" spans="1:35" x14ac:dyDescent="0.3">
      <c r="A255" s="8"/>
      <c r="E255" s="236"/>
      <c r="F255" s="236"/>
      <c r="G255" s="236"/>
      <c r="H255" s="236"/>
      <c r="I255" s="236"/>
      <c r="J255" s="236"/>
      <c r="K255" s="236"/>
      <c r="L255" s="236"/>
      <c r="M255" s="236"/>
      <c r="N255" s="236"/>
      <c r="O255" s="236"/>
      <c r="P255" s="236"/>
      <c r="Q255" s="236"/>
      <c r="R255" s="236"/>
      <c r="S255" s="236"/>
      <c r="T255" s="236"/>
      <c r="U255" s="236"/>
      <c r="V255" s="236"/>
      <c r="W255" s="236"/>
      <c r="X255" s="236"/>
      <c r="Y255" s="236"/>
      <c r="Z255" s="236"/>
      <c r="AA255" s="236"/>
      <c r="AB255" s="236"/>
      <c r="AC255" s="236"/>
      <c r="AD255" s="236"/>
      <c r="AE255" s="236"/>
      <c r="AF255" s="236"/>
      <c r="AG255" s="236"/>
      <c r="AH255" s="236"/>
      <c r="AI255" s="236"/>
    </row>
    <row r="256" spans="1:35" x14ac:dyDescent="0.3">
      <c r="A256" s="680"/>
      <c r="B256" s="8" t="s">
        <v>479</v>
      </c>
      <c r="C256" s="202" t="s">
        <v>11</v>
      </c>
      <c r="D256" s="81">
        <f t="shared" ref="D256:D265" si="134">SUM(E256:AI256)</f>
        <v>566.62266115347666</v>
      </c>
      <c r="E256" s="680">
        <f t="shared" ref="E256:AI256" si="135">E165</f>
        <v>0</v>
      </c>
      <c r="F256" s="680">
        <f t="shared" si="135"/>
        <v>5.5725712981917805</v>
      </c>
      <c r="G256" s="680">
        <f t="shared" si="135"/>
        <v>11.762488578800001</v>
      </c>
      <c r="H256" s="680">
        <f t="shared" si="135"/>
        <v>12.380019229186999</v>
      </c>
      <c r="I256" s="680">
        <f t="shared" si="135"/>
        <v>13.029970238719315</v>
      </c>
      <c r="J256" s="680">
        <f t="shared" si="135"/>
        <v>13.714043676252082</v>
      </c>
      <c r="K256" s="680">
        <f t="shared" si="135"/>
        <v>14.434030969255314</v>
      </c>
      <c r="L256" s="680">
        <f t="shared" si="135"/>
        <v>15.19181759514122</v>
      </c>
      <c r="M256" s="680">
        <f t="shared" si="135"/>
        <v>15.989388018886132</v>
      </c>
      <c r="N256" s="680">
        <f t="shared" si="135"/>
        <v>16.828830889877654</v>
      </c>
      <c r="O256" s="680">
        <f t="shared" si="135"/>
        <v>17.712344511596232</v>
      </c>
      <c r="P256" s="680">
        <f t="shared" si="135"/>
        <v>18.642242598455031</v>
      </c>
      <c r="Q256" s="680">
        <f t="shared" si="135"/>
        <v>19.620960334873921</v>
      </c>
      <c r="R256" s="680">
        <f t="shared" si="135"/>
        <v>20.6510607524548</v>
      </c>
      <c r="S256" s="680">
        <f t="shared" si="135"/>
        <v>21.735241441958678</v>
      </c>
      <c r="T256" s="680">
        <f t="shared" si="135"/>
        <v>22.87634161766151</v>
      </c>
      <c r="U256" s="680">
        <f t="shared" si="135"/>
        <v>24.077349552588739</v>
      </c>
      <c r="V256" s="680">
        <f t="shared" si="135"/>
        <v>25.341410404099648</v>
      </c>
      <c r="W256" s="680">
        <f t="shared" si="135"/>
        <v>26.671834450314876</v>
      </c>
      <c r="X256" s="680">
        <f t="shared" si="135"/>
        <v>28.072105758956408</v>
      </c>
      <c r="Y256" s="680">
        <f t="shared" si="135"/>
        <v>29.54589131130162</v>
      </c>
      <c r="Z256" s="680">
        <f t="shared" si="135"/>
        <v>31.097050605144954</v>
      </c>
      <c r="AA256" s="680">
        <f t="shared" si="135"/>
        <v>32.729645761915066</v>
      </c>
      <c r="AB256" s="680">
        <f t="shared" si="135"/>
        <v>34.447952164415604</v>
      </c>
      <c r="AC256" s="680">
        <f t="shared" si="135"/>
        <v>36.256469653047425</v>
      </c>
      <c r="AD256" s="680">
        <f t="shared" si="135"/>
        <v>38.159934309832416</v>
      </c>
      <c r="AE256" s="680">
        <f t="shared" si="135"/>
        <v>20.081665430549307</v>
      </c>
      <c r="AF256" s="680">
        <f t="shared" si="135"/>
        <v>0</v>
      </c>
      <c r="AG256" s="680">
        <f t="shared" si="135"/>
        <v>0</v>
      </c>
      <c r="AH256" s="680">
        <f t="shared" si="135"/>
        <v>0</v>
      </c>
      <c r="AI256" s="680">
        <f t="shared" si="135"/>
        <v>0</v>
      </c>
    </row>
    <row r="257" spans="1:35" x14ac:dyDescent="0.3">
      <c r="A257" s="189"/>
      <c r="B257" s="8" t="s">
        <v>480</v>
      </c>
      <c r="C257" s="202" t="s">
        <v>11</v>
      </c>
      <c r="D257" s="81">
        <f t="shared" si="134"/>
        <v>97.940864663083261</v>
      </c>
      <c r="E257" s="681">
        <f>E173</f>
        <v>0</v>
      </c>
      <c r="F257" s="681">
        <f t="shared" ref="F257:AI257" si="136">F173</f>
        <v>1.1877748137321253</v>
      </c>
      <c r="G257" s="681">
        <f t="shared" si="136"/>
        <v>2.4718801227284981</v>
      </c>
      <c r="H257" s="681">
        <f t="shared" si="136"/>
        <v>2.5650700033553626</v>
      </c>
      <c r="I257" s="681">
        <f t="shared" si="136"/>
        <v>2.6617731424818594</v>
      </c>
      <c r="J257" s="681">
        <f t="shared" si="136"/>
        <v>2.7621219899534259</v>
      </c>
      <c r="K257" s="681">
        <f t="shared" si="136"/>
        <v>2.8662539889746701</v>
      </c>
      <c r="L257" s="681">
        <f t="shared" si="136"/>
        <v>2.9743117643590153</v>
      </c>
      <c r="M257" s="681">
        <f t="shared" si="136"/>
        <v>3.0864433178753505</v>
      </c>
      <c r="N257" s="681">
        <f t="shared" si="136"/>
        <v>3.2028022309592519</v>
      </c>
      <c r="O257" s="681">
        <f t="shared" si="136"/>
        <v>3.3235478750664158</v>
      </c>
      <c r="P257" s="681">
        <f t="shared" si="136"/>
        <v>3.4488456299564199</v>
      </c>
      <c r="Q257" s="681">
        <f t="shared" si="136"/>
        <v>3.5788671102057772</v>
      </c>
      <c r="R257" s="681">
        <f t="shared" si="136"/>
        <v>3.7137904002605349</v>
      </c>
      <c r="S257" s="681">
        <f t="shared" si="136"/>
        <v>3.8538002983503579</v>
      </c>
      <c r="T257" s="681">
        <f t="shared" si="136"/>
        <v>3.9990885695981659</v>
      </c>
      <c r="U257" s="681">
        <f t="shared" si="136"/>
        <v>4.1498542086720178</v>
      </c>
      <c r="V257" s="681">
        <f t="shared" si="136"/>
        <v>4.306303712338952</v>
      </c>
      <c r="W257" s="681">
        <f t="shared" si="136"/>
        <v>4.4686513622941302</v>
      </c>
      <c r="X257" s="681">
        <f t="shared" si="136"/>
        <v>4.6371195186526206</v>
      </c>
      <c r="Y257" s="681">
        <f t="shared" si="136"/>
        <v>4.8119389245058235</v>
      </c>
      <c r="Z257" s="681">
        <f t="shared" si="136"/>
        <v>4.9933490219596948</v>
      </c>
      <c r="AA257" s="681">
        <f t="shared" si="136"/>
        <v>5.1815982800875746</v>
      </c>
      <c r="AB257" s="681">
        <f t="shared" si="136"/>
        <v>5.3769445352468779</v>
      </c>
      <c r="AC257" s="681">
        <f t="shared" si="136"/>
        <v>5.5796553442256842</v>
      </c>
      <c r="AD257" s="681">
        <f t="shared" si="136"/>
        <v>5.7900083507029922</v>
      </c>
      <c r="AE257" s="681">
        <f t="shared" si="136"/>
        <v>2.9490701465396696</v>
      </c>
      <c r="AF257" s="681">
        <f t="shared" si="136"/>
        <v>0</v>
      </c>
      <c r="AG257" s="681">
        <f t="shared" si="136"/>
        <v>0</v>
      </c>
      <c r="AH257" s="681">
        <f t="shared" si="136"/>
        <v>0</v>
      </c>
      <c r="AI257" s="681">
        <f t="shared" si="136"/>
        <v>0</v>
      </c>
    </row>
    <row r="258" spans="1:35" x14ac:dyDescent="0.3">
      <c r="A258" s="8"/>
      <c r="B258" s="8" t="s">
        <v>4</v>
      </c>
      <c r="C258" s="202" t="s">
        <v>11</v>
      </c>
      <c r="D258" s="81">
        <f t="shared" ca="1" si="134"/>
        <v>1102.2594171386495</v>
      </c>
      <c r="E258" s="8">
        <f t="shared" ref="E258:AI258" si="137">E116</f>
        <v>0</v>
      </c>
      <c r="F258" s="8">
        <f t="shared" ref="F258:AE258" ca="1" si="138">F116</f>
        <v>28.934333529846327</v>
      </c>
      <c r="G258" s="8">
        <f t="shared" ca="1" si="138"/>
        <v>58.027646914252252</v>
      </c>
      <c r="H258" s="8">
        <f t="shared" ca="1" si="138"/>
        <v>58.027646914252252</v>
      </c>
      <c r="I258" s="8">
        <f t="shared" ca="1" si="138"/>
        <v>58.027646914252252</v>
      </c>
      <c r="J258" s="8">
        <f t="shared" ca="1" si="138"/>
        <v>58.027646914252252</v>
      </c>
      <c r="K258" s="8">
        <f t="shared" ca="1" si="138"/>
        <v>58.027646914252252</v>
      </c>
      <c r="L258" s="8">
        <f t="shared" ca="1" si="138"/>
        <v>58.027646914252252</v>
      </c>
      <c r="M258" s="8">
        <f t="shared" ca="1" si="138"/>
        <v>58.027646914252252</v>
      </c>
      <c r="N258" s="8">
        <f t="shared" ca="1" si="138"/>
        <v>58.027646914252252</v>
      </c>
      <c r="O258" s="8">
        <f t="shared" ca="1" si="138"/>
        <v>58.027646914252252</v>
      </c>
      <c r="P258" s="8">
        <f t="shared" ca="1" si="138"/>
        <v>58.027646914252252</v>
      </c>
      <c r="Q258" s="8">
        <f t="shared" ca="1" si="138"/>
        <v>58.027646914252252</v>
      </c>
      <c r="R258" s="8">
        <f t="shared" ca="1" si="138"/>
        <v>58.027646914252252</v>
      </c>
      <c r="S258" s="8">
        <f t="shared" ca="1" si="138"/>
        <v>58.027646914252252</v>
      </c>
      <c r="T258" s="8">
        <f t="shared" ca="1" si="138"/>
        <v>58.027646914252252</v>
      </c>
      <c r="U258" s="8">
        <f t="shared" ca="1" si="138"/>
        <v>24.851240648502035</v>
      </c>
      <c r="V258" s="8">
        <f t="shared" ca="1" si="138"/>
        <v>24.851240648502035</v>
      </c>
      <c r="W258" s="8">
        <f t="shared" ca="1" si="138"/>
        <v>24.851240648502035</v>
      </c>
      <c r="X258" s="8">
        <f t="shared" ca="1" si="138"/>
        <v>24.851240648502035</v>
      </c>
      <c r="Y258" s="8">
        <f t="shared" ca="1" si="138"/>
        <v>24.851240648502035</v>
      </c>
      <c r="Z258" s="8">
        <f t="shared" ca="1" si="138"/>
        <v>24.851240648502035</v>
      </c>
      <c r="AA258" s="8">
        <f t="shared" ca="1" si="138"/>
        <v>24.851240648502035</v>
      </c>
      <c r="AB258" s="8">
        <f t="shared" ca="1" si="138"/>
        <v>24.851240648502035</v>
      </c>
      <c r="AC258" s="8">
        <f t="shared" ca="1" si="138"/>
        <v>24.851240648502035</v>
      </c>
      <c r="AD258" s="8">
        <f t="shared" ca="1" si="138"/>
        <v>24.851240648502035</v>
      </c>
      <c r="AE258" s="8">
        <f t="shared" ca="1" si="138"/>
        <v>12.425620324251017</v>
      </c>
      <c r="AF258" s="8">
        <f t="shared" si="137"/>
        <v>0</v>
      </c>
      <c r="AG258" s="8">
        <f t="shared" si="137"/>
        <v>0</v>
      </c>
      <c r="AH258" s="8">
        <f t="shared" si="137"/>
        <v>0</v>
      </c>
      <c r="AI258" s="8">
        <f t="shared" si="137"/>
        <v>0</v>
      </c>
    </row>
    <row r="259" spans="1:35" x14ac:dyDescent="0.3">
      <c r="A259" s="8"/>
      <c r="B259" s="8" t="s">
        <v>131</v>
      </c>
      <c r="C259" s="202" t="s">
        <v>11</v>
      </c>
      <c r="D259" s="81">
        <f t="shared" ca="1" si="134"/>
        <v>384.85524833718586</v>
      </c>
      <c r="E259" s="8">
        <f t="shared" ref="E259:AI259" ca="1" si="139">E81+E91</f>
        <v>0</v>
      </c>
      <c r="F259" s="8">
        <f t="shared" ca="1" si="139"/>
        <v>18.672217381508435</v>
      </c>
      <c r="G259" s="8">
        <f t="shared" ca="1" si="139"/>
        <v>48.708431671063991</v>
      </c>
      <c r="H259" s="8">
        <f t="shared" ca="1" si="139"/>
        <v>45.229257980273701</v>
      </c>
      <c r="I259" s="8">
        <f t="shared" ca="1" si="139"/>
        <v>41.750084289483418</v>
      </c>
      <c r="J259" s="8">
        <f t="shared" ca="1" si="139"/>
        <v>38.270910598693128</v>
      </c>
      <c r="K259" s="8">
        <f t="shared" ca="1" si="139"/>
        <v>34.791736907902845</v>
      </c>
      <c r="L259" s="8">
        <f t="shared" ca="1" si="139"/>
        <v>31.312563217112558</v>
      </c>
      <c r="M259" s="8">
        <f t="shared" ca="1" si="139"/>
        <v>27.833389526322271</v>
      </c>
      <c r="N259" s="8">
        <f t="shared" ca="1" si="139"/>
        <v>24.354215835531988</v>
      </c>
      <c r="O259" s="8">
        <f t="shared" ca="1" si="139"/>
        <v>20.875042144741702</v>
      </c>
      <c r="P259" s="8">
        <f t="shared" ca="1" si="139"/>
        <v>17.395868453951422</v>
      </c>
      <c r="Q259" s="8">
        <f t="shared" ca="1" si="139"/>
        <v>13.916694763161136</v>
      </c>
      <c r="R259" s="8">
        <f t="shared" ca="1" si="139"/>
        <v>10.437521072370851</v>
      </c>
      <c r="S259" s="8">
        <f t="shared" ca="1" si="139"/>
        <v>6.9583473815805652</v>
      </c>
      <c r="T259" s="8">
        <f t="shared" ca="1" si="139"/>
        <v>3.4791736907902795</v>
      </c>
      <c r="U259" s="8">
        <f t="shared" ca="1" si="139"/>
        <v>0.86979342269756865</v>
      </c>
      <c r="V259" s="8">
        <f t="shared" ca="1" si="139"/>
        <v>0</v>
      </c>
      <c r="W259" s="8">
        <f t="shared" ca="1" si="139"/>
        <v>0</v>
      </c>
      <c r="X259" s="8">
        <f t="shared" ca="1" si="139"/>
        <v>0</v>
      </c>
      <c r="Y259" s="8">
        <f t="shared" ca="1" si="139"/>
        <v>0</v>
      </c>
      <c r="Z259" s="8">
        <f t="shared" ca="1" si="139"/>
        <v>0</v>
      </c>
      <c r="AA259" s="8">
        <f t="shared" ca="1" si="139"/>
        <v>0</v>
      </c>
      <c r="AB259" s="8">
        <f t="shared" ca="1" si="139"/>
        <v>0</v>
      </c>
      <c r="AC259" s="8">
        <f t="shared" ca="1" si="139"/>
        <v>0</v>
      </c>
      <c r="AD259" s="8">
        <f t="shared" ca="1" si="139"/>
        <v>0</v>
      </c>
      <c r="AE259" s="8">
        <f t="shared" ca="1" si="139"/>
        <v>0</v>
      </c>
      <c r="AF259" s="8">
        <f t="shared" ca="1" si="139"/>
        <v>0</v>
      </c>
      <c r="AG259" s="8">
        <f t="shared" ca="1" si="139"/>
        <v>0</v>
      </c>
      <c r="AH259" s="8">
        <f t="shared" ca="1" si="139"/>
        <v>0</v>
      </c>
      <c r="AI259" s="8">
        <f t="shared" ca="1" si="139"/>
        <v>0</v>
      </c>
    </row>
    <row r="260" spans="1:35" x14ac:dyDescent="0.3">
      <c r="A260" s="1083"/>
      <c r="B260" s="8" t="s">
        <v>130</v>
      </c>
      <c r="C260" s="202" t="s">
        <v>11</v>
      </c>
      <c r="D260" s="81">
        <f t="shared" ca="1" si="134"/>
        <v>55.026408805603467</v>
      </c>
      <c r="E260" s="8">
        <f>E186</f>
        <v>0</v>
      </c>
      <c r="F260" s="8">
        <f t="shared" ref="F260:AI260" ca="1" si="140">F186</f>
        <v>1.1043699723928568</v>
      </c>
      <c r="G260" s="8">
        <f t="shared" ca="1" si="140"/>
        <v>2.1981087959838259</v>
      </c>
      <c r="H260" s="8">
        <f t="shared" ca="1" si="140"/>
        <v>2.1885165200971599</v>
      </c>
      <c r="I260" s="8">
        <f t="shared" ca="1" si="140"/>
        <v>2.1799461023477655</v>
      </c>
      <c r="J260" s="8">
        <f t="shared" ca="1" si="140"/>
        <v>2.1724307287484645</v>
      </c>
      <c r="K260" s="8">
        <f t="shared" ca="1" si="140"/>
        <v>2.1660055308165065</v>
      </c>
      <c r="L260" s="8">
        <f t="shared" ca="1" si="140"/>
        <v>2.1607076831916685</v>
      </c>
      <c r="M260" s="8">
        <f t="shared" ca="1" si="140"/>
        <v>2.1565765063611546</v>
      </c>
      <c r="N260" s="8">
        <f t="shared" ca="1" si="140"/>
        <v>2.1536535747568122</v>
      </c>
      <c r="O260" s="8">
        <f t="shared" ca="1" si="140"/>
        <v>2.1519828305040556</v>
      </c>
      <c r="P260" s="8">
        <f t="shared" ca="1" si="140"/>
        <v>2.1516107031164693</v>
      </c>
      <c r="Q260" s="8">
        <f t="shared" ca="1" si="140"/>
        <v>2.1525862354454222</v>
      </c>
      <c r="R260" s="8">
        <f t="shared" ca="1" si="140"/>
        <v>2.1549612162101743</v>
      </c>
      <c r="S260" s="8">
        <f t="shared" ca="1" si="140"/>
        <v>2.1587903194509761</v>
      </c>
      <c r="T260" s="8">
        <f t="shared" ca="1" si="140"/>
        <v>2.1641312512655166</v>
      </c>
      <c r="U260" s="8">
        <f t="shared" ca="1" si="140"/>
        <v>2.1710449042079523</v>
      </c>
      <c r="V260" s="8">
        <f t="shared" ca="1" si="140"/>
        <v>2.1795955197494989</v>
      </c>
      <c r="W260" s="8">
        <f t="shared" ca="1" si="140"/>
        <v>2.1898508592204764</v>
      </c>
      <c r="X260" s="8">
        <f t="shared" ca="1" si="140"/>
        <v>2.2018823836755801</v>
      </c>
      <c r="Y260" s="8">
        <f t="shared" ca="1" si="140"/>
        <v>2.2157654431472769</v>
      </c>
      <c r="Z260" s="8">
        <f t="shared" ca="1" si="140"/>
        <v>2.2315794757764875</v>
      </c>
      <c r="AA260" s="8">
        <f t="shared" ca="1" si="140"/>
        <v>2.2494082173352976</v>
      </c>
      <c r="AB260" s="8">
        <f t="shared" ca="1" si="140"/>
        <v>2.269339921683327</v>
      </c>
      <c r="AC260" s="8">
        <f t="shared" ca="1" si="140"/>
        <v>2.2914675927277082</v>
      </c>
      <c r="AD260" s="8">
        <f t="shared" ca="1" si="140"/>
        <v>2.3158892284863919</v>
      </c>
      <c r="AE260" s="8">
        <f t="shared" ca="1" si="140"/>
        <v>1.2962072889046494</v>
      </c>
      <c r="AF260" s="8">
        <f t="shared" si="140"/>
        <v>0</v>
      </c>
      <c r="AG260" s="8">
        <f t="shared" si="140"/>
        <v>0</v>
      </c>
      <c r="AH260" s="8">
        <f t="shared" si="140"/>
        <v>0</v>
      </c>
      <c r="AI260" s="8">
        <f t="shared" si="140"/>
        <v>0</v>
      </c>
    </row>
    <row r="261" spans="1:35" x14ac:dyDescent="0.3">
      <c r="A261" s="8"/>
      <c r="B261" s="8" t="str">
        <f>B222</f>
        <v>Interest Income on DSRA</v>
      </c>
      <c r="C261" s="202" t="s">
        <v>11</v>
      </c>
      <c r="D261" s="81">
        <f t="shared" ca="1" si="134"/>
        <v>0</v>
      </c>
      <c r="E261" s="8">
        <f t="shared" ref="E261:AI261" ca="1" si="141">-E199</f>
        <v>0</v>
      </c>
      <c r="F261" s="8">
        <f t="shared" ca="1" si="141"/>
        <v>0</v>
      </c>
      <c r="G261" s="8">
        <f t="shared" ca="1" si="141"/>
        <v>0</v>
      </c>
      <c r="H261" s="8">
        <f t="shared" ca="1" si="141"/>
        <v>0</v>
      </c>
      <c r="I261" s="8">
        <f t="shared" ca="1" si="141"/>
        <v>0</v>
      </c>
      <c r="J261" s="8">
        <f t="shared" ca="1" si="141"/>
        <v>0</v>
      </c>
      <c r="K261" s="8">
        <f t="shared" ca="1" si="141"/>
        <v>0</v>
      </c>
      <c r="L261" s="8">
        <f t="shared" ca="1" si="141"/>
        <v>0</v>
      </c>
      <c r="M261" s="8">
        <f t="shared" ca="1" si="141"/>
        <v>0</v>
      </c>
      <c r="N261" s="8">
        <f t="shared" ca="1" si="141"/>
        <v>0</v>
      </c>
      <c r="O261" s="8">
        <f t="shared" ca="1" si="141"/>
        <v>0</v>
      </c>
      <c r="P261" s="8">
        <f t="shared" ca="1" si="141"/>
        <v>0</v>
      </c>
      <c r="Q261" s="8">
        <f t="shared" ca="1" si="141"/>
        <v>0</v>
      </c>
      <c r="R261" s="8">
        <f t="shared" ca="1" si="141"/>
        <v>0</v>
      </c>
      <c r="S261" s="8">
        <f t="shared" ca="1" si="141"/>
        <v>0</v>
      </c>
      <c r="T261" s="8">
        <f t="shared" ca="1" si="141"/>
        <v>0</v>
      </c>
      <c r="U261" s="8">
        <f t="shared" ca="1" si="141"/>
        <v>0</v>
      </c>
      <c r="V261" s="8">
        <f t="shared" ca="1" si="141"/>
        <v>0</v>
      </c>
      <c r="W261" s="8">
        <f t="shared" ca="1" si="141"/>
        <v>0</v>
      </c>
      <c r="X261" s="8">
        <f t="shared" ca="1" si="141"/>
        <v>0</v>
      </c>
      <c r="Y261" s="8">
        <f t="shared" ca="1" si="141"/>
        <v>0</v>
      </c>
      <c r="Z261" s="8">
        <f t="shared" ca="1" si="141"/>
        <v>0</v>
      </c>
      <c r="AA261" s="8">
        <f t="shared" ca="1" si="141"/>
        <v>0</v>
      </c>
      <c r="AB261" s="8">
        <f t="shared" ca="1" si="141"/>
        <v>0</v>
      </c>
      <c r="AC261" s="8">
        <f t="shared" ca="1" si="141"/>
        <v>0</v>
      </c>
      <c r="AD261" s="8">
        <f t="shared" ca="1" si="141"/>
        <v>0</v>
      </c>
      <c r="AE261" s="8">
        <f t="shared" ca="1" si="141"/>
        <v>0</v>
      </c>
      <c r="AF261" s="8">
        <f t="shared" ca="1" si="141"/>
        <v>0</v>
      </c>
      <c r="AG261" s="8">
        <f t="shared" ca="1" si="141"/>
        <v>0</v>
      </c>
      <c r="AH261" s="8">
        <f t="shared" ca="1" si="141"/>
        <v>0</v>
      </c>
      <c r="AI261" s="8">
        <f t="shared" ca="1" si="141"/>
        <v>0</v>
      </c>
    </row>
    <row r="262" spans="1:35" x14ac:dyDescent="0.3">
      <c r="A262" s="8"/>
      <c r="B262" s="8" t="str">
        <f>B223</f>
        <v>BG cost for DSRA</v>
      </c>
      <c r="C262" s="202" t="s">
        <v>11</v>
      </c>
      <c r="D262" s="81">
        <f t="shared" ca="1" si="134"/>
        <v>0</v>
      </c>
      <c r="E262" s="8">
        <f t="shared" ref="E262:AI262" ca="1" si="142">E202</f>
        <v>0</v>
      </c>
      <c r="F262" s="8">
        <f t="shared" ca="1" si="142"/>
        <v>0</v>
      </c>
      <c r="G262" s="8">
        <f t="shared" ca="1" si="142"/>
        <v>0</v>
      </c>
      <c r="H262" s="8">
        <f t="shared" ca="1" si="142"/>
        <v>0</v>
      </c>
      <c r="I262" s="8">
        <f t="shared" ca="1" si="142"/>
        <v>0</v>
      </c>
      <c r="J262" s="8">
        <f t="shared" ca="1" si="142"/>
        <v>0</v>
      </c>
      <c r="K262" s="8">
        <f t="shared" ca="1" si="142"/>
        <v>0</v>
      </c>
      <c r="L262" s="8">
        <f t="shared" ca="1" si="142"/>
        <v>0</v>
      </c>
      <c r="M262" s="8">
        <f t="shared" ca="1" si="142"/>
        <v>0</v>
      </c>
      <c r="N262" s="8">
        <f t="shared" ca="1" si="142"/>
        <v>0</v>
      </c>
      <c r="O262" s="8">
        <f t="shared" ca="1" si="142"/>
        <v>0</v>
      </c>
      <c r="P262" s="8">
        <f t="shared" ca="1" si="142"/>
        <v>0</v>
      </c>
      <c r="Q262" s="8">
        <f t="shared" ca="1" si="142"/>
        <v>0</v>
      </c>
      <c r="R262" s="8">
        <f t="shared" ca="1" si="142"/>
        <v>0</v>
      </c>
      <c r="S262" s="8">
        <f t="shared" ca="1" si="142"/>
        <v>0</v>
      </c>
      <c r="T262" s="8">
        <f t="shared" ca="1" si="142"/>
        <v>0</v>
      </c>
      <c r="U262" s="8">
        <f t="shared" ca="1" si="142"/>
        <v>0</v>
      </c>
      <c r="V262" s="8">
        <f t="shared" ca="1" si="142"/>
        <v>0</v>
      </c>
      <c r="W262" s="8">
        <f t="shared" ca="1" si="142"/>
        <v>0</v>
      </c>
      <c r="X262" s="8">
        <f t="shared" ca="1" si="142"/>
        <v>0</v>
      </c>
      <c r="Y262" s="8">
        <f t="shared" ca="1" si="142"/>
        <v>0</v>
      </c>
      <c r="Z262" s="8">
        <f t="shared" ca="1" si="142"/>
        <v>0</v>
      </c>
      <c r="AA262" s="8">
        <f t="shared" ca="1" si="142"/>
        <v>0</v>
      </c>
      <c r="AB262" s="8">
        <f t="shared" ca="1" si="142"/>
        <v>0</v>
      </c>
      <c r="AC262" s="8">
        <f t="shared" ca="1" si="142"/>
        <v>0</v>
      </c>
      <c r="AD262" s="8">
        <f t="shared" ca="1" si="142"/>
        <v>0</v>
      </c>
      <c r="AE262" s="8">
        <f t="shared" ca="1" si="142"/>
        <v>0</v>
      </c>
      <c r="AF262" s="8">
        <f t="shared" ca="1" si="142"/>
        <v>0</v>
      </c>
      <c r="AG262" s="8">
        <f t="shared" ca="1" si="142"/>
        <v>0</v>
      </c>
      <c r="AH262" s="8">
        <f t="shared" ca="1" si="142"/>
        <v>0</v>
      </c>
      <c r="AI262" s="8">
        <f t="shared" ca="1" si="142"/>
        <v>0</v>
      </c>
    </row>
    <row r="263" spans="1:35" x14ac:dyDescent="0.3">
      <c r="A263" s="8"/>
      <c r="B263" s="8" t="s">
        <v>129</v>
      </c>
      <c r="C263" s="202" t="s">
        <v>11</v>
      </c>
      <c r="D263" s="81">
        <f t="shared" ca="1" si="134"/>
        <v>1596.3656895043337</v>
      </c>
      <c r="E263" s="8">
        <f t="shared" ref="E263:AI263" ca="1" si="143">E211</f>
        <v>0</v>
      </c>
      <c r="F263" s="8">
        <f t="shared" ca="1" si="143"/>
        <v>31.412738786297005</v>
      </c>
      <c r="G263" s="8">
        <f t="shared" ca="1" si="143"/>
        <v>62.998075038452782</v>
      </c>
      <c r="H263" s="8">
        <f t="shared" ca="1" si="143"/>
        <v>62.998075038452782</v>
      </c>
      <c r="I263" s="8">
        <f t="shared" ca="1" si="143"/>
        <v>62.998075038452782</v>
      </c>
      <c r="J263" s="8">
        <f t="shared" ca="1" si="143"/>
        <v>62.998075038452782</v>
      </c>
      <c r="K263" s="8">
        <f t="shared" ca="1" si="143"/>
        <v>62.998075038452782</v>
      </c>
      <c r="L263" s="8">
        <f t="shared" ca="1" si="143"/>
        <v>62.998075038452782</v>
      </c>
      <c r="M263" s="8">
        <f t="shared" ca="1" si="143"/>
        <v>62.998075038452782</v>
      </c>
      <c r="N263" s="8">
        <f t="shared" ca="1" si="143"/>
        <v>62.998075038452782</v>
      </c>
      <c r="O263" s="8">
        <f t="shared" ca="1" si="143"/>
        <v>62.998075038452782</v>
      </c>
      <c r="P263" s="8">
        <f t="shared" ca="1" si="143"/>
        <v>62.998075038452782</v>
      </c>
      <c r="Q263" s="8">
        <f t="shared" ca="1" si="143"/>
        <v>62.998075038452782</v>
      </c>
      <c r="R263" s="8">
        <f t="shared" ca="1" si="143"/>
        <v>62.998075038452782</v>
      </c>
      <c r="S263" s="8">
        <f t="shared" ca="1" si="143"/>
        <v>62.998075038452782</v>
      </c>
      <c r="T263" s="8">
        <f t="shared" ca="1" si="143"/>
        <v>62.998075038452782</v>
      </c>
      <c r="U263" s="8">
        <f t="shared" ca="1" si="143"/>
        <v>62.998075038452782</v>
      </c>
      <c r="V263" s="8">
        <f t="shared" ca="1" si="143"/>
        <v>62.998075038452782</v>
      </c>
      <c r="W263" s="8">
        <f t="shared" ca="1" si="143"/>
        <v>62.998075038452782</v>
      </c>
      <c r="X263" s="8">
        <f t="shared" ca="1" si="143"/>
        <v>62.998075038452782</v>
      </c>
      <c r="Y263" s="8">
        <f t="shared" ca="1" si="143"/>
        <v>62.998075038452782</v>
      </c>
      <c r="Z263" s="8">
        <f t="shared" ca="1" si="143"/>
        <v>66.907186361351648</v>
      </c>
      <c r="AA263" s="8">
        <f t="shared" ca="1" si="143"/>
        <v>66.907186361351648</v>
      </c>
      <c r="AB263" s="8">
        <f t="shared" ca="1" si="143"/>
        <v>66.907186361351648</v>
      </c>
      <c r="AC263" s="8">
        <f t="shared" ca="1" si="143"/>
        <v>66.907186361351648</v>
      </c>
      <c r="AD263" s="8">
        <f t="shared" ca="1" si="143"/>
        <v>66.907186361351648</v>
      </c>
      <c r="AE263" s="8">
        <f t="shared" ca="1" si="143"/>
        <v>33.453593180675824</v>
      </c>
      <c r="AF263" s="8">
        <f t="shared" ca="1" si="143"/>
        <v>0</v>
      </c>
      <c r="AG263" s="8">
        <f t="shared" ca="1" si="143"/>
        <v>0</v>
      </c>
      <c r="AH263" s="8">
        <f t="shared" ca="1" si="143"/>
        <v>0</v>
      </c>
      <c r="AI263" s="8">
        <f t="shared" ca="1" si="143"/>
        <v>0</v>
      </c>
    </row>
    <row r="264" spans="1:35" x14ac:dyDescent="0.3">
      <c r="A264" s="8"/>
      <c r="B264" s="8" t="s">
        <v>128</v>
      </c>
      <c r="C264" s="202" t="s">
        <v>11</v>
      </c>
      <c r="D264" s="81">
        <f t="shared" si="134"/>
        <v>0</v>
      </c>
      <c r="E264" s="8">
        <f>-IF(Input!$D$258,E150,0)</f>
        <v>0</v>
      </c>
      <c r="F264" s="8">
        <f>-IF(Input!$D$258,F150,0)</f>
        <v>0</v>
      </c>
      <c r="G264" s="8">
        <f>-IF(Input!$D$258,G150,0)</f>
        <v>0</v>
      </c>
      <c r="H264" s="8">
        <f>-IF(Input!$D$258,H150,0)</f>
        <v>0</v>
      </c>
      <c r="I264" s="8">
        <f>-IF(Input!$D$258,I150,0)</f>
        <v>0</v>
      </c>
      <c r="J264" s="8">
        <f>-IF(Input!$D$258,J150,0)</f>
        <v>0</v>
      </c>
      <c r="K264" s="8">
        <f>-IF(Input!$D$258,K150,0)</f>
        <v>0</v>
      </c>
      <c r="L264" s="8">
        <f>-IF(Input!$D$258,L150,0)</f>
        <v>0</v>
      </c>
      <c r="M264" s="8">
        <f>-IF(Input!$D$258,M150,0)</f>
        <v>0</v>
      </c>
      <c r="N264" s="8">
        <f>-IF(Input!$D$258,N150,0)</f>
        <v>0</v>
      </c>
      <c r="O264" s="8">
        <f>-IF(Input!$D$258,O150,0)</f>
        <v>0</v>
      </c>
      <c r="P264" s="8">
        <f>-IF(Input!$D$258,P150,0)</f>
        <v>0</v>
      </c>
      <c r="Q264" s="8">
        <f>-IF(Input!$D$258,Q150,0)</f>
        <v>0</v>
      </c>
      <c r="R264" s="8">
        <f>-IF(Input!$D$258,R150,0)</f>
        <v>0</v>
      </c>
      <c r="S264" s="8">
        <f>-IF(Input!$D$258,S150,0)</f>
        <v>0</v>
      </c>
      <c r="T264" s="8">
        <f>-IF(Input!$D$258,T150,0)</f>
        <v>0</v>
      </c>
      <c r="U264" s="8">
        <f>-IF(Input!$D$258,U150,0)</f>
        <v>0</v>
      </c>
      <c r="V264" s="8">
        <f>-IF(Input!$D$258,V150,0)</f>
        <v>0</v>
      </c>
      <c r="W264" s="8">
        <f>-IF(Input!$D$258,W150,0)</f>
        <v>0</v>
      </c>
      <c r="X264" s="8">
        <f>-IF(Input!$D$258,X150,0)</f>
        <v>0</v>
      </c>
      <c r="Y264" s="8">
        <f>-IF(Input!$D$258,Y150,0)</f>
        <v>0</v>
      </c>
      <c r="Z264" s="8">
        <f>-IF(Input!$D$258,Z150,0)</f>
        <v>0</v>
      </c>
      <c r="AA264" s="8">
        <f>-IF(Input!$D$258,AA150,0)</f>
        <v>0</v>
      </c>
      <c r="AB264" s="8">
        <f>-IF(Input!$D$258,AB150,0)</f>
        <v>0</v>
      </c>
      <c r="AC264" s="8">
        <f>-IF(Input!$D$258,AC150,0)</f>
        <v>0</v>
      </c>
      <c r="AD264" s="8">
        <f>-IF(Input!$D$258,AD150,0)</f>
        <v>0</v>
      </c>
      <c r="AE264" s="8">
        <f>-IF(Input!$D$258,AE150,0)</f>
        <v>0</v>
      </c>
      <c r="AF264" s="8">
        <f>-IF(Input!$D$258,AF150,0)</f>
        <v>0</v>
      </c>
      <c r="AG264" s="8">
        <f>-IF(Input!$D$258,AG150,0)</f>
        <v>0</v>
      </c>
      <c r="AH264" s="8">
        <f>-IF(Input!$D$258,AH150,0)</f>
        <v>0</v>
      </c>
      <c r="AI264" s="8">
        <f>-IF(Input!$D$258,AI150,0)</f>
        <v>0</v>
      </c>
    </row>
    <row r="265" spans="1:35" x14ac:dyDescent="0.3">
      <c r="A265" s="8"/>
      <c r="B265" s="7" t="s">
        <v>10</v>
      </c>
      <c r="C265" s="220" t="s">
        <v>11</v>
      </c>
      <c r="D265" s="373">
        <f t="shared" ca="1" si="134"/>
        <v>3803.0702896023313</v>
      </c>
      <c r="E265" s="7">
        <f t="shared" ref="E265:AI265" ca="1" si="144">SUM(E256:E264)</f>
        <v>0</v>
      </c>
      <c r="F265" s="7">
        <f t="shared" ca="1" si="144"/>
        <v>86.88400578196854</v>
      </c>
      <c r="G265" s="7">
        <f t="shared" ca="1" si="144"/>
        <v>186.16663112128134</v>
      </c>
      <c r="H265" s="7">
        <f t="shared" ca="1" si="144"/>
        <v>183.38858568561827</v>
      </c>
      <c r="I265" s="7">
        <f t="shared" ca="1" si="144"/>
        <v>180.6474957257374</v>
      </c>
      <c r="J265" s="7">
        <f t="shared" ca="1" si="144"/>
        <v>177.94522894635213</v>
      </c>
      <c r="K265" s="7">
        <f t="shared" ca="1" si="144"/>
        <v>175.28374934965439</v>
      </c>
      <c r="L265" s="7">
        <f t="shared" ca="1" si="144"/>
        <v>172.66512221250952</v>
      </c>
      <c r="M265" s="7">
        <f t="shared" ca="1" si="144"/>
        <v>170.09151932214994</v>
      </c>
      <c r="N265" s="7">
        <f t="shared" ca="1" si="144"/>
        <v>167.56522448383075</v>
      </c>
      <c r="O265" s="7">
        <f t="shared" ca="1" si="144"/>
        <v>165.08863931461343</v>
      </c>
      <c r="P265" s="7">
        <f t="shared" ca="1" si="144"/>
        <v>162.66428933818437</v>
      </c>
      <c r="Q265" s="7">
        <f t="shared" ca="1" si="144"/>
        <v>160.29483039639129</v>
      </c>
      <c r="R265" s="7">
        <f t="shared" ca="1" si="144"/>
        <v>157.98305539400138</v>
      </c>
      <c r="S265" s="7">
        <f t="shared" ca="1" si="144"/>
        <v>155.73190139404562</v>
      </c>
      <c r="T265" s="7">
        <f t="shared" ca="1" si="144"/>
        <v>153.5444570820205</v>
      </c>
      <c r="U265" s="7">
        <f t="shared" ca="1" si="144"/>
        <v>119.11735777512109</v>
      </c>
      <c r="V265" s="7">
        <f t="shared" ca="1" si="144"/>
        <v>119.67662532314291</v>
      </c>
      <c r="W265" s="7">
        <f t="shared" ca="1" si="144"/>
        <v>121.1796523587843</v>
      </c>
      <c r="X265" s="7">
        <f t="shared" ca="1" si="144"/>
        <v>122.76042334823943</v>
      </c>
      <c r="Y265" s="7">
        <f t="shared" ca="1" si="144"/>
        <v>124.42291136590953</v>
      </c>
      <c r="Z265" s="7">
        <f t="shared" ca="1" si="144"/>
        <v>130.08040611273481</v>
      </c>
      <c r="AA265" s="7">
        <f t="shared" ca="1" si="144"/>
        <v>131.91907926919163</v>
      </c>
      <c r="AB265" s="7">
        <f t="shared" ca="1" si="144"/>
        <v>133.8526636311995</v>
      </c>
      <c r="AC265" s="7">
        <f t="shared" ca="1" si="144"/>
        <v>135.88601959985451</v>
      </c>
      <c r="AD265" s="7">
        <f t="shared" ca="1" si="144"/>
        <v>138.02425889887547</v>
      </c>
      <c r="AE265" s="7">
        <f t="shared" ca="1" si="144"/>
        <v>70.206156370920468</v>
      </c>
      <c r="AF265" s="7">
        <f t="shared" ca="1" si="144"/>
        <v>0</v>
      </c>
      <c r="AG265" s="7">
        <f t="shared" ca="1" si="144"/>
        <v>0</v>
      </c>
      <c r="AH265" s="7">
        <f t="shared" ca="1" si="144"/>
        <v>0</v>
      </c>
      <c r="AI265" s="7">
        <f t="shared" ca="1" si="144"/>
        <v>0</v>
      </c>
    </row>
    <row r="266" spans="1:35" x14ac:dyDescent="0.3">
      <c r="A266" s="8"/>
    </row>
    <row r="267" spans="1:35" x14ac:dyDescent="0.3">
      <c r="A267" s="8"/>
      <c r="B267" s="111" t="s">
        <v>479</v>
      </c>
      <c r="C267" s="238" t="s">
        <v>16</v>
      </c>
      <c r="D267" s="112">
        <f>SUMPRODUCT(E267:AI267,E$254:AI$254)/SUM(E$254:AI$254)</f>
        <v>0.62716264259958021</v>
      </c>
      <c r="E267" s="111">
        <f t="shared" ref="E267:AI267" si="145">IF(E$158,E256/E$158*10,0)</f>
        <v>0</v>
      </c>
      <c r="F267" s="111">
        <f t="shared" si="145"/>
        <v>0.32595658239286535</v>
      </c>
      <c r="G267" s="111">
        <f t="shared" si="145"/>
        <v>0.34850960547036075</v>
      </c>
      <c r="H267" s="111">
        <f t="shared" si="145"/>
        <v>0.37144947823549834</v>
      </c>
      <c r="I267" s="111">
        <f t="shared" si="145"/>
        <v>0.39589931730922734</v>
      </c>
      <c r="J267" s="111">
        <f t="shared" si="145"/>
        <v>0.4219585128789487</v>
      </c>
      <c r="K267" s="111">
        <f t="shared" si="145"/>
        <v>0.44973299727098065</v>
      </c>
      <c r="L267" s="111">
        <f t="shared" si="145"/>
        <v>0.47933567557236167</v>
      </c>
      <c r="M267" s="111">
        <f t="shared" si="145"/>
        <v>0.51088688459737785</v>
      </c>
      <c r="N267" s="111">
        <f t="shared" si="145"/>
        <v>0.54451488206454701</v>
      </c>
      <c r="O267" s="111">
        <f t="shared" si="145"/>
        <v>0.58035636797259316</v>
      </c>
      <c r="P267" s="111">
        <f t="shared" si="145"/>
        <v>0.6185570402948396</v>
      </c>
      <c r="Q267" s="111">
        <f t="shared" si="145"/>
        <v>0.6592721872509556</v>
      </c>
      <c r="R267" s="111">
        <f t="shared" si="145"/>
        <v>0.7026673185636767</v>
      </c>
      <c r="S267" s="111">
        <f t="shared" si="145"/>
        <v>0.74891883826660222</v>
      </c>
      <c r="T267" s="111">
        <f t="shared" si="145"/>
        <v>0.79821476179807482</v>
      </c>
      <c r="U267" s="111">
        <f t="shared" si="145"/>
        <v>0.85075548029617576</v>
      </c>
      <c r="V267" s="111">
        <f t="shared" si="145"/>
        <v>0.90675457520174696</v>
      </c>
      <c r="W267" s="111">
        <f t="shared" si="145"/>
        <v>0.96643968648084899</v>
      </c>
      <c r="X267" s="111">
        <f t="shared" si="145"/>
        <v>1.030053437996044</v>
      </c>
      <c r="Y267" s="111">
        <f t="shared" si="145"/>
        <v>1.0978544237881889</v>
      </c>
      <c r="Z267" s="111">
        <f t="shared" si="145"/>
        <v>1.1701182592780444</v>
      </c>
      <c r="AA267" s="111">
        <f t="shared" si="145"/>
        <v>1.2471387016609028</v>
      </c>
      <c r="AB267" s="111">
        <f t="shared" si="145"/>
        <v>1.3292288440487088</v>
      </c>
      <c r="AC267" s="111">
        <f t="shared" si="145"/>
        <v>1.4167223882139401</v>
      </c>
      <c r="AD267" s="111">
        <f t="shared" si="145"/>
        <v>1.5099750011090352</v>
      </c>
      <c r="AE267" s="111">
        <f t="shared" si="145"/>
        <v>1.3659227200913375</v>
      </c>
      <c r="AF267" s="111">
        <f t="shared" si="145"/>
        <v>0</v>
      </c>
      <c r="AG267" s="111">
        <f t="shared" si="145"/>
        <v>0</v>
      </c>
      <c r="AH267" s="111">
        <f t="shared" si="145"/>
        <v>0</v>
      </c>
      <c r="AI267" s="111">
        <f t="shared" si="145"/>
        <v>0</v>
      </c>
    </row>
    <row r="268" spans="1:35" x14ac:dyDescent="0.3">
      <c r="A268" s="8"/>
      <c r="B268" s="111" t="str">
        <f t="shared" ref="B268:B276" si="146">B257</f>
        <v>Infrastructure O&amp;M</v>
      </c>
      <c r="C268" s="238" t="s">
        <v>16</v>
      </c>
      <c r="D268" s="112">
        <f>SUMPRODUCT(E268:AI268,E$254:AI$254)/SUM(E$254:AI$254)</f>
        <v>0.11342012605908855</v>
      </c>
      <c r="E268" s="111">
        <f t="shared" ref="E268:AI268" si="147">IF(E$158,E257/E$158*10,0)</f>
        <v>0</v>
      </c>
      <c r="F268" s="111">
        <f t="shared" si="147"/>
        <v>6.9476548296847226E-2</v>
      </c>
      <c r="G268" s="111">
        <f t="shared" si="147"/>
        <v>7.3239090569218873E-2</v>
      </c>
      <c r="H268" s="111">
        <f t="shared" si="147"/>
        <v>7.6962232186003468E-2</v>
      </c>
      <c r="I268" s="111">
        <f t="shared" si="147"/>
        <v>8.087464135637043E-2</v>
      </c>
      <c r="J268" s="111">
        <f t="shared" si="147"/>
        <v>8.498593958025881E-2</v>
      </c>
      <c r="K268" s="111">
        <f t="shared" si="147"/>
        <v>8.930623747081981E-2</v>
      </c>
      <c r="L268" s="111">
        <f t="shared" si="147"/>
        <v>9.3846159618703531E-2</v>
      </c>
      <c r="M268" s="111">
        <f t="shared" si="147"/>
        <v>9.8616870720332817E-2</v>
      </c>
      <c r="N268" s="111">
        <f t="shared" si="147"/>
        <v>0.10363010303441963</v>
      </c>
      <c r="O268" s="111">
        <f t="shared" si="147"/>
        <v>0.10889818523424533</v>
      </c>
      <c r="P268" s="111">
        <f t="shared" si="147"/>
        <v>0.11443407272665961</v>
      </c>
      <c r="Q268" s="111">
        <f t="shared" si="147"/>
        <v>0.12025137951235916</v>
      </c>
      <c r="R268" s="111">
        <f t="shared" si="147"/>
        <v>0.12636441166579757</v>
      </c>
      <c r="S268" s="111">
        <f t="shared" si="147"/>
        <v>0.13278820251706142</v>
      </c>
      <c r="T268" s="111">
        <f t="shared" si="147"/>
        <v>0.13953854962223253</v>
      </c>
      <c r="U268" s="111">
        <f t="shared" si="147"/>
        <v>0.14663205361315515</v>
      </c>
      <c r="V268" s="111">
        <f t="shared" si="147"/>
        <v>0.15408615902214792</v>
      </c>
      <c r="W268" s="111">
        <f t="shared" si="147"/>
        <v>0.16191919718205861</v>
      </c>
      <c r="X268" s="111">
        <f t="shared" si="147"/>
        <v>0.17015043130716179</v>
      </c>
      <c r="Y268" s="111">
        <f t="shared" si="147"/>
        <v>0.17880010386576384</v>
      </c>
      <c r="Z268" s="111">
        <f t="shared" si="147"/>
        <v>0.18788948636101588</v>
      </c>
      <c r="AA268" s="111">
        <f t="shared" si="147"/>
        <v>0.19744093164235557</v>
      </c>
      <c r="AB268" s="111">
        <f t="shared" si="147"/>
        <v>0.20747792887622524</v>
      </c>
      <c r="AC268" s="111">
        <f t="shared" si="147"/>
        <v>0.21802516131124949</v>
      </c>
      <c r="AD268" s="111">
        <f t="shared" si="147"/>
        <v>0.2291085669799327</v>
      </c>
      <c r="AE268" s="111">
        <f t="shared" si="147"/>
        <v>0.20059102818104457</v>
      </c>
      <c r="AF268" s="111">
        <f t="shared" si="147"/>
        <v>0</v>
      </c>
      <c r="AG268" s="111">
        <f t="shared" si="147"/>
        <v>0</v>
      </c>
      <c r="AH268" s="111">
        <f t="shared" si="147"/>
        <v>0</v>
      </c>
      <c r="AI268" s="111">
        <f t="shared" si="147"/>
        <v>0</v>
      </c>
    </row>
    <row r="269" spans="1:35" x14ac:dyDescent="0.3">
      <c r="A269" s="8"/>
      <c r="B269" s="111" t="str">
        <f t="shared" si="146"/>
        <v>Depreciation</v>
      </c>
      <c r="C269" s="238" t="s">
        <v>16</v>
      </c>
      <c r="D269" s="112">
        <f ca="1">SUMPRODUCT(E269:AI269,E$254:AI$254)/SUM(E$254:AI$254)</f>
        <v>1.6265289125465399</v>
      </c>
      <c r="E269" s="111">
        <f t="shared" ref="E269:AI269" si="148">IF(E$158,E258/E$158*10,0)</f>
        <v>0</v>
      </c>
      <c r="F269" s="111">
        <f t="shared" ca="1" si="148"/>
        <v>1.6924568509808633</v>
      </c>
      <c r="G269" s="111">
        <f t="shared" ca="1" si="148"/>
        <v>1.7192953852391839</v>
      </c>
      <c r="H269" s="111">
        <f t="shared" ca="1" si="148"/>
        <v>1.7410586179637306</v>
      </c>
      <c r="I269" s="111">
        <f t="shared" ca="1" si="148"/>
        <v>1.7630973346468157</v>
      </c>
      <c r="J269" s="111">
        <f t="shared" ca="1" si="148"/>
        <v>1.785415022427155</v>
      </c>
      <c r="K269" s="111">
        <f t="shared" ca="1" si="148"/>
        <v>1.8080152125844606</v>
      </c>
      <c r="L269" s="111">
        <f t="shared" ca="1" si="148"/>
        <v>1.8309014810981881</v>
      </c>
      <c r="M269" s="111">
        <f t="shared" ca="1" si="148"/>
        <v>1.8540774492133549</v>
      </c>
      <c r="N269" s="111">
        <f t="shared" ca="1" si="148"/>
        <v>1.877546784013524</v>
      </c>
      <c r="O269" s="111">
        <f t="shared" ca="1" si="148"/>
        <v>1.9013131990010368</v>
      </c>
      <c r="P269" s="111">
        <f t="shared" ca="1" si="148"/>
        <v>1.9253804546845941</v>
      </c>
      <c r="Q269" s="111">
        <f t="shared" ca="1" si="148"/>
        <v>1.9497523591742725</v>
      </c>
      <c r="R269" s="111">
        <f t="shared" ca="1" si="148"/>
        <v>1.9744327687840733</v>
      </c>
      <c r="S269" s="111">
        <f t="shared" ca="1" si="148"/>
        <v>1.9994255886420991</v>
      </c>
      <c r="T269" s="111">
        <f t="shared" ca="1" si="148"/>
        <v>2.0247347733084551</v>
      </c>
      <c r="U269" s="111">
        <f t="shared" ca="1" si="148"/>
        <v>0.87810035434730915</v>
      </c>
      <c r="V269" s="111">
        <f t="shared" ca="1" si="148"/>
        <v>0.88921554870613584</v>
      </c>
      <c r="W269" s="111">
        <f t="shared" ca="1" si="148"/>
        <v>0.90047144172773252</v>
      </c>
      <c r="X269" s="111">
        <f t="shared" ca="1" si="148"/>
        <v>0.91186981440783021</v>
      </c>
      <c r="Y269" s="111">
        <f t="shared" ca="1" si="148"/>
        <v>0.92341247028641049</v>
      </c>
      <c r="Z269" s="111">
        <f t="shared" ca="1" si="148"/>
        <v>0.93510123573307369</v>
      </c>
      <c r="AA269" s="111">
        <f t="shared" ca="1" si="148"/>
        <v>0.94693796023602395</v>
      </c>
      <c r="AB269" s="111">
        <f t="shared" ca="1" si="148"/>
        <v>0.95892451669470791</v>
      </c>
      <c r="AC269" s="111">
        <f t="shared" ca="1" si="148"/>
        <v>0.97106280171615955</v>
      </c>
      <c r="AD269" s="111">
        <f t="shared" ca="1" si="148"/>
        <v>0.98335473591509837</v>
      </c>
      <c r="AE269" s="111">
        <f t="shared" ca="1" si="148"/>
        <v>0.84517079376811921</v>
      </c>
      <c r="AF269" s="111">
        <f t="shared" si="148"/>
        <v>0</v>
      </c>
      <c r="AG269" s="111">
        <f t="shared" si="148"/>
        <v>0</v>
      </c>
      <c r="AH269" s="111">
        <f t="shared" si="148"/>
        <v>0</v>
      </c>
      <c r="AI269" s="111">
        <f t="shared" si="148"/>
        <v>0</v>
      </c>
    </row>
    <row r="270" spans="1:35" x14ac:dyDescent="0.3">
      <c r="A270" s="8"/>
      <c r="B270" s="111" t="str">
        <f t="shared" si="146"/>
        <v>Interest on Term Loan</v>
      </c>
      <c r="C270" s="238" t="s">
        <v>16</v>
      </c>
      <c r="D270" s="112">
        <f ca="1">SUMPRODUCT(E270:AI270,E$254:AI$254)/SUM(E$254:AI$254)</f>
        <v>0.74265307110727508</v>
      </c>
      <c r="E270" s="111">
        <f t="shared" ref="E270:AI270" si="149">IF(E$158,E259/E$158*10,0)</f>
        <v>0</v>
      </c>
      <c r="F270" s="111">
        <f t="shared" ref="F270:AE270" ca="1" si="150">IF(F$158,F259/F$158*10,0)</f>
        <v>1.0921945790712584</v>
      </c>
      <c r="G270" s="111">
        <f t="shared" ca="1" si="150"/>
        <v>1.4431772826847113</v>
      </c>
      <c r="H270" s="111">
        <f t="shared" ca="1" si="150"/>
        <v>1.3570563960145565</v>
      </c>
      <c r="I270" s="111">
        <f t="shared" ca="1" si="150"/>
        <v>1.2685239923797218</v>
      </c>
      <c r="J270" s="111">
        <f t="shared" ca="1" si="150"/>
        <v>1.1775328199305433</v>
      </c>
      <c r="K270" s="111">
        <f t="shared" ca="1" si="150"/>
        <v>1.0840348169671283</v>
      </c>
      <c r="L270" s="111">
        <f t="shared" ca="1" si="150"/>
        <v>0.98798109900801567</v>
      </c>
      <c r="M270" s="111">
        <f t="shared" ca="1" si="150"/>
        <v>0.88932194566122347</v>
      </c>
      <c r="N270" s="111">
        <f t="shared" ca="1" si="150"/>
        <v>0.78800678729475504</v>
      </c>
      <c r="O270" s="111">
        <f t="shared" ca="1" si="150"/>
        <v>0.6839841915035848</v>
      </c>
      <c r="P270" s="111">
        <f t="shared" ca="1" si="150"/>
        <v>0.57720184937011376</v>
      </c>
      <c r="Q270" s="111">
        <f t="shared" ca="1" si="150"/>
        <v>0.46760656151502877</v>
      </c>
      <c r="R270" s="111">
        <f t="shared" ca="1" si="150"/>
        <v>0.35514422393546485</v>
      </c>
      <c r="S270" s="111">
        <f t="shared" ca="1" si="150"/>
        <v>0.23975981362731794</v>
      </c>
      <c r="T270" s="111">
        <f t="shared" ca="1" si="150"/>
        <v>0.12139737398851531</v>
      </c>
      <c r="U270" s="111">
        <f t="shared" ca="1" si="150"/>
        <v>3.073351240215573E-2</v>
      </c>
      <c r="V270" s="111">
        <f t="shared" ca="1" si="150"/>
        <v>0</v>
      </c>
      <c r="W270" s="111">
        <f t="shared" ca="1" si="150"/>
        <v>0</v>
      </c>
      <c r="X270" s="111">
        <f t="shared" ca="1" si="150"/>
        <v>0</v>
      </c>
      <c r="Y270" s="111">
        <f t="shared" ca="1" si="150"/>
        <v>0</v>
      </c>
      <c r="Z270" s="111">
        <f t="shared" ca="1" si="150"/>
        <v>0</v>
      </c>
      <c r="AA270" s="111">
        <f t="shared" ca="1" si="150"/>
        <v>0</v>
      </c>
      <c r="AB270" s="111">
        <f t="shared" ca="1" si="150"/>
        <v>0</v>
      </c>
      <c r="AC270" s="111">
        <f t="shared" ca="1" si="150"/>
        <v>0</v>
      </c>
      <c r="AD270" s="111">
        <f t="shared" ca="1" si="150"/>
        <v>0</v>
      </c>
      <c r="AE270" s="111">
        <f t="shared" ca="1" si="150"/>
        <v>0</v>
      </c>
      <c r="AF270" s="111">
        <f t="shared" si="149"/>
        <v>0</v>
      </c>
      <c r="AG270" s="111">
        <f t="shared" si="149"/>
        <v>0</v>
      </c>
      <c r="AH270" s="111">
        <f t="shared" si="149"/>
        <v>0</v>
      </c>
      <c r="AI270" s="111">
        <f t="shared" si="149"/>
        <v>0</v>
      </c>
    </row>
    <row r="271" spans="1:35" x14ac:dyDescent="0.3">
      <c r="A271" s="8"/>
      <c r="B271" s="111" t="str">
        <f t="shared" si="146"/>
        <v>Interest on WC</v>
      </c>
      <c r="C271" s="238" t="s">
        <v>16</v>
      </c>
      <c r="D271" s="112">
        <f t="shared" ref="D271" ca="1" si="151">SUMPRODUCT(E271:AI271,E$254:AI$254)/SUM(E$254:AI$254)</f>
        <v>7.1544082840385326E-2</v>
      </c>
      <c r="E271" s="111">
        <f t="shared" ref="E271:AI271" si="152">IF(E$158,E260/E$158*10,0)</f>
        <v>0</v>
      </c>
      <c r="F271" s="111">
        <f t="shared" ca="1" si="152"/>
        <v>6.4597946376260096E-2</v>
      </c>
      <c r="G271" s="111">
        <f t="shared" ca="1" si="152"/>
        <v>6.5127547128926169E-2</v>
      </c>
      <c r="H271" s="111">
        <f t="shared" ca="1" si="152"/>
        <v>6.5664140293362344E-2</v>
      </c>
      <c r="I271" s="111">
        <f t="shared" ca="1" si="152"/>
        <v>6.6234930539274775E-2</v>
      </c>
      <c r="J271" s="111">
        <f t="shared" ca="1" si="152"/>
        <v>6.6842111726871184E-2</v>
      </c>
      <c r="K271" s="111">
        <f t="shared" ca="1" si="152"/>
        <v>6.7488019220308365E-2</v>
      </c>
      <c r="L271" s="111">
        <f t="shared" ca="1" si="152"/>
        <v>6.8175139054349826E-2</v>
      </c>
      <c r="M271" s="111">
        <f t="shared" ca="1" si="152"/>
        <v>6.8906117696898556E-2</v>
      </c>
      <c r="N271" s="111">
        <f t="shared" ca="1" si="152"/>
        <v>6.9683772446246336E-2</v>
      </c>
      <c r="O271" s="111">
        <f t="shared" ca="1" si="152"/>
        <v>7.051110250441725E-2</v>
      </c>
      <c r="P271" s="111">
        <f t="shared" ca="1" si="152"/>
        <v>7.1391300770687283E-2</v>
      </c>
      <c r="Q271" s="111">
        <f t="shared" ca="1" si="152"/>
        <v>7.2327766402241339E-2</v>
      </c>
      <c r="R271" s="111">
        <f t="shared" ca="1" si="152"/>
        <v>7.33241181919978E-2</v>
      </c>
      <c r="S271" s="111">
        <f t="shared" ca="1" si="152"/>
        <v>7.4384208816900874E-2</v>
      </c>
      <c r="T271" s="111">
        <f t="shared" ca="1" si="152"/>
        <v>7.5512140013463319E-2</v>
      </c>
      <c r="U271" s="111">
        <f t="shared" ca="1" si="152"/>
        <v>7.6712278741054921E-2</v>
      </c>
      <c r="V271" s="111">
        <f t="shared" ca="1" si="152"/>
        <v>7.7989274397385511E-2</v>
      </c>
      <c r="W271" s="111">
        <f t="shared" ca="1" si="152"/>
        <v>7.9348077154845653E-2</v>
      </c>
      <c r="X271" s="111">
        <f t="shared" ca="1" si="152"/>
        <v>8.0793957490856647E-2</v>
      </c>
      <c r="Y271" s="111">
        <f t="shared" ca="1" si="152"/>
        <v>8.2332526990165425E-2</v>
      </c>
      <c r="Z271" s="111">
        <f t="shared" ca="1" si="152"/>
        <v>8.3969760502115715E-2</v>
      </c>
      <c r="AA271" s="111">
        <f t="shared" ca="1" si="152"/>
        <v>8.5712019741357712E-2</v>
      </c>
      <c r="AB271" s="111">
        <f t="shared" ca="1" si="152"/>
        <v>8.7566078426243935E-2</v>
      </c>
      <c r="AC271" s="111">
        <f t="shared" ca="1" si="152"/>
        <v>8.9539149055324077E-2</v>
      </c>
      <c r="AD271" s="111">
        <f t="shared" ca="1" si="152"/>
        <v>9.1638911428920097E-2</v>
      </c>
      <c r="AE271" s="111">
        <f t="shared" ca="1" si="152"/>
        <v>8.8165943805111321E-2</v>
      </c>
      <c r="AF271" s="111">
        <f t="shared" si="152"/>
        <v>0</v>
      </c>
      <c r="AG271" s="111">
        <f t="shared" si="152"/>
        <v>0</v>
      </c>
      <c r="AH271" s="111">
        <f t="shared" si="152"/>
        <v>0</v>
      </c>
      <c r="AI271" s="111">
        <f t="shared" si="152"/>
        <v>0</v>
      </c>
    </row>
    <row r="272" spans="1:35" x14ac:dyDescent="0.3">
      <c r="A272" s="8"/>
      <c r="B272" s="111" t="str">
        <f t="shared" si="146"/>
        <v>Interest Income on DSRA</v>
      </c>
      <c r="C272" s="238" t="s">
        <v>16</v>
      </c>
      <c r="D272" s="112">
        <f ca="1">SUMPRODUCT(E272:AI272,E$254:AI$254)/SUM(E$254:AI$254)</f>
        <v>0</v>
      </c>
      <c r="E272" s="111">
        <f t="shared" ref="E272:AI272" si="153">IF(E$158,E261/E$158*10,0)</f>
        <v>0</v>
      </c>
      <c r="F272" s="111">
        <f t="shared" ref="F272:AE272" ca="1" si="154">IF(F$158,F261/F$158*10,0)</f>
        <v>0</v>
      </c>
      <c r="G272" s="111">
        <f t="shared" ca="1" si="154"/>
        <v>0</v>
      </c>
      <c r="H272" s="111">
        <f t="shared" ca="1" si="154"/>
        <v>0</v>
      </c>
      <c r="I272" s="111">
        <f t="shared" ca="1" si="154"/>
        <v>0</v>
      </c>
      <c r="J272" s="111">
        <f t="shared" ca="1" si="154"/>
        <v>0</v>
      </c>
      <c r="K272" s="111">
        <f t="shared" ca="1" si="154"/>
        <v>0</v>
      </c>
      <c r="L272" s="111">
        <f t="shared" ca="1" si="154"/>
        <v>0</v>
      </c>
      <c r="M272" s="111">
        <f t="shared" ca="1" si="154"/>
        <v>0</v>
      </c>
      <c r="N272" s="111">
        <f t="shared" ca="1" si="154"/>
        <v>0</v>
      </c>
      <c r="O272" s="111">
        <f t="shared" ca="1" si="154"/>
        <v>0</v>
      </c>
      <c r="P272" s="111">
        <f t="shared" ca="1" si="154"/>
        <v>0</v>
      </c>
      <c r="Q272" s="111">
        <f t="shared" ca="1" si="154"/>
        <v>0</v>
      </c>
      <c r="R272" s="111">
        <f t="shared" ca="1" si="154"/>
        <v>0</v>
      </c>
      <c r="S272" s="111">
        <f t="shared" ca="1" si="154"/>
        <v>0</v>
      </c>
      <c r="T272" s="111">
        <f t="shared" ca="1" si="154"/>
        <v>0</v>
      </c>
      <c r="U272" s="111">
        <f t="shared" ca="1" si="154"/>
        <v>0</v>
      </c>
      <c r="V272" s="111">
        <f t="shared" ca="1" si="154"/>
        <v>0</v>
      </c>
      <c r="W272" s="111">
        <f t="shared" ca="1" si="154"/>
        <v>0</v>
      </c>
      <c r="X272" s="111">
        <f t="shared" ca="1" si="154"/>
        <v>0</v>
      </c>
      <c r="Y272" s="111">
        <f t="shared" ca="1" si="154"/>
        <v>0</v>
      </c>
      <c r="Z272" s="111">
        <f t="shared" ca="1" si="154"/>
        <v>0</v>
      </c>
      <c r="AA272" s="111">
        <f t="shared" ca="1" si="154"/>
        <v>0</v>
      </c>
      <c r="AB272" s="111">
        <f t="shared" ca="1" si="154"/>
        <v>0</v>
      </c>
      <c r="AC272" s="111">
        <f t="shared" ca="1" si="154"/>
        <v>0</v>
      </c>
      <c r="AD272" s="111">
        <f t="shared" ca="1" si="154"/>
        <v>0</v>
      </c>
      <c r="AE272" s="111">
        <f t="shared" ca="1" si="154"/>
        <v>0</v>
      </c>
      <c r="AF272" s="111">
        <f t="shared" si="153"/>
        <v>0</v>
      </c>
      <c r="AG272" s="111">
        <f t="shared" si="153"/>
        <v>0</v>
      </c>
      <c r="AH272" s="111">
        <f t="shared" si="153"/>
        <v>0</v>
      </c>
      <c r="AI272" s="111">
        <f t="shared" si="153"/>
        <v>0</v>
      </c>
    </row>
    <row r="273" spans="1:35" x14ac:dyDescent="0.3">
      <c r="A273" s="8"/>
      <c r="B273" s="111" t="str">
        <f t="shared" si="146"/>
        <v>BG cost for DSRA</v>
      </c>
      <c r="C273" s="238" t="s">
        <v>16</v>
      </c>
      <c r="D273" s="112">
        <f ca="1">SUMPRODUCT(E273:AI273,E$254:AI$254)/SUM(E$254:AI$254)</f>
        <v>0</v>
      </c>
      <c r="E273" s="111">
        <f t="shared" ref="E273:AI273" si="155">IF(E$158,E262/E$158*10,0)</f>
        <v>0</v>
      </c>
      <c r="F273" s="111">
        <f t="shared" ca="1" si="155"/>
        <v>0</v>
      </c>
      <c r="G273" s="111">
        <f t="shared" ca="1" si="155"/>
        <v>0</v>
      </c>
      <c r="H273" s="111">
        <f t="shared" ca="1" si="155"/>
        <v>0</v>
      </c>
      <c r="I273" s="111">
        <f t="shared" ca="1" si="155"/>
        <v>0</v>
      </c>
      <c r="J273" s="111">
        <f t="shared" ca="1" si="155"/>
        <v>0</v>
      </c>
      <c r="K273" s="111">
        <f t="shared" ca="1" si="155"/>
        <v>0</v>
      </c>
      <c r="L273" s="111">
        <f t="shared" ca="1" si="155"/>
        <v>0</v>
      </c>
      <c r="M273" s="111">
        <f t="shared" ca="1" si="155"/>
        <v>0</v>
      </c>
      <c r="N273" s="111">
        <f t="shared" ca="1" si="155"/>
        <v>0</v>
      </c>
      <c r="O273" s="111">
        <f t="shared" ca="1" si="155"/>
        <v>0</v>
      </c>
      <c r="P273" s="111">
        <f t="shared" ca="1" si="155"/>
        <v>0</v>
      </c>
      <c r="Q273" s="111">
        <f t="shared" ca="1" si="155"/>
        <v>0</v>
      </c>
      <c r="R273" s="111">
        <f t="shared" ca="1" si="155"/>
        <v>0</v>
      </c>
      <c r="S273" s="111">
        <f t="shared" ca="1" si="155"/>
        <v>0</v>
      </c>
      <c r="T273" s="111">
        <f t="shared" ca="1" si="155"/>
        <v>0</v>
      </c>
      <c r="U273" s="111">
        <f t="shared" ca="1" si="155"/>
        <v>0</v>
      </c>
      <c r="V273" s="111">
        <f t="shared" ca="1" si="155"/>
        <v>0</v>
      </c>
      <c r="W273" s="111">
        <f t="shared" ca="1" si="155"/>
        <v>0</v>
      </c>
      <c r="X273" s="111">
        <f t="shared" ca="1" si="155"/>
        <v>0</v>
      </c>
      <c r="Y273" s="111">
        <f t="shared" ca="1" si="155"/>
        <v>0</v>
      </c>
      <c r="Z273" s="111">
        <f t="shared" ca="1" si="155"/>
        <v>0</v>
      </c>
      <c r="AA273" s="111">
        <f t="shared" ca="1" si="155"/>
        <v>0</v>
      </c>
      <c r="AB273" s="111">
        <f t="shared" ca="1" si="155"/>
        <v>0</v>
      </c>
      <c r="AC273" s="111">
        <f t="shared" ca="1" si="155"/>
        <v>0</v>
      </c>
      <c r="AD273" s="111">
        <f t="shared" ca="1" si="155"/>
        <v>0</v>
      </c>
      <c r="AE273" s="111">
        <f t="shared" ca="1" si="155"/>
        <v>0</v>
      </c>
      <c r="AF273" s="111">
        <f t="shared" si="155"/>
        <v>0</v>
      </c>
      <c r="AG273" s="111">
        <f t="shared" si="155"/>
        <v>0</v>
      </c>
      <c r="AH273" s="111">
        <f t="shared" si="155"/>
        <v>0</v>
      </c>
      <c r="AI273" s="111">
        <f t="shared" si="155"/>
        <v>0</v>
      </c>
    </row>
    <row r="274" spans="1:35" x14ac:dyDescent="0.3">
      <c r="A274" s="8"/>
      <c r="B274" s="111" t="str">
        <f t="shared" si="146"/>
        <v>ROE</v>
      </c>
      <c r="C274" s="238" t="s">
        <v>16</v>
      </c>
      <c r="D274" s="112">
        <f ca="1">SUMPRODUCT(E274:AI274,E$254:AI$254)/SUM(E$254:AI$254)</f>
        <v>2.0722428978214724</v>
      </c>
      <c r="E274" s="111">
        <f t="shared" ref="E274:AI274" si="156">IF(E$158,E263/E$158*10,0)</f>
        <v>0</v>
      </c>
      <c r="F274" s="111">
        <f t="shared" ca="1" si="156"/>
        <v>1.8374262850084391</v>
      </c>
      <c r="G274" s="111">
        <f t="shared" ca="1" si="156"/>
        <v>1.8665637063073977</v>
      </c>
      <c r="H274" s="111">
        <f t="shared" ca="1" si="156"/>
        <v>1.8901910949948328</v>
      </c>
      <c r="I274" s="111">
        <f t="shared" ca="1" si="156"/>
        <v>1.9141175645517294</v>
      </c>
      <c r="J274" s="111">
        <f t="shared" ca="1" si="156"/>
        <v>1.9383469008118777</v>
      </c>
      <c r="K274" s="111">
        <f t="shared" ca="1" si="156"/>
        <v>1.9628829375310153</v>
      </c>
      <c r="L274" s="111">
        <f t="shared" ca="1" si="156"/>
        <v>1.9877295569934335</v>
      </c>
      <c r="M274" s="111">
        <f t="shared" ca="1" si="156"/>
        <v>2.0128906906262616</v>
      </c>
      <c r="N274" s="111">
        <f t="shared" ca="1" si="156"/>
        <v>2.0383703196215306</v>
      </c>
      <c r="O274" s="111">
        <f t="shared" ca="1" si="156"/>
        <v>2.0641724755661066</v>
      </c>
      <c r="P274" s="111">
        <f t="shared" ca="1" si="156"/>
        <v>2.0903012410796014</v>
      </c>
      <c r="Q274" s="111">
        <f t="shared" ca="1" si="156"/>
        <v>2.1167607504603558</v>
      </c>
      <c r="R274" s="111">
        <f t="shared" ca="1" si="156"/>
        <v>2.1435551903396006</v>
      </c>
      <c r="S274" s="111">
        <f t="shared" ca="1" si="156"/>
        <v>2.1706888003438993</v>
      </c>
      <c r="T274" s="111">
        <f t="shared" ca="1" si="156"/>
        <v>2.1981658737659742</v>
      </c>
      <c r="U274" s="111">
        <f t="shared" ca="1" si="156"/>
        <v>2.2259907582440244</v>
      </c>
      <c r="V274" s="111">
        <f t="shared" ca="1" si="156"/>
        <v>2.2541678564496448</v>
      </c>
      <c r="W274" s="111">
        <f t="shared" ca="1" si="156"/>
        <v>2.2827016267844504</v>
      </c>
      <c r="X274" s="111">
        <f t="shared" ca="1" si="156"/>
        <v>2.3115965840855193</v>
      </c>
      <c r="Y274" s="111">
        <f t="shared" ca="1" si="156"/>
        <v>2.3408573003397666</v>
      </c>
      <c r="Z274" s="111">
        <f t="shared" ca="1" si="156"/>
        <v>2.5175802500505839</v>
      </c>
      <c r="AA274" s="111">
        <f t="shared" ca="1" si="156"/>
        <v>2.549448354481604</v>
      </c>
      <c r="AB274" s="111">
        <f t="shared" ca="1" si="156"/>
        <v>2.5817198526395986</v>
      </c>
      <c r="AC274" s="111">
        <f t="shared" ca="1" si="156"/>
        <v>2.6143998507742765</v>
      </c>
      <c r="AD274" s="111">
        <f t="shared" ca="1" si="156"/>
        <v>2.6474935197714196</v>
      </c>
      <c r="AE274" s="111">
        <f t="shared" ca="1" si="156"/>
        <v>2.275459829375706</v>
      </c>
      <c r="AF274" s="111">
        <f t="shared" si="156"/>
        <v>0</v>
      </c>
      <c r="AG274" s="111">
        <f t="shared" si="156"/>
        <v>0</v>
      </c>
      <c r="AH274" s="111">
        <f t="shared" si="156"/>
        <v>0</v>
      </c>
      <c r="AI274" s="111">
        <f t="shared" si="156"/>
        <v>0</v>
      </c>
    </row>
    <row r="275" spans="1:35" x14ac:dyDescent="0.3">
      <c r="A275" s="8"/>
      <c r="B275" s="111" t="str">
        <f t="shared" si="146"/>
        <v>Acc Dep Benefits</v>
      </c>
      <c r="C275" s="238" t="s">
        <v>16</v>
      </c>
      <c r="D275" s="112">
        <f>SUMPRODUCT(E275:AI275,E$254:AI$254)/SUM(E$254:AI$254)</f>
        <v>0</v>
      </c>
      <c r="E275" s="111">
        <f t="shared" ref="E275:AI275" si="157">IF(E$158,E264/E$158*10,0)</f>
        <v>0</v>
      </c>
      <c r="F275" s="111">
        <f t="shared" si="157"/>
        <v>0</v>
      </c>
      <c r="G275" s="111">
        <f t="shared" si="157"/>
        <v>0</v>
      </c>
      <c r="H275" s="111">
        <f t="shared" si="157"/>
        <v>0</v>
      </c>
      <c r="I275" s="111">
        <f t="shared" si="157"/>
        <v>0</v>
      </c>
      <c r="J275" s="111">
        <f t="shared" si="157"/>
        <v>0</v>
      </c>
      <c r="K275" s="111">
        <f t="shared" si="157"/>
        <v>0</v>
      </c>
      <c r="L275" s="111">
        <f t="shared" si="157"/>
        <v>0</v>
      </c>
      <c r="M275" s="111">
        <f t="shared" si="157"/>
        <v>0</v>
      </c>
      <c r="N275" s="111">
        <f t="shared" si="157"/>
        <v>0</v>
      </c>
      <c r="O275" s="111">
        <f t="shared" si="157"/>
        <v>0</v>
      </c>
      <c r="P275" s="111">
        <f t="shared" si="157"/>
        <v>0</v>
      </c>
      <c r="Q275" s="111">
        <f t="shared" si="157"/>
        <v>0</v>
      </c>
      <c r="R275" s="111">
        <f t="shared" si="157"/>
        <v>0</v>
      </c>
      <c r="S275" s="111">
        <f t="shared" si="157"/>
        <v>0</v>
      </c>
      <c r="T275" s="111">
        <f t="shared" si="157"/>
        <v>0</v>
      </c>
      <c r="U275" s="111">
        <f t="shared" si="157"/>
        <v>0</v>
      </c>
      <c r="V275" s="111">
        <f t="shared" si="157"/>
        <v>0</v>
      </c>
      <c r="W275" s="111">
        <f t="shared" si="157"/>
        <v>0</v>
      </c>
      <c r="X275" s="111">
        <f t="shared" si="157"/>
        <v>0</v>
      </c>
      <c r="Y275" s="111">
        <f t="shared" si="157"/>
        <v>0</v>
      </c>
      <c r="Z275" s="111">
        <f t="shared" si="157"/>
        <v>0</v>
      </c>
      <c r="AA275" s="111">
        <f t="shared" si="157"/>
        <v>0</v>
      </c>
      <c r="AB275" s="111">
        <f t="shared" si="157"/>
        <v>0</v>
      </c>
      <c r="AC275" s="111">
        <f t="shared" si="157"/>
        <v>0</v>
      </c>
      <c r="AD275" s="111">
        <f t="shared" si="157"/>
        <v>0</v>
      </c>
      <c r="AE275" s="111">
        <f t="shared" si="157"/>
        <v>0</v>
      </c>
      <c r="AF275" s="111">
        <f t="shared" si="157"/>
        <v>0</v>
      </c>
      <c r="AG275" s="111">
        <f t="shared" si="157"/>
        <v>0</v>
      </c>
      <c r="AH275" s="111">
        <f t="shared" si="157"/>
        <v>0</v>
      </c>
      <c r="AI275" s="111">
        <f t="shared" si="157"/>
        <v>0</v>
      </c>
    </row>
    <row r="276" spans="1:35" x14ac:dyDescent="0.3">
      <c r="A276" s="8"/>
      <c r="B276" s="111" t="str">
        <f t="shared" si="146"/>
        <v>Total</v>
      </c>
      <c r="C276" s="238" t="s">
        <v>16</v>
      </c>
      <c r="D276" s="113">
        <f ca="1">SUMPRODUCT(E276:AI276,E$254:AI$254)/SUM(E$254:AI$254)</f>
        <v>5.2535517329743424</v>
      </c>
      <c r="E276" s="111">
        <f t="shared" ref="E276:AI276" si="158">IF(E$158,E265/E$158*10,0)</f>
        <v>0</v>
      </c>
      <c r="F276" s="111">
        <f t="shared" ca="1" si="158"/>
        <v>5.082108792126534</v>
      </c>
      <c r="G276" s="111">
        <f t="shared" ca="1" si="158"/>
        <v>5.515912617399799</v>
      </c>
      <c r="H276" s="111">
        <f t="shared" ca="1" si="158"/>
        <v>5.5023819596879839</v>
      </c>
      <c r="I276" s="111">
        <f t="shared" ca="1" si="158"/>
        <v>5.4887477807831395</v>
      </c>
      <c r="J276" s="111">
        <f t="shared" ca="1" si="158"/>
        <v>5.475081307355655</v>
      </c>
      <c r="K276" s="111">
        <f t="shared" ca="1" si="158"/>
        <v>5.4614602210447138</v>
      </c>
      <c r="L276" s="111">
        <f t="shared" ca="1" si="158"/>
        <v>5.4479691113450528</v>
      </c>
      <c r="M276" s="111">
        <f t="shared" ca="1" si="158"/>
        <v>5.4346999585154485</v>
      </c>
      <c r="N276" s="111">
        <f t="shared" ca="1" si="158"/>
        <v>5.4217526484750227</v>
      </c>
      <c r="O276" s="111">
        <f t="shared" ca="1" si="158"/>
        <v>5.4092355217819836</v>
      </c>
      <c r="P276" s="111">
        <f t="shared" ca="1" si="158"/>
        <v>5.3972659589264964</v>
      </c>
      <c r="Q276" s="111">
        <f t="shared" ca="1" si="158"/>
        <v>5.3859710043152127</v>
      </c>
      <c r="R276" s="111">
        <f t="shared" ca="1" si="158"/>
        <v>5.3754880314806108</v>
      </c>
      <c r="S276" s="111">
        <f t="shared" ca="1" si="158"/>
        <v>5.3659654522138815</v>
      </c>
      <c r="T276" s="111">
        <f t="shared" ca="1" si="158"/>
        <v>5.3575634724967145</v>
      </c>
      <c r="U276" s="111">
        <f t="shared" ca="1" si="158"/>
        <v>4.2089244376438746</v>
      </c>
      <c r="V276" s="111">
        <f t="shared" ca="1" si="158"/>
        <v>4.2822134137770611</v>
      </c>
      <c r="W276" s="111">
        <f t="shared" ca="1" si="158"/>
        <v>4.390880029329935</v>
      </c>
      <c r="X276" s="111">
        <f t="shared" ca="1" si="158"/>
        <v>4.5044642252874114</v>
      </c>
      <c r="Y276" s="111">
        <f t="shared" ca="1" si="158"/>
        <v>4.6232568252702952</v>
      </c>
      <c r="Z276" s="111">
        <f t="shared" ca="1" si="158"/>
        <v>4.8946589919248327</v>
      </c>
      <c r="AA276" s="111">
        <f t="shared" ca="1" si="158"/>
        <v>5.026677967762244</v>
      </c>
      <c r="AB276" s="111">
        <f t="shared" ca="1" si="158"/>
        <v>5.164917220685485</v>
      </c>
      <c r="AC276" s="111">
        <f t="shared" ca="1" si="158"/>
        <v>5.3097493510709501</v>
      </c>
      <c r="AD276" s="111">
        <f t="shared" ca="1" si="158"/>
        <v>5.4615707352044049</v>
      </c>
      <c r="AE276" s="111">
        <f t="shared" ca="1" si="158"/>
        <v>4.7753103152213185</v>
      </c>
      <c r="AF276" s="111">
        <f t="shared" si="158"/>
        <v>0</v>
      </c>
      <c r="AG276" s="111">
        <f t="shared" si="158"/>
        <v>0</v>
      </c>
      <c r="AH276" s="111">
        <f t="shared" si="158"/>
        <v>0</v>
      </c>
      <c r="AI276" s="111">
        <f t="shared" si="158"/>
        <v>0</v>
      </c>
    </row>
    <row r="277" spans="1:35" x14ac:dyDescent="0.3">
      <c r="A277" s="8"/>
      <c r="B277" s="302" t="s">
        <v>187</v>
      </c>
      <c r="C277" s="303" t="s">
        <v>16</v>
      </c>
      <c r="D277" s="306">
        <f ca="1">$D$276</f>
        <v>5.2535517329743424</v>
      </c>
      <c r="E277" s="302">
        <f t="shared" ref="E277:AI277" si="159">IF(E$4=1,$D$276,0)</f>
        <v>0</v>
      </c>
      <c r="F277" s="302">
        <f t="shared" ref="F277:AE277" ca="1" si="160">IF(F$4=1,$D$276,0)</f>
        <v>5.2535517329743424</v>
      </c>
      <c r="G277" s="302">
        <f t="shared" ca="1" si="160"/>
        <v>5.2535517329743424</v>
      </c>
      <c r="H277" s="302">
        <f t="shared" ca="1" si="160"/>
        <v>5.2535517329743424</v>
      </c>
      <c r="I277" s="302">
        <f t="shared" ca="1" si="160"/>
        <v>5.2535517329743424</v>
      </c>
      <c r="J277" s="302">
        <f t="shared" ca="1" si="160"/>
        <v>5.2535517329743424</v>
      </c>
      <c r="K277" s="302">
        <f t="shared" ca="1" si="160"/>
        <v>5.2535517329743424</v>
      </c>
      <c r="L277" s="302">
        <f t="shared" ca="1" si="160"/>
        <v>5.2535517329743424</v>
      </c>
      <c r="M277" s="302">
        <f t="shared" ca="1" si="160"/>
        <v>5.2535517329743424</v>
      </c>
      <c r="N277" s="302">
        <f t="shared" ca="1" si="160"/>
        <v>5.2535517329743424</v>
      </c>
      <c r="O277" s="302">
        <f t="shared" ca="1" si="160"/>
        <v>5.2535517329743424</v>
      </c>
      <c r="P277" s="302">
        <f t="shared" ca="1" si="160"/>
        <v>5.2535517329743424</v>
      </c>
      <c r="Q277" s="302">
        <f t="shared" ca="1" si="160"/>
        <v>5.2535517329743424</v>
      </c>
      <c r="R277" s="302">
        <f t="shared" ca="1" si="160"/>
        <v>5.2535517329743424</v>
      </c>
      <c r="S277" s="302">
        <f t="shared" ca="1" si="160"/>
        <v>5.2535517329743424</v>
      </c>
      <c r="T277" s="302">
        <f t="shared" ca="1" si="160"/>
        <v>5.2535517329743424</v>
      </c>
      <c r="U277" s="302">
        <f t="shared" ca="1" si="160"/>
        <v>5.2535517329743424</v>
      </c>
      <c r="V277" s="302">
        <f t="shared" ca="1" si="160"/>
        <v>5.2535517329743424</v>
      </c>
      <c r="W277" s="302">
        <f t="shared" ca="1" si="160"/>
        <v>5.2535517329743424</v>
      </c>
      <c r="X277" s="302">
        <f t="shared" ca="1" si="160"/>
        <v>5.2535517329743424</v>
      </c>
      <c r="Y277" s="302">
        <f t="shared" ca="1" si="160"/>
        <v>5.2535517329743424</v>
      </c>
      <c r="Z277" s="302">
        <f t="shared" ca="1" si="160"/>
        <v>5.2535517329743424</v>
      </c>
      <c r="AA277" s="302">
        <f t="shared" ca="1" si="160"/>
        <v>5.2535517329743424</v>
      </c>
      <c r="AB277" s="302">
        <f t="shared" ca="1" si="160"/>
        <v>5.2535517329743424</v>
      </c>
      <c r="AC277" s="302">
        <f t="shared" ca="1" si="160"/>
        <v>5.2535517329743424</v>
      </c>
      <c r="AD277" s="302">
        <f t="shared" ca="1" si="160"/>
        <v>5.2535517329743424</v>
      </c>
      <c r="AE277" s="302">
        <f t="shared" ca="1" si="160"/>
        <v>5.2535517329743424</v>
      </c>
      <c r="AF277" s="302">
        <f t="shared" si="159"/>
        <v>0</v>
      </c>
      <c r="AG277" s="302">
        <f t="shared" si="159"/>
        <v>0</v>
      </c>
      <c r="AH277" s="302">
        <f t="shared" si="159"/>
        <v>0</v>
      </c>
      <c r="AI277" s="302">
        <f t="shared" si="159"/>
        <v>0</v>
      </c>
    </row>
    <row r="278" spans="1:35" x14ac:dyDescent="0.3">
      <c r="A278" s="210" t="s">
        <v>232</v>
      </c>
      <c r="B278" s="178"/>
      <c r="C278" s="195"/>
      <c r="D278" s="211"/>
      <c r="E278" s="212"/>
      <c r="F278" s="212"/>
      <c r="G278" s="212"/>
      <c r="H278" s="212"/>
      <c r="I278" s="212"/>
      <c r="J278" s="212"/>
      <c r="K278" s="212"/>
      <c r="L278" s="212"/>
      <c r="M278" s="212"/>
      <c r="N278" s="212"/>
      <c r="O278" s="212"/>
      <c r="P278" s="212"/>
      <c r="Q278" s="212"/>
      <c r="R278" s="212"/>
      <c r="S278" s="212"/>
      <c r="T278" s="212"/>
      <c r="U278" s="211"/>
      <c r="V278" s="211"/>
      <c r="W278" s="211"/>
      <c r="X278" s="211"/>
      <c r="Y278" s="211"/>
      <c r="Z278" s="211"/>
      <c r="AA278" s="211"/>
      <c r="AB278" s="211"/>
      <c r="AC278" s="211"/>
      <c r="AD278" s="211"/>
      <c r="AE278" s="211"/>
      <c r="AF278" s="211"/>
      <c r="AG278" s="211"/>
      <c r="AH278" s="211"/>
      <c r="AI278" s="211"/>
    </row>
    <row r="279" spans="1:35" x14ac:dyDescent="0.3">
      <c r="B279" s="80" t="s">
        <v>233</v>
      </c>
      <c r="C279" s="202" t="s">
        <v>11</v>
      </c>
      <c r="E279" s="81">
        <f t="shared" ref="E279:AI279" ca="1" si="161">E329</f>
        <v>0</v>
      </c>
      <c r="F279" s="81">
        <f t="shared" ca="1" si="161"/>
        <v>34.343736541987695</v>
      </c>
      <c r="G279" s="81">
        <f t="shared" ca="1" si="161"/>
        <v>54.14317733078903</v>
      </c>
      <c r="H279" s="81">
        <f t="shared" ca="1" si="161"/>
        <v>54.704826098781886</v>
      </c>
      <c r="I279" s="81">
        <f t="shared" ca="1" si="161"/>
        <v>55.257224349338443</v>
      </c>
      <c r="J279" s="81">
        <f t="shared" ca="1" si="161"/>
        <v>55.798158065765939</v>
      </c>
      <c r="K279" s="81">
        <f t="shared" ca="1" si="161"/>
        <v>56.325321262792897</v>
      </c>
      <c r="L279" s="81">
        <f t="shared" ca="1" si="161"/>
        <v>56.836310955262817</v>
      </c>
      <c r="M279" s="81">
        <f t="shared" ca="1" si="161"/>
        <v>57.328621869005886</v>
      </c>
      <c r="N279" s="81">
        <f t="shared" ca="1" si="161"/>
        <v>57.79964088041632</v>
      </c>
      <c r="O279" s="81">
        <f t="shared" ca="1" si="161"/>
        <v>58.246641170561183</v>
      </c>
      <c r="P279" s="81">
        <f t="shared" ca="1" si="161"/>
        <v>58.666776078906231</v>
      </c>
      <c r="Q279" s="81">
        <f t="shared" ca="1" si="161"/>
        <v>59.057072640966368</v>
      </c>
      <c r="R279" s="81">
        <f t="shared" ca="1" si="161"/>
        <v>59.414424793369946</v>
      </c>
      <c r="S279" s="81">
        <f t="shared" ca="1" si="161"/>
        <v>59.73558622896428</v>
      </c>
      <c r="T279" s="81">
        <f t="shared" ca="1" si="161"/>
        <v>60.017162883682388</v>
      </c>
      <c r="U279" s="81">
        <f t="shared" ca="1" si="161"/>
        <v>92.56221787899122</v>
      </c>
      <c r="V279" s="81">
        <f t="shared" ca="1" si="161"/>
        <v>90.14443157327365</v>
      </c>
      <c r="W279" s="81">
        <f t="shared" ca="1" si="161"/>
        <v>86.806117264407746</v>
      </c>
      <c r="X279" s="81">
        <f t="shared" ca="1" si="161"/>
        <v>83.41300009264333</v>
      </c>
      <c r="Y279" s="81">
        <f t="shared" ca="1" si="161"/>
        <v>79.960820219942846</v>
      </c>
      <c r="Z279" s="81">
        <f t="shared" ca="1" si="161"/>
        <v>76.445116089173965</v>
      </c>
      <c r="AA279" s="81">
        <f t="shared" ca="1" si="161"/>
        <v>72.861213734710233</v>
      </c>
      <c r="AB279" s="81">
        <f t="shared" ca="1" si="161"/>
        <v>69.204215539670486</v>
      </c>
      <c r="AC279" s="81">
        <f t="shared" ca="1" si="161"/>
        <v>65.468988410896515</v>
      </c>
      <c r="AD279" s="81">
        <f t="shared" ca="1" si="161"/>
        <v>61.650151341258038</v>
      </c>
      <c r="AE279" s="81">
        <f t="shared" ca="1" si="161"/>
        <v>40.484652848316166</v>
      </c>
      <c r="AF279" s="81">
        <f t="shared" ca="1" si="161"/>
        <v>0</v>
      </c>
      <c r="AG279" s="81">
        <f t="shared" ca="1" si="161"/>
        <v>0</v>
      </c>
      <c r="AH279" s="81">
        <f t="shared" ca="1" si="161"/>
        <v>0</v>
      </c>
      <c r="AI279" s="81">
        <f t="shared" ca="1" si="161"/>
        <v>0</v>
      </c>
    </row>
    <row r="280" spans="1:35" x14ac:dyDescent="0.3">
      <c r="B280" s="80" t="s">
        <v>234</v>
      </c>
      <c r="C280" s="202" t="s">
        <v>11</v>
      </c>
      <c r="E280" s="8">
        <f t="shared" ref="E280" si="162">E322</f>
        <v>0</v>
      </c>
      <c r="F280" s="8">
        <f t="shared" ref="F280:AI280" ca="1" si="163">F322</f>
        <v>28.934333529846327</v>
      </c>
      <c r="G280" s="8">
        <f t="shared" ca="1" si="163"/>
        <v>58.027646914252252</v>
      </c>
      <c r="H280" s="8">
        <f t="shared" ca="1" si="163"/>
        <v>58.027646914252252</v>
      </c>
      <c r="I280" s="8">
        <f t="shared" ca="1" si="163"/>
        <v>58.027646914252252</v>
      </c>
      <c r="J280" s="8">
        <f t="shared" ca="1" si="163"/>
        <v>58.027646914252252</v>
      </c>
      <c r="K280" s="8">
        <f t="shared" ca="1" si="163"/>
        <v>58.027646914252252</v>
      </c>
      <c r="L280" s="8">
        <f t="shared" ca="1" si="163"/>
        <v>58.027646914252252</v>
      </c>
      <c r="M280" s="8">
        <f t="shared" ca="1" si="163"/>
        <v>58.027646914252252</v>
      </c>
      <c r="N280" s="8">
        <f t="shared" ca="1" si="163"/>
        <v>58.027646914252252</v>
      </c>
      <c r="O280" s="8">
        <f t="shared" ca="1" si="163"/>
        <v>58.027646914252252</v>
      </c>
      <c r="P280" s="8">
        <f t="shared" ca="1" si="163"/>
        <v>58.027646914252252</v>
      </c>
      <c r="Q280" s="8">
        <f t="shared" ca="1" si="163"/>
        <v>58.027646914252252</v>
      </c>
      <c r="R280" s="8">
        <f t="shared" ca="1" si="163"/>
        <v>58.027646914252252</v>
      </c>
      <c r="S280" s="8">
        <f t="shared" ca="1" si="163"/>
        <v>58.027646914252252</v>
      </c>
      <c r="T280" s="8">
        <f t="shared" ca="1" si="163"/>
        <v>58.027646914252252</v>
      </c>
      <c r="U280" s="8">
        <f t="shared" ca="1" si="163"/>
        <v>24.851240648502035</v>
      </c>
      <c r="V280" s="8">
        <f t="shared" ca="1" si="163"/>
        <v>24.851240648502035</v>
      </c>
      <c r="W280" s="8">
        <f t="shared" ca="1" si="163"/>
        <v>24.851240648502035</v>
      </c>
      <c r="X280" s="8">
        <f t="shared" ca="1" si="163"/>
        <v>24.851240648502035</v>
      </c>
      <c r="Y280" s="8">
        <f t="shared" ca="1" si="163"/>
        <v>24.851240648502035</v>
      </c>
      <c r="Z280" s="8">
        <f t="shared" ca="1" si="163"/>
        <v>24.851240648502035</v>
      </c>
      <c r="AA280" s="8">
        <f t="shared" ca="1" si="163"/>
        <v>24.851240648502035</v>
      </c>
      <c r="AB280" s="8">
        <f t="shared" ca="1" si="163"/>
        <v>24.851240648502035</v>
      </c>
      <c r="AC280" s="8">
        <f t="shared" ca="1" si="163"/>
        <v>24.851240648502035</v>
      </c>
      <c r="AD280" s="8">
        <f t="shared" ca="1" si="163"/>
        <v>24.851240648502035</v>
      </c>
      <c r="AE280" s="8">
        <f t="shared" ca="1" si="163"/>
        <v>12.425620324251017</v>
      </c>
      <c r="AF280" s="8">
        <f t="shared" si="163"/>
        <v>0</v>
      </c>
      <c r="AG280" s="8">
        <f t="shared" si="163"/>
        <v>0</v>
      </c>
      <c r="AH280" s="8">
        <f t="shared" si="163"/>
        <v>0</v>
      </c>
      <c r="AI280" s="8">
        <f t="shared" si="163"/>
        <v>0</v>
      </c>
    </row>
    <row r="281" spans="1:35" x14ac:dyDescent="0.3">
      <c r="B281" s="80" t="s">
        <v>235</v>
      </c>
      <c r="C281" s="202" t="s">
        <v>11</v>
      </c>
      <c r="E281" s="8">
        <f t="shared" ref="E281:AI281" si="164">E123</f>
        <v>0</v>
      </c>
      <c r="F281" s="8">
        <f t="shared" ref="F281:AE281" ca="1" si="165">F123</f>
        <v>95.55302029349032</v>
      </c>
      <c r="G281" s="8">
        <f t="shared" ca="1" si="165"/>
        <v>95.55302029349032</v>
      </c>
      <c r="H281" s="8">
        <f t="shared" ca="1" si="165"/>
        <v>95.55302029349032</v>
      </c>
      <c r="I281" s="8">
        <f t="shared" ca="1" si="165"/>
        <v>95.55302029349032</v>
      </c>
      <c r="J281" s="8">
        <f t="shared" ca="1" si="165"/>
        <v>95.55302029349032</v>
      </c>
      <c r="K281" s="8">
        <f t="shared" ca="1" si="165"/>
        <v>95.55302029349032</v>
      </c>
      <c r="L281" s="8">
        <f t="shared" ca="1" si="165"/>
        <v>95.55302029349032</v>
      </c>
      <c r="M281" s="8">
        <f t="shared" ca="1" si="165"/>
        <v>95.55302029349032</v>
      </c>
      <c r="N281" s="8">
        <f t="shared" ca="1" si="165"/>
        <v>95.55302029349032</v>
      </c>
      <c r="O281" s="8">
        <f t="shared" ca="1" si="165"/>
        <v>95.55302029349032</v>
      </c>
      <c r="P281" s="8">
        <f t="shared" ca="1" si="165"/>
        <v>95.55302029349032</v>
      </c>
      <c r="Q281" s="8">
        <f t="shared" ca="1" si="165"/>
        <v>95.55302029349032</v>
      </c>
      <c r="R281" s="8">
        <f t="shared" ca="1" si="165"/>
        <v>95.55302029349032</v>
      </c>
      <c r="S281" s="8">
        <f t="shared" ca="1" si="165"/>
        <v>0</v>
      </c>
      <c r="T281" s="8">
        <f t="shared" ca="1" si="165"/>
        <v>0</v>
      </c>
      <c r="U281" s="8">
        <f t="shared" ca="1" si="165"/>
        <v>0</v>
      </c>
      <c r="V281" s="8">
        <f t="shared" ca="1" si="165"/>
        <v>0</v>
      </c>
      <c r="W281" s="8">
        <f t="shared" ca="1" si="165"/>
        <v>0</v>
      </c>
      <c r="X281" s="8">
        <f t="shared" ca="1" si="165"/>
        <v>0</v>
      </c>
      <c r="Y281" s="8">
        <f t="shared" ca="1" si="165"/>
        <v>0</v>
      </c>
      <c r="Z281" s="8">
        <f t="shared" ca="1" si="165"/>
        <v>0</v>
      </c>
      <c r="AA281" s="8">
        <f t="shared" ca="1" si="165"/>
        <v>0</v>
      </c>
      <c r="AB281" s="8">
        <f t="shared" ca="1" si="165"/>
        <v>0</v>
      </c>
      <c r="AC281" s="8">
        <f t="shared" ca="1" si="165"/>
        <v>0</v>
      </c>
      <c r="AD281" s="8">
        <f t="shared" ca="1" si="165"/>
        <v>0</v>
      </c>
      <c r="AE281" s="8">
        <f t="shared" ca="1" si="165"/>
        <v>0</v>
      </c>
      <c r="AF281" s="8">
        <f t="shared" si="164"/>
        <v>0</v>
      </c>
      <c r="AG281" s="8">
        <f t="shared" si="164"/>
        <v>0</v>
      </c>
      <c r="AH281" s="8">
        <f t="shared" si="164"/>
        <v>0</v>
      </c>
      <c r="AI281" s="8">
        <f t="shared" si="164"/>
        <v>0</v>
      </c>
    </row>
    <row r="282" spans="1:35" x14ac:dyDescent="0.3">
      <c r="B282" s="80" t="s">
        <v>236</v>
      </c>
      <c r="C282" s="239"/>
      <c r="E282" s="8">
        <f t="shared" ref="E282:AI282" ca="1" si="166">E279+E280-E281</f>
        <v>0</v>
      </c>
      <c r="F282" s="8">
        <f t="shared" ca="1" si="166"/>
        <v>-32.274950221656297</v>
      </c>
      <c r="G282" s="8">
        <f t="shared" ca="1" si="166"/>
        <v>16.617803951550954</v>
      </c>
      <c r="H282" s="8">
        <f t="shared" ca="1" si="166"/>
        <v>17.179452719543818</v>
      </c>
      <c r="I282" s="8">
        <f t="shared" ca="1" si="166"/>
        <v>17.731850970100382</v>
      </c>
      <c r="J282" s="8">
        <f t="shared" ca="1" si="166"/>
        <v>18.272784686527871</v>
      </c>
      <c r="K282" s="8">
        <f t="shared" ca="1" si="166"/>
        <v>18.799947883554822</v>
      </c>
      <c r="L282" s="8">
        <f t="shared" ca="1" si="166"/>
        <v>19.310937576024756</v>
      </c>
      <c r="M282" s="8">
        <f t="shared" ca="1" si="166"/>
        <v>19.803248489767824</v>
      </c>
      <c r="N282" s="8">
        <f t="shared" ca="1" si="166"/>
        <v>20.274267501178244</v>
      </c>
      <c r="O282" s="8">
        <f t="shared" ca="1" si="166"/>
        <v>20.721267791323115</v>
      </c>
      <c r="P282" s="8">
        <f t="shared" ca="1" si="166"/>
        <v>21.141402699668163</v>
      </c>
      <c r="Q282" s="8">
        <f t="shared" ca="1" si="166"/>
        <v>21.531699261728292</v>
      </c>
      <c r="R282" s="8">
        <f t="shared" ca="1" si="166"/>
        <v>21.889051414131885</v>
      </c>
      <c r="S282" s="8">
        <f t="shared" ca="1" si="166"/>
        <v>117.76323314321652</v>
      </c>
      <c r="T282" s="8">
        <f t="shared" ca="1" si="166"/>
        <v>118.04480979793465</v>
      </c>
      <c r="U282" s="8">
        <f t="shared" ca="1" si="166"/>
        <v>117.41345852749325</v>
      </c>
      <c r="V282" s="8">
        <f t="shared" ca="1" si="166"/>
        <v>114.99567222177569</v>
      </c>
      <c r="W282" s="8">
        <f t="shared" ca="1" si="166"/>
        <v>111.65735791290979</v>
      </c>
      <c r="X282" s="8">
        <f t="shared" ca="1" si="166"/>
        <v>108.26424074114536</v>
      </c>
      <c r="Y282" s="8">
        <f t="shared" ca="1" si="166"/>
        <v>104.81206086844489</v>
      </c>
      <c r="Z282" s="8">
        <f t="shared" ca="1" si="166"/>
        <v>101.29635673767601</v>
      </c>
      <c r="AA282" s="8">
        <f t="shared" ca="1" si="166"/>
        <v>97.712454383212275</v>
      </c>
      <c r="AB282" s="8">
        <f t="shared" ca="1" si="166"/>
        <v>94.055456188172514</v>
      </c>
      <c r="AC282" s="8">
        <f t="shared" ca="1" si="166"/>
        <v>90.320229059398542</v>
      </c>
      <c r="AD282" s="8">
        <f t="shared" ca="1" si="166"/>
        <v>86.501391989760066</v>
      </c>
      <c r="AE282" s="8">
        <f t="shared" ca="1" si="166"/>
        <v>52.910273172567187</v>
      </c>
      <c r="AF282" s="8">
        <f t="shared" ca="1" si="166"/>
        <v>0</v>
      </c>
      <c r="AG282" s="8">
        <f t="shared" ca="1" si="166"/>
        <v>0</v>
      </c>
      <c r="AH282" s="8">
        <f t="shared" ca="1" si="166"/>
        <v>0</v>
      </c>
      <c r="AI282" s="8">
        <f t="shared" ca="1" si="166"/>
        <v>0</v>
      </c>
    </row>
    <row r="283" spans="1:35" x14ac:dyDescent="0.3">
      <c r="B283" s="80"/>
      <c r="C283" s="239"/>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spans="1:35" x14ac:dyDescent="0.3">
      <c r="A284" s="240" t="s">
        <v>237</v>
      </c>
      <c r="B284" s="80"/>
      <c r="C284" s="239"/>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spans="1:35" x14ac:dyDescent="0.3">
      <c r="B285" s="240" t="s">
        <v>238</v>
      </c>
      <c r="C285" s="239"/>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spans="1:35" x14ac:dyDescent="0.3">
      <c r="B286" s="80" t="s">
        <v>138</v>
      </c>
      <c r="C286" s="202" t="s">
        <v>11</v>
      </c>
      <c r="E286" s="8">
        <f t="shared" ref="E286" si="167">D289</f>
        <v>0</v>
      </c>
      <c r="F286" s="8">
        <f t="shared" ref="F286:AI286" ca="1" si="168">E289</f>
        <v>0</v>
      </c>
      <c r="G286" s="8">
        <f t="shared" ca="1" si="168"/>
        <v>32.274950221656297</v>
      </c>
      <c r="H286" s="8">
        <f t="shared" ca="1" si="168"/>
        <v>15.657146270105343</v>
      </c>
      <c r="I286" s="8">
        <f t="shared" ca="1" si="168"/>
        <v>0</v>
      </c>
      <c r="J286" s="8">
        <f t="shared" ca="1" si="168"/>
        <v>0</v>
      </c>
      <c r="K286" s="8">
        <f t="shared" ca="1" si="168"/>
        <v>0</v>
      </c>
      <c r="L286" s="8">
        <f t="shared" ca="1" si="168"/>
        <v>0</v>
      </c>
      <c r="M286" s="8">
        <f t="shared" ca="1" si="168"/>
        <v>0</v>
      </c>
      <c r="N286" s="8">
        <f t="shared" ca="1" si="168"/>
        <v>0</v>
      </c>
      <c r="O286" s="8">
        <f t="shared" ca="1" si="168"/>
        <v>0</v>
      </c>
      <c r="P286" s="8">
        <f t="shared" ca="1" si="168"/>
        <v>0</v>
      </c>
      <c r="Q286" s="8">
        <f t="shared" ca="1" si="168"/>
        <v>0</v>
      </c>
      <c r="R286" s="8">
        <f t="shared" ca="1" si="168"/>
        <v>0</v>
      </c>
      <c r="S286" s="8">
        <f t="shared" ca="1" si="168"/>
        <v>0</v>
      </c>
      <c r="T286" s="8">
        <f t="shared" ca="1" si="168"/>
        <v>0</v>
      </c>
      <c r="U286" s="8">
        <f t="shared" ca="1" si="168"/>
        <v>0</v>
      </c>
      <c r="V286" s="8">
        <f t="shared" ca="1" si="168"/>
        <v>0</v>
      </c>
      <c r="W286" s="8">
        <f t="shared" ca="1" si="168"/>
        <v>0</v>
      </c>
      <c r="X286" s="8">
        <f t="shared" ca="1" si="168"/>
        <v>0</v>
      </c>
      <c r="Y286" s="8">
        <f t="shared" ca="1" si="168"/>
        <v>0</v>
      </c>
      <c r="Z286" s="8">
        <f t="shared" ca="1" si="168"/>
        <v>0</v>
      </c>
      <c r="AA286" s="8">
        <f t="shared" ca="1" si="168"/>
        <v>0</v>
      </c>
      <c r="AB286" s="8">
        <f t="shared" ca="1" si="168"/>
        <v>0</v>
      </c>
      <c r="AC286" s="8">
        <f t="shared" ca="1" si="168"/>
        <v>0</v>
      </c>
      <c r="AD286" s="8">
        <f t="shared" ca="1" si="168"/>
        <v>0</v>
      </c>
      <c r="AE286" s="8">
        <f t="shared" ca="1" si="168"/>
        <v>0</v>
      </c>
      <c r="AF286" s="8">
        <f t="shared" ca="1" si="168"/>
        <v>0</v>
      </c>
      <c r="AG286" s="8">
        <f t="shared" ca="1" si="168"/>
        <v>0</v>
      </c>
      <c r="AH286" s="8">
        <f t="shared" ca="1" si="168"/>
        <v>0</v>
      </c>
      <c r="AI286" s="8">
        <f t="shared" ca="1" si="168"/>
        <v>0</v>
      </c>
    </row>
    <row r="287" spans="1:35" x14ac:dyDescent="0.3">
      <c r="B287" s="80" t="s">
        <v>137</v>
      </c>
      <c r="C287" s="202" t="s">
        <v>11</v>
      </c>
      <c r="E287" s="8">
        <f t="shared" ref="E287:AI287" ca="1" si="169">IF(E282&lt;0,MIN(-E282,E281),0)</f>
        <v>0</v>
      </c>
      <c r="F287" s="8">
        <f t="shared" ca="1" si="169"/>
        <v>32.274950221656297</v>
      </c>
      <c r="G287" s="8">
        <f t="shared" ca="1" si="169"/>
        <v>0</v>
      </c>
      <c r="H287" s="8">
        <f t="shared" ca="1" si="169"/>
        <v>0</v>
      </c>
      <c r="I287" s="8">
        <f t="shared" ca="1" si="169"/>
        <v>0</v>
      </c>
      <c r="J287" s="8">
        <f t="shared" ca="1" si="169"/>
        <v>0</v>
      </c>
      <c r="K287" s="8">
        <f t="shared" ca="1" si="169"/>
        <v>0</v>
      </c>
      <c r="L287" s="8">
        <f t="shared" ca="1" si="169"/>
        <v>0</v>
      </c>
      <c r="M287" s="8">
        <f t="shared" ca="1" si="169"/>
        <v>0</v>
      </c>
      <c r="N287" s="8">
        <f t="shared" ca="1" si="169"/>
        <v>0</v>
      </c>
      <c r="O287" s="8">
        <f t="shared" ca="1" si="169"/>
        <v>0</v>
      </c>
      <c r="P287" s="8">
        <f t="shared" ca="1" si="169"/>
        <v>0</v>
      </c>
      <c r="Q287" s="8">
        <f t="shared" ca="1" si="169"/>
        <v>0</v>
      </c>
      <c r="R287" s="8">
        <f t="shared" ca="1" si="169"/>
        <v>0</v>
      </c>
      <c r="S287" s="8">
        <f t="shared" ca="1" si="169"/>
        <v>0</v>
      </c>
      <c r="T287" s="8">
        <f t="shared" ca="1" si="169"/>
        <v>0</v>
      </c>
      <c r="U287" s="8">
        <f t="shared" ca="1" si="169"/>
        <v>0</v>
      </c>
      <c r="V287" s="8">
        <f t="shared" ca="1" si="169"/>
        <v>0</v>
      </c>
      <c r="W287" s="8">
        <f t="shared" ca="1" si="169"/>
        <v>0</v>
      </c>
      <c r="X287" s="8">
        <f t="shared" ca="1" si="169"/>
        <v>0</v>
      </c>
      <c r="Y287" s="8">
        <f t="shared" ca="1" si="169"/>
        <v>0</v>
      </c>
      <c r="Z287" s="8">
        <f t="shared" ca="1" si="169"/>
        <v>0</v>
      </c>
      <c r="AA287" s="8">
        <f t="shared" ca="1" si="169"/>
        <v>0</v>
      </c>
      <c r="AB287" s="8">
        <f t="shared" ca="1" si="169"/>
        <v>0</v>
      </c>
      <c r="AC287" s="8">
        <f t="shared" ca="1" si="169"/>
        <v>0</v>
      </c>
      <c r="AD287" s="8">
        <f t="shared" ca="1" si="169"/>
        <v>0</v>
      </c>
      <c r="AE287" s="8">
        <f t="shared" ca="1" si="169"/>
        <v>0</v>
      </c>
      <c r="AF287" s="8">
        <f t="shared" ca="1" si="169"/>
        <v>0</v>
      </c>
      <c r="AG287" s="8">
        <f t="shared" ca="1" si="169"/>
        <v>0</v>
      </c>
      <c r="AH287" s="8">
        <f t="shared" ca="1" si="169"/>
        <v>0</v>
      </c>
      <c r="AI287" s="8">
        <f t="shared" ca="1" si="169"/>
        <v>0</v>
      </c>
    </row>
    <row r="288" spans="1:35" x14ac:dyDescent="0.3">
      <c r="B288" s="80" t="s">
        <v>239</v>
      </c>
      <c r="C288" s="202" t="s">
        <v>11</v>
      </c>
      <c r="E288" s="8">
        <f t="shared" ref="E288:AI288" ca="1" si="170">IF(E282&gt;0,MIN(E282,E286),0)</f>
        <v>0</v>
      </c>
      <c r="F288" s="8">
        <f t="shared" ca="1" si="170"/>
        <v>0</v>
      </c>
      <c r="G288" s="8">
        <f t="shared" ca="1" si="170"/>
        <v>16.617803951550954</v>
      </c>
      <c r="H288" s="8">
        <f t="shared" ca="1" si="170"/>
        <v>15.657146270105343</v>
      </c>
      <c r="I288" s="8">
        <f t="shared" ca="1" si="170"/>
        <v>0</v>
      </c>
      <c r="J288" s="8">
        <f t="shared" ca="1" si="170"/>
        <v>0</v>
      </c>
      <c r="K288" s="8">
        <f t="shared" ca="1" si="170"/>
        <v>0</v>
      </c>
      <c r="L288" s="8">
        <f t="shared" ca="1" si="170"/>
        <v>0</v>
      </c>
      <c r="M288" s="8">
        <f t="shared" ca="1" si="170"/>
        <v>0</v>
      </c>
      <c r="N288" s="8">
        <f t="shared" ca="1" si="170"/>
        <v>0</v>
      </c>
      <c r="O288" s="8">
        <f t="shared" ca="1" si="170"/>
        <v>0</v>
      </c>
      <c r="P288" s="8">
        <f t="shared" ca="1" si="170"/>
        <v>0</v>
      </c>
      <c r="Q288" s="8">
        <f t="shared" ca="1" si="170"/>
        <v>0</v>
      </c>
      <c r="R288" s="8">
        <f t="shared" ca="1" si="170"/>
        <v>0</v>
      </c>
      <c r="S288" s="8">
        <f t="shared" ca="1" si="170"/>
        <v>0</v>
      </c>
      <c r="T288" s="8">
        <f t="shared" ca="1" si="170"/>
        <v>0</v>
      </c>
      <c r="U288" s="8">
        <f t="shared" ca="1" si="170"/>
        <v>0</v>
      </c>
      <c r="V288" s="8">
        <f t="shared" ca="1" si="170"/>
        <v>0</v>
      </c>
      <c r="W288" s="8">
        <f t="shared" ca="1" si="170"/>
        <v>0</v>
      </c>
      <c r="X288" s="8">
        <f t="shared" ca="1" si="170"/>
        <v>0</v>
      </c>
      <c r="Y288" s="8">
        <f t="shared" ca="1" si="170"/>
        <v>0</v>
      </c>
      <c r="Z288" s="8">
        <f t="shared" ca="1" si="170"/>
        <v>0</v>
      </c>
      <c r="AA288" s="8">
        <f t="shared" ca="1" si="170"/>
        <v>0</v>
      </c>
      <c r="AB288" s="8">
        <f t="shared" ca="1" si="170"/>
        <v>0</v>
      </c>
      <c r="AC288" s="8">
        <f t="shared" ca="1" si="170"/>
        <v>0</v>
      </c>
      <c r="AD288" s="8">
        <f t="shared" ca="1" si="170"/>
        <v>0</v>
      </c>
      <c r="AE288" s="8">
        <f t="shared" ca="1" si="170"/>
        <v>0</v>
      </c>
      <c r="AF288" s="8">
        <f t="shared" ca="1" si="170"/>
        <v>0</v>
      </c>
      <c r="AG288" s="8">
        <f t="shared" ca="1" si="170"/>
        <v>0</v>
      </c>
      <c r="AH288" s="8">
        <f t="shared" ca="1" si="170"/>
        <v>0</v>
      </c>
      <c r="AI288" s="8">
        <f t="shared" ca="1" si="170"/>
        <v>0</v>
      </c>
    </row>
    <row r="289" spans="1:35" x14ac:dyDescent="0.3">
      <c r="B289" s="80" t="s">
        <v>135</v>
      </c>
      <c r="C289" s="202" t="s">
        <v>11</v>
      </c>
      <c r="E289" s="8">
        <f t="shared" ref="E289:AI289" ca="1" si="171">E286+E287-E288</f>
        <v>0</v>
      </c>
      <c r="F289" s="8">
        <f t="shared" ca="1" si="171"/>
        <v>32.274950221656297</v>
      </c>
      <c r="G289" s="8">
        <f t="shared" ca="1" si="171"/>
        <v>15.657146270105343</v>
      </c>
      <c r="H289" s="8">
        <f t="shared" ca="1" si="171"/>
        <v>0</v>
      </c>
      <c r="I289" s="8">
        <f t="shared" ca="1" si="171"/>
        <v>0</v>
      </c>
      <c r="J289" s="8">
        <f t="shared" ca="1" si="171"/>
        <v>0</v>
      </c>
      <c r="K289" s="8">
        <f t="shared" ca="1" si="171"/>
        <v>0</v>
      </c>
      <c r="L289" s="8">
        <f t="shared" ca="1" si="171"/>
        <v>0</v>
      </c>
      <c r="M289" s="8">
        <f t="shared" ca="1" si="171"/>
        <v>0</v>
      </c>
      <c r="N289" s="8">
        <f t="shared" ca="1" si="171"/>
        <v>0</v>
      </c>
      <c r="O289" s="8">
        <f t="shared" ca="1" si="171"/>
        <v>0</v>
      </c>
      <c r="P289" s="8">
        <f t="shared" ca="1" si="171"/>
        <v>0</v>
      </c>
      <c r="Q289" s="8">
        <f t="shared" ca="1" si="171"/>
        <v>0</v>
      </c>
      <c r="R289" s="8">
        <f t="shared" ca="1" si="171"/>
        <v>0</v>
      </c>
      <c r="S289" s="8">
        <f t="shared" ca="1" si="171"/>
        <v>0</v>
      </c>
      <c r="T289" s="8">
        <f t="shared" ca="1" si="171"/>
        <v>0</v>
      </c>
      <c r="U289" s="8">
        <f t="shared" ca="1" si="171"/>
        <v>0</v>
      </c>
      <c r="V289" s="8">
        <f t="shared" ca="1" si="171"/>
        <v>0</v>
      </c>
      <c r="W289" s="8">
        <f t="shared" ca="1" si="171"/>
        <v>0</v>
      </c>
      <c r="X289" s="8">
        <f t="shared" ca="1" si="171"/>
        <v>0</v>
      </c>
      <c r="Y289" s="8">
        <f t="shared" ca="1" si="171"/>
        <v>0</v>
      </c>
      <c r="Z289" s="8">
        <f t="shared" ca="1" si="171"/>
        <v>0</v>
      </c>
      <c r="AA289" s="8">
        <f t="shared" ca="1" si="171"/>
        <v>0</v>
      </c>
      <c r="AB289" s="8">
        <f t="shared" ca="1" si="171"/>
        <v>0</v>
      </c>
      <c r="AC289" s="8">
        <f t="shared" ca="1" si="171"/>
        <v>0</v>
      </c>
      <c r="AD289" s="8">
        <f t="shared" ca="1" si="171"/>
        <v>0</v>
      </c>
      <c r="AE289" s="8">
        <f t="shared" ca="1" si="171"/>
        <v>0</v>
      </c>
      <c r="AF289" s="8">
        <f t="shared" ca="1" si="171"/>
        <v>0</v>
      </c>
      <c r="AG289" s="8">
        <f t="shared" ca="1" si="171"/>
        <v>0</v>
      </c>
      <c r="AH289" s="8">
        <f t="shared" ca="1" si="171"/>
        <v>0</v>
      </c>
      <c r="AI289" s="8">
        <f t="shared" ca="1" si="171"/>
        <v>0</v>
      </c>
    </row>
    <row r="290" spans="1:35" x14ac:dyDescent="0.3">
      <c r="B290" s="80"/>
      <c r="C290" s="239"/>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spans="1:35" x14ac:dyDescent="0.3">
      <c r="B291" s="80" t="s">
        <v>240</v>
      </c>
      <c r="C291" s="202" t="s">
        <v>11</v>
      </c>
      <c r="E291" s="8">
        <f t="shared" ref="E291:AI291" ca="1" si="172">E282-E288</f>
        <v>0</v>
      </c>
      <c r="F291" s="8">
        <f t="shared" ca="1" si="172"/>
        <v>-32.274950221656297</v>
      </c>
      <c r="G291" s="8">
        <f t="shared" ca="1" si="172"/>
        <v>0</v>
      </c>
      <c r="H291" s="8">
        <f t="shared" ca="1" si="172"/>
        <v>1.5223064494384744</v>
      </c>
      <c r="I291" s="8">
        <f t="shared" ca="1" si="172"/>
        <v>17.731850970100382</v>
      </c>
      <c r="J291" s="8">
        <f t="shared" ca="1" si="172"/>
        <v>18.272784686527871</v>
      </c>
      <c r="K291" s="8">
        <f t="shared" ca="1" si="172"/>
        <v>18.799947883554822</v>
      </c>
      <c r="L291" s="8">
        <f t="shared" ca="1" si="172"/>
        <v>19.310937576024756</v>
      </c>
      <c r="M291" s="8">
        <f t="shared" ca="1" si="172"/>
        <v>19.803248489767824</v>
      </c>
      <c r="N291" s="8">
        <f t="shared" ca="1" si="172"/>
        <v>20.274267501178244</v>
      </c>
      <c r="O291" s="8">
        <f t="shared" ca="1" si="172"/>
        <v>20.721267791323115</v>
      </c>
      <c r="P291" s="8">
        <f t="shared" ca="1" si="172"/>
        <v>21.141402699668163</v>
      </c>
      <c r="Q291" s="8">
        <f t="shared" ca="1" si="172"/>
        <v>21.531699261728292</v>
      </c>
      <c r="R291" s="8">
        <f t="shared" ca="1" si="172"/>
        <v>21.889051414131885</v>
      </c>
      <c r="S291" s="8">
        <f t="shared" ca="1" si="172"/>
        <v>117.76323314321652</v>
      </c>
      <c r="T291" s="8">
        <f t="shared" ca="1" si="172"/>
        <v>118.04480979793465</v>
      </c>
      <c r="U291" s="8">
        <f t="shared" ca="1" si="172"/>
        <v>117.41345852749325</v>
      </c>
      <c r="V291" s="8">
        <f t="shared" ca="1" si="172"/>
        <v>114.99567222177569</v>
      </c>
      <c r="W291" s="8">
        <f t="shared" ca="1" si="172"/>
        <v>111.65735791290979</v>
      </c>
      <c r="X291" s="8">
        <f t="shared" ca="1" si="172"/>
        <v>108.26424074114536</v>
      </c>
      <c r="Y291" s="8">
        <f t="shared" ca="1" si="172"/>
        <v>104.81206086844489</v>
      </c>
      <c r="Z291" s="8">
        <f t="shared" ca="1" si="172"/>
        <v>101.29635673767601</v>
      </c>
      <c r="AA291" s="8">
        <f t="shared" ca="1" si="172"/>
        <v>97.712454383212275</v>
      </c>
      <c r="AB291" s="8">
        <f t="shared" ca="1" si="172"/>
        <v>94.055456188172514</v>
      </c>
      <c r="AC291" s="8">
        <f t="shared" ca="1" si="172"/>
        <v>90.320229059398542</v>
      </c>
      <c r="AD291" s="8">
        <f t="shared" ca="1" si="172"/>
        <v>86.501391989760066</v>
      </c>
      <c r="AE291" s="8">
        <f t="shared" ca="1" si="172"/>
        <v>52.910273172567187</v>
      </c>
      <c r="AF291" s="8">
        <f t="shared" ca="1" si="172"/>
        <v>0</v>
      </c>
      <c r="AG291" s="8">
        <f t="shared" ca="1" si="172"/>
        <v>0</v>
      </c>
      <c r="AH291" s="8">
        <f t="shared" ca="1" si="172"/>
        <v>0</v>
      </c>
      <c r="AI291" s="8">
        <f t="shared" ca="1" si="172"/>
        <v>0</v>
      </c>
    </row>
    <row r="292" spans="1:35" x14ac:dyDescent="0.3">
      <c r="B292" s="80" t="s">
        <v>241</v>
      </c>
      <c r="C292" s="239" t="s">
        <v>0</v>
      </c>
      <c r="E292" s="219">
        <f>Input!$E$223</f>
        <v>0.22</v>
      </c>
      <c r="F292" s="219">
        <f>Input!$E$223</f>
        <v>0.22</v>
      </c>
      <c r="G292" s="219">
        <f>Input!$E$223</f>
        <v>0.22</v>
      </c>
      <c r="H292" s="219">
        <f>Input!$E$223</f>
        <v>0.22</v>
      </c>
      <c r="I292" s="219">
        <f>Input!$E$223</f>
        <v>0.22</v>
      </c>
      <c r="J292" s="219">
        <f>Input!$E$223</f>
        <v>0.22</v>
      </c>
      <c r="K292" s="219">
        <f>Input!$E$223</f>
        <v>0.22</v>
      </c>
      <c r="L292" s="219">
        <f>Input!$E$223</f>
        <v>0.22</v>
      </c>
      <c r="M292" s="219">
        <f>Input!$E$223</f>
        <v>0.22</v>
      </c>
      <c r="N292" s="219">
        <f>Input!$E$223</f>
        <v>0.22</v>
      </c>
      <c r="O292" s="219">
        <f>Input!$E$223</f>
        <v>0.22</v>
      </c>
      <c r="P292" s="219">
        <f>Input!$E$223</f>
        <v>0.22</v>
      </c>
      <c r="Q292" s="219">
        <f>Input!$E$223</f>
        <v>0.22</v>
      </c>
      <c r="R292" s="219">
        <f>Input!$E$223</f>
        <v>0.22</v>
      </c>
      <c r="S292" s="219">
        <f>Input!$E$223</f>
        <v>0.22</v>
      </c>
      <c r="T292" s="219">
        <f>Input!$E$223</f>
        <v>0.22</v>
      </c>
      <c r="U292" s="219">
        <f>Input!$E$223</f>
        <v>0.22</v>
      </c>
      <c r="V292" s="219">
        <f>Input!$E$223</f>
        <v>0.22</v>
      </c>
      <c r="W292" s="219">
        <f>Input!$E$223</f>
        <v>0.22</v>
      </c>
      <c r="X292" s="219">
        <f>Input!$E$223</f>
        <v>0.22</v>
      </c>
      <c r="Y292" s="219">
        <f>Input!$E$223</f>
        <v>0.22</v>
      </c>
      <c r="Z292" s="219">
        <f>Input!$E$223</f>
        <v>0.22</v>
      </c>
      <c r="AA292" s="219">
        <f>Input!$E$223</f>
        <v>0.22</v>
      </c>
      <c r="AB292" s="219">
        <f>Input!$E$223</f>
        <v>0.22</v>
      </c>
      <c r="AC292" s="219">
        <f>Input!$E$223</f>
        <v>0.22</v>
      </c>
      <c r="AD292" s="219">
        <f>Input!$E$223</f>
        <v>0.22</v>
      </c>
      <c r="AE292" s="219">
        <f>Input!$E$223</f>
        <v>0.22</v>
      </c>
      <c r="AF292" s="219">
        <f>Input!$E$223</f>
        <v>0.22</v>
      </c>
      <c r="AG292" s="219">
        <f>Input!$E$223</f>
        <v>0.22</v>
      </c>
      <c r="AH292" s="219">
        <f>Input!$E$223</f>
        <v>0.22</v>
      </c>
      <c r="AI292" s="219">
        <f>Input!$E$223</f>
        <v>0.22</v>
      </c>
    </row>
    <row r="293" spans="1:35" x14ac:dyDescent="0.3">
      <c r="B293" s="80" t="s">
        <v>242</v>
      </c>
      <c r="C293" s="202" t="s">
        <v>11</v>
      </c>
      <c r="E293" s="8">
        <f t="shared" ref="E293:AI293" ca="1" si="173">IF(E291&gt;0,E291*E292,0)</f>
        <v>0</v>
      </c>
      <c r="F293" s="8">
        <f t="shared" ca="1" si="173"/>
        <v>0</v>
      </c>
      <c r="G293" s="8">
        <f t="shared" ca="1" si="173"/>
        <v>0</v>
      </c>
      <c r="H293" s="8">
        <f t="shared" ca="1" si="173"/>
        <v>0.33490741887646436</v>
      </c>
      <c r="I293" s="8">
        <f t="shared" ca="1" si="173"/>
        <v>3.9010072134220839</v>
      </c>
      <c r="J293" s="8">
        <f t="shared" ca="1" si="173"/>
        <v>4.0200126310361313</v>
      </c>
      <c r="K293" s="8">
        <f t="shared" ca="1" si="173"/>
        <v>4.1359885343820606</v>
      </c>
      <c r="L293" s="8">
        <f t="shared" ca="1" si="173"/>
        <v>4.2484062667254463</v>
      </c>
      <c r="M293" s="8">
        <f t="shared" ca="1" si="173"/>
        <v>4.3567146677489212</v>
      </c>
      <c r="N293" s="8">
        <f t="shared" ca="1" si="173"/>
        <v>4.4603388502592134</v>
      </c>
      <c r="O293" s="8">
        <f t="shared" ca="1" si="173"/>
        <v>4.5586789140910851</v>
      </c>
      <c r="P293" s="8">
        <f t="shared" ca="1" si="173"/>
        <v>4.6511085939269963</v>
      </c>
      <c r="Q293" s="8">
        <f t="shared" ca="1" si="173"/>
        <v>4.7369738375802246</v>
      </c>
      <c r="R293" s="8">
        <f t="shared" ca="1" si="173"/>
        <v>4.8155913111090145</v>
      </c>
      <c r="S293" s="8">
        <f t="shared" ca="1" si="173"/>
        <v>25.907911291507634</v>
      </c>
      <c r="T293" s="8">
        <f t="shared" ca="1" si="173"/>
        <v>25.969858155545623</v>
      </c>
      <c r="U293" s="8">
        <f t="shared" ca="1" si="173"/>
        <v>25.830960876048515</v>
      </c>
      <c r="V293" s="8">
        <f t="shared" ca="1" si="173"/>
        <v>25.299047888790653</v>
      </c>
      <c r="W293" s="8">
        <f t="shared" ca="1" si="173"/>
        <v>24.564618740840153</v>
      </c>
      <c r="X293" s="8">
        <f t="shared" ca="1" si="173"/>
        <v>23.81813296305198</v>
      </c>
      <c r="Y293" s="8">
        <f t="shared" ca="1" si="173"/>
        <v>23.058653391057877</v>
      </c>
      <c r="Z293" s="8">
        <f t="shared" ca="1" si="173"/>
        <v>22.28519848228872</v>
      </c>
      <c r="AA293" s="8">
        <f t="shared" ca="1" si="173"/>
        <v>21.496739964306702</v>
      </c>
      <c r="AB293" s="8">
        <f t="shared" ca="1" si="173"/>
        <v>20.692200361397955</v>
      </c>
      <c r="AC293" s="8">
        <f t="shared" ca="1" si="173"/>
        <v>19.870450393067678</v>
      </c>
      <c r="AD293" s="8">
        <f t="shared" ca="1" si="173"/>
        <v>19.030306237747215</v>
      </c>
      <c r="AE293" s="8">
        <f t="shared" ca="1" si="173"/>
        <v>11.640260097964781</v>
      </c>
      <c r="AF293" s="8">
        <f t="shared" ca="1" si="173"/>
        <v>0</v>
      </c>
      <c r="AG293" s="8">
        <f t="shared" ca="1" si="173"/>
        <v>0</v>
      </c>
      <c r="AH293" s="8">
        <f t="shared" ca="1" si="173"/>
        <v>0</v>
      </c>
      <c r="AI293" s="8">
        <f t="shared" ca="1" si="173"/>
        <v>0</v>
      </c>
    </row>
    <row r="294" spans="1:35" x14ac:dyDescent="0.3">
      <c r="B294" s="80"/>
      <c r="C294" s="239"/>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spans="1:35" x14ac:dyDescent="0.3">
      <c r="A295" s="240" t="s">
        <v>243</v>
      </c>
      <c r="B295" s="80"/>
      <c r="C295" s="239"/>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spans="1:35" x14ac:dyDescent="0.3">
      <c r="B296" s="80" t="s">
        <v>244</v>
      </c>
      <c r="C296" s="202" t="s">
        <v>11</v>
      </c>
      <c r="E296" s="8">
        <f t="shared" ref="E296:AI296" ca="1" si="174">E279</f>
        <v>0</v>
      </c>
      <c r="F296" s="8">
        <f t="shared" ca="1" si="174"/>
        <v>34.343736541987695</v>
      </c>
      <c r="G296" s="8">
        <f t="shared" ca="1" si="174"/>
        <v>54.14317733078903</v>
      </c>
      <c r="H296" s="8">
        <f t="shared" ca="1" si="174"/>
        <v>54.704826098781886</v>
      </c>
      <c r="I296" s="8">
        <f t="shared" ca="1" si="174"/>
        <v>55.257224349338443</v>
      </c>
      <c r="J296" s="8">
        <f t="shared" ca="1" si="174"/>
        <v>55.798158065765939</v>
      </c>
      <c r="K296" s="8">
        <f t="shared" ca="1" si="174"/>
        <v>56.325321262792897</v>
      </c>
      <c r="L296" s="8">
        <f t="shared" ca="1" si="174"/>
        <v>56.836310955262817</v>
      </c>
      <c r="M296" s="8">
        <f t="shared" ca="1" si="174"/>
        <v>57.328621869005886</v>
      </c>
      <c r="N296" s="8">
        <f t="shared" ca="1" si="174"/>
        <v>57.79964088041632</v>
      </c>
      <c r="O296" s="8">
        <f t="shared" ca="1" si="174"/>
        <v>58.246641170561183</v>
      </c>
      <c r="P296" s="8">
        <f t="shared" ca="1" si="174"/>
        <v>58.666776078906231</v>
      </c>
      <c r="Q296" s="8">
        <f t="shared" ca="1" si="174"/>
        <v>59.057072640966368</v>
      </c>
      <c r="R296" s="8">
        <f t="shared" ca="1" si="174"/>
        <v>59.414424793369946</v>
      </c>
      <c r="S296" s="8">
        <f t="shared" ca="1" si="174"/>
        <v>59.73558622896428</v>
      </c>
      <c r="T296" s="8">
        <f t="shared" ca="1" si="174"/>
        <v>60.017162883682388</v>
      </c>
      <c r="U296" s="8">
        <f t="shared" ca="1" si="174"/>
        <v>92.56221787899122</v>
      </c>
      <c r="V296" s="8">
        <f t="shared" ca="1" si="174"/>
        <v>90.14443157327365</v>
      </c>
      <c r="W296" s="8">
        <f t="shared" ca="1" si="174"/>
        <v>86.806117264407746</v>
      </c>
      <c r="X296" s="8">
        <f t="shared" ca="1" si="174"/>
        <v>83.41300009264333</v>
      </c>
      <c r="Y296" s="8">
        <f t="shared" ca="1" si="174"/>
        <v>79.960820219942846</v>
      </c>
      <c r="Z296" s="8">
        <f t="shared" ca="1" si="174"/>
        <v>76.445116089173965</v>
      </c>
      <c r="AA296" s="8">
        <f t="shared" ca="1" si="174"/>
        <v>72.861213734710233</v>
      </c>
      <c r="AB296" s="8">
        <f t="shared" ca="1" si="174"/>
        <v>69.204215539670486</v>
      </c>
      <c r="AC296" s="8">
        <f t="shared" ca="1" si="174"/>
        <v>65.468988410896515</v>
      </c>
      <c r="AD296" s="8">
        <f t="shared" ca="1" si="174"/>
        <v>61.650151341258038</v>
      </c>
      <c r="AE296" s="8">
        <f t="shared" ca="1" si="174"/>
        <v>40.484652848316166</v>
      </c>
      <c r="AF296" s="8">
        <f t="shared" ca="1" si="174"/>
        <v>0</v>
      </c>
      <c r="AG296" s="8">
        <f t="shared" ca="1" si="174"/>
        <v>0</v>
      </c>
      <c r="AH296" s="8">
        <f t="shared" ca="1" si="174"/>
        <v>0</v>
      </c>
      <c r="AI296" s="8">
        <f t="shared" ca="1" si="174"/>
        <v>0</v>
      </c>
    </row>
    <row r="297" spans="1:35" x14ac:dyDescent="0.3">
      <c r="B297" s="80" t="s">
        <v>245</v>
      </c>
      <c r="C297" s="202" t="s">
        <v>0</v>
      </c>
      <c r="E297" s="219">
        <f>Input!$E$224</f>
        <v>0.1716</v>
      </c>
      <c r="F297" s="219">
        <f>Input!$E$224</f>
        <v>0.1716</v>
      </c>
      <c r="G297" s="219">
        <f>Input!$E$224</f>
        <v>0.1716</v>
      </c>
      <c r="H297" s="219">
        <f>Input!$E$224</f>
        <v>0.1716</v>
      </c>
      <c r="I297" s="219">
        <f>Input!$E$224</f>
        <v>0.1716</v>
      </c>
      <c r="J297" s="219">
        <f>Input!$E$224</f>
        <v>0.1716</v>
      </c>
      <c r="K297" s="219">
        <f>Input!$E$224</f>
        <v>0.1716</v>
      </c>
      <c r="L297" s="219">
        <f>Input!$E$224</f>
        <v>0.1716</v>
      </c>
      <c r="M297" s="219">
        <f>Input!$E$224</f>
        <v>0.1716</v>
      </c>
      <c r="N297" s="219">
        <f>Input!$E$224</f>
        <v>0.1716</v>
      </c>
      <c r="O297" s="219">
        <f>Input!$E$224</f>
        <v>0.1716</v>
      </c>
      <c r="P297" s="219">
        <f>Input!$E$224</f>
        <v>0.1716</v>
      </c>
      <c r="Q297" s="219">
        <f>Input!$E$224</f>
        <v>0.1716</v>
      </c>
      <c r="R297" s="219">
        <f>Input!$E$224</f>
        <v>0.1716</v>
      </c>
      <c r="S297" s="219">
        <f>Input!$E$224</f>
        <v>0.1716</v>
      </c>
      <c r="T297" s="219">
        <f>Input!$E$224</f>
        <v>0.1716</v>
      </c>
      <c r="U297" s="219">
        <f>Input!$E$224</f>
        <v>0.1716</v>
      </c>
      <c r="V297" s="219">
        <f>Input!$E$224</f>
        <v>0.1716</v>
      </c>
      <c r="W297" s="219">
        <f>Input!$E$224</f>
        <v>0.1716</v>
      </c>
      <c r="X297" s="219">
        <f>Input!$E$224</f>
        <v>0.1716</v>
      </c>
      <c r="Y297" s="219">
        <f>Input!$E$224</f>
        <v>0.1716</v>
      </c>
      <c r="Z297" s="219">
        <f>Input!$E$224</f>
        <v>0.1716</v>
      </c>
      <c r="AA297" s="219">
        <f>Input!$E$224</f>
        <v>0.1716</v>
      </c>
      <c r="AB297" s="219">
        <f>Input!$E$224</f>
        <v>0.1716</v>
      </c>
      <c r="AC297" s="219">
        <f>Input!$E$224</f>
        <v>0.1716</v>
      </c>
      <c r="AD297" s="219">
        <f>Input!$E$224</f>
        <v>0.1716</v>
      </c>
      <c r="AE297" s="219">
        <f>Input!$E$224</f>
        <v>0.1716</v>
      </c>
      <c r="AF297" s="219">
        <f>Input!$E$224</f>
        <v>0.1716</v>
      </c>
      <c r="AG297" s="219">
        <f>Input!$E$224</f>
        <v>0.1716</v>
      </c>
      <c r="AH297" s="219">
        <f>Input!$E$224</f>
        <v>0.1716</v>
      </c>
      <c r="AI297" s="219">
        <f>Input!$E$224</f>
        <v>0.1716</v>
      </c>
    </row>
    <row r="298" spans="1:35" x14ac:dyDescent="0.3">
      <c r="B298" s="80" t="s">
        <v>246</v>
      </c>
      <c r="C298" s="202" t="s">
        <v>11</v>
      </c>
      <c r="E298" s="8">
        <f t="shared" ref="E298:AI298" ca="1" si="175">IF(E296&lt;0,0,E297*E296)</f>
        <v>0</v>
      </c>
      <c r="F298" s="8">
        <f t="shared" ca="1" si="175"/>
        <v>5.8933851906050885</v>
      </c>
      <c r="G298" s="8">
        <f t="shared" ca="1" si="175"/>
        <v>9.2909692299633981</v>
      </c>
      <c r="H298" s="8">
        <f t="shared" ca="1" si="175"/>
        <v>9.3873481585509726</v>
      </c>
      <c r="I298" s="8">
        <f t="shared" ca="1" si="175"/>
        <v>9.4821396983464776</v>
      </c>
      <c r="J298" s="8">
        <f t="shared" ca="1" si="175"/>
        <v>9.5749639240854361</v>
      </c>
      <c r="K298" s="8">
        <f t="shared" ca="1" si="175"/>
        <v>9.6654251286952615</v>
      </c>
      <c r="L298" s="8">
        <f t="shared" ca="1" si="175"/>
        <v>9.7531109599230987</v>
      </c>
      <c r="M298" s="8">
        <f t="shared" ca="1" si="175"/>
        <v>9.83759151272141</v>
      </c>
      <c r="N298" s="8">
        <f t="shared" ca="1" si="175"/>
        <v>9.9184183750794404</v>
      </c>
      <c r="O298" s="8">
        <f t="shared" ca="1" si="175"/>
        <v>9.9951236248682989</v>
      </c>
      <c r="P298" s="8">
        <f t="shared" ca="1" si="175"/>
        <v>10.06721877514031</v>
      </c>
      <c r="Q298" s="8">
        <f t="shared" ca="1" si="175"/>
        <v>10.134193665189828</v>
      </c>
      <c r="R298" s="8">
        <f t="shared" ca="1" si="175"/>
        <v>10.195515294542282</v>
      </c>
      <c r="S298" s="8">
        <f t="shared" ca="1" si="175"/>
        <v>10.250626596890271</v>
      </c>
      <c r="T298" s="8">
        <f t="shared" ca="1" si="175"/>
        <v>10.298945150839899</v>
      </c>
      <c r="U298" s="8">
        <f t="shared" ca="1" si="175"/>
        <v>15.883676588034893</v>
      </c>
      <c r="V298" s="8">
        <f t="shared" ca="1" si="175"/>
        <v>15.468784457973758</v>
      </c>
      <c r="W298" s="8">
        <f t="shared" ca="1" si="175"/>
        <v>14.895929722572369</v>
      </c>
      <c r="X298" s="8">
        <f t="shared" ca="1" si="175"/>
        <v>14.313670815897595</v>
      </c>
      <c r="Y298" s="8">
        <f t="shared" ca="1" si="175"/>
        <v>13.721276749742193</v>
      </c>
      <c r="Z298" s="8">
        <f t="shared" ca="1" si="175"/>
        <v>13.117981920902253</v>
      </c>
      <c r="AA298" s="8">
        <f t="shared" ca="1" si="175"/>
        <v>12.502984276876276</v>
      </c>
      <c r="AB298" s="8">
        <f t="shared" ca="1" si="175"/>
        <v>11.875443386607456</v>
      </c>
      <c r="AC298" s="8">
        <f t="shared" ca="1" si="175"/>
        <v>11.234478411309842</v>
      </c>
      <c r="AD298" s="8">
        <f t="shared" ca="1" si="175"/>
        <v>10.579165970159879</v>
      </c>
      <c r="AE298" s="8">
        <f t="shared" ca="1" si="175"/>
        <v>6.9471664287710544</v>
      </c>
      <c r="AF298" s="8">
        <f t="shared" ca="1" si="175"/>
        <v>0</v>
      </c>
      <c r="AG298" s="8">
        <f t="shared" ca="1" si="175"/>
        <v>0</v>
      </c>
      <c r="AH298" s="8">
        <f t="shared" ca="1" si="175"/>
        <v>0</v>
      </c>
      <c r="AI298" s="8">
        <f t="shared" ca="1" si="175"/>
        <v>0</v>
      </c>
    </row>
    <row r="299" spans="1:35" x14ac:dyDescent="0.3">
      <c r="B299" s="80"/>
      <c r="C299" s="241"/>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spans="1:35" x14ac:dyDescent="0.3">
      <c r="A300" s="242" t="s">
        <v>247</v>
      </c>
      <c r="B300" s="80"/>
      <c r="C300" s="241"/>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spans="1:35" x14ac:dyDescent="0.3">
      <c r="B301" s="243" t="s">
        <v>248</v>
      </c>
      <c r="C301" s="241" t="s">
        <v>11</v>
      </c>
      <c r="E301" s="8">
        <f t="shared" ref="E301" si="176">D305</f>
        <v>0</v>
      </c>
      <c r="F301" s="8">
        <f t="shared" ref="F301:AI301" ca="1" si="177">E305</f>
        <v>0</v>
      </c>
      <c r="G301" s="8">
        <f t="shared" ca="1" si="177"/>
        <v>5.8933851906050885</v>
      </c>
      <c r="H301" s="8">
        <f t="shared" ca="1" si="177"/>
        <v>15.184354420568486</v>
      </c>
      <c r="I301" s="8">
        <f t="shared" ca="1" si="177"/>
        <v>24.236795160242995</v>
      </c>
      <c r="J301" s="8">
        <f t="shared" ca="1" si="177"/>
        <v>29.817927645167387</v>
      </c>
      <c r="K301" s="8">
        <f t="shared" ca="1" si="177"/>
        <v>35.372878938216694</v>
      </c>
      <c r="L301" s="8">
        <f t="shared" ca="1" si="177"/>
        <v>40.902315532529897</v>
      </c>
      <c r="M301" s="8">
        <f t="shared" ca="1" si="177"/>
        <v>46.40702022572755</v>
      </c>
      <c r="N301" s="8">
        <f t="shared" ca="1" si="177"/>
        <v>51.887897070700035</v>
      </c>
      <c r="O301" s="8">
        <f t="shared" ca="1" si="177"/>
        <v>57.345976595520263</v>
      </c>
      <c r="P301" s="8">
        <f t="shared" ca="1" si="177"/>
        <v>62.782421306297479</v>
      </c>
      <c r="Q301" s="8">
        <f t="shared" ca="1" si="177"/>
        <v>68.198531487510792</v>
      </c>
      <c r="R301" s="8">
        <f t="shared" ca="1" si="177"/>
        <v>73.595751315120395</v>
      </c>
      <c r="S301" s="8">
        <f t="shared" ca="1" si="177"/>
        <v>78.975675298553668</v>
      </c>
      <c r="T301" s="8">
        <f t="shared" ca="1" si="177"/>
        <v>63.318390603936308</v>
      </c>
      <c r="U301" s="8">
        <f t="shared" ca="1" si="177"/>
        <v>47.647477599230584</v>
      </c>
      <c r="V301" s="8">
        <f t="shared" ca="1" si="177"/>
        <v>37.700193311216964</v>
      </c>
      <c r="W301" s="8">
        <f t="shared" ca="1" si="177"/>
        <v>27.869929880400068</v>
      </c>
      <c r="X301" s="8">
        <f t="shared" ca="1" si="177"/>
        <v>18.201240862132284</v>
      </c>
      <c r="Y301" s="8">
        <f t="shared" ca="1" si="177"/>
        <v>8.6967787149778992</v>
      </c>
      <c r="Z301" s="8">
        <f t="shared" ca="1" si="177"/>
        <v>0</v>
      </c>
      <c r="AA301" s="8">
        <f t="shared" ca="1" si="177"/>
        <v>0</v>
      </c>
      <c r="AB301" s="8">
        <f t="shared" ca="1" si="177"/>
        <v>0</v>
      </c>
      <c r="AC301" s="8">
        <f t="shared" ca="1" si="177"/>
        <v>0</v>
      </c>
      <c r="AD301" s="8">
        <f t="shared" ca="1" si="177"/>
        <v>0</v>
      </c>
      <c r="AE301" s="8">
        <f t="shared" ca="1" si="177"/>
        <v>0</v>
      </c>
      <c r="AF301" s="8">
        <f t="shared" ca="1" si="177"/>
        <v>0</v>
      </c>
      <c r="AG301" s="8">
        <f t="shared" ca="1" si="177"/>
        <v>0</v>
      </c>
      <c r="AH301" s="8">
        <f t="shared" ca="1" si="177"/>
        <v>0</v>
      </c>
      <c r="AI301" s="8">
        <f t="shared" ca="1" si="177"/>
        <v>0</v>
      </c>
    </row>
    <row r="302" spans="1:35" x14ac:dyDescent="0.3">
      <c r="B302" s="243" t="s">
        <v>168</v>
      </c>
      <c r="C302" s="241" t="s">
        <v>11</v>
      </c>
      <c r="E302" s="8">
        <f t="shared" ref="E302:AI302" ca="1" si="178">MAX(E298-E293,0)</f>
        <v>0</v>
      </c>
      <c r="F302" s="8">
        <f t="shared" ca="1" si="178"/>
        <v>5.8933851906050885</v>
      </c>
      <c r="G302" s="8">
        <f t="shared" ca="1" si="178"/>
        <v>9.2909692299633981</v>
      </c>
      <c r="H302" s="8">
        <f t="shared" ca="1" si="178"/>
        <v>9.052440739674509</v>
      </c>
      <c r="I302" s="8">
        <f t="shared" ca="1" si="178"/>
        <v>5.5811324849243942</v>
      </c>
      <c r="J302" s="8">
        <f t="shared" ca="1" si="178"/>
        <v>5.5549512930493048</v>
      </c>
      <c r="K302" s="8">
        <f t="shared" ca="1" si="178"/>
        <v>5.5294365943132009</v>
      </c>
      <c r="L302" s="8">
        <f t="shared" ca="1" si="178"/>
        <v>5.5047046931976524</v>
      </c>
      <c r="M302" s="8">
        <f t="shared" ca="1" si="178"/>
        <v>5.4808768449724887</v>
      </c>
      <c r="N302" s="8">
        <f t="shared" ca="1" si="178"/>
        <v>5.458079524820227</v>
      </c>
      <c r="O302" s="8">
        <f t="shared" ca="1" si="178"/>
        <v>5.4364447107772138</v>
      </c>
      <c r="P302" s="8">
        <f t="shared" ca="1" si="178"/>
        <v>5.4161101812133134</v>
      </c>
      <c r="Q302" s="8">
        <f t="shared" ca="1" si="178"/>
        <v>5.3972198276096037</v>
      </c>
      <c r="R302" s="8">
        <f t="shared" ca="1" si="178"/>
        <v>5.3799239834332679</v>
      </c>
      <c r="S302" s="8">
        <f t="shared" ca="1" si="178"/>
        <v>0</v>
      </c>
      <c r="T302" s="8">
        <f t="shared" ca="1" si="178"/>
        <v>0</v>
      </c>
      <c r="U302" s="8">
        <f t="shared" ca="1" si="178"/>
        <v>0</v>
      </c>
      <c r="V302" s="8">
        <f t="shared" ca="1" si="178"/>
        <v>0</v>
      </c>
      <c r="W302" s="8">
        <f t="shared" ca="1" si="178"/>
        <v>0</v>
      </c>
      <c r="X302" s="8">
        <f t="shared" ca="1" si="178"/>
        <v>0</v>
      </c>
      <c r="Y302" s="8">
        <f t="shared" ca="1" si="178"/>
        <v>0</v>
      </c>
      <c r="Z302" s="8">
        <f t="shared" ca="1" si="178"/>
        <v>0</v>
      </c>
      <c r="AA302" s="8">
        <f t="shared" ca="1" si="178"/>
        <v>0</v>
      </c>
      <c r="AB302" s="8">
        <f t="shared" ca="1" si="178"/>
        <v>0</v>
      </c>
      <c r="AC302" s="8">
        <f t="shared" ca="1" si="178"/>
        <v>0</v>
      </c>
      <c r="AD302" s="8">
        <f t="shared" ca="1" si="178"/>
        <v>0</v>
      </c>
      <c r="AE302" s="8">
        <f t="shared" ca="1" si="178"/>
        <v>0</v>
      </c>
      <c r="AF302" s="8">
        <f t="shared" ca="1" si="178"/>
        <v>0</v>
      </c>
      <c r="AG302" s="8">
        <f t="shared" ca="1" si="178"/>
        <v>0</v>
      </c>
      <c r="AH302" s="8">
        <f t="shared" ca="1" si="178"/>
        <v>0</v>
      </c>
      <c r="AI302" s="8">
        <f t="shared" ca="1" si="178"/>
        <v>0</v>
      </c>
    </row>
    <row r="303" spans="1:35" x14ac:dyDescent="0.3">
      <c r="B303" s="243" t="s">
        <v>249</v>
      </c>
      <c r="C303" s="241" t="s">
        <v>11</v>
      </c>
      <c r="E303" s="8">
        <f t="shared" ref="E303:AI303" ca="1" si="179">IF(E293&gt;E298,MIN(E301,E293-E298),0)</f>
        <v>0</v>
      </c>
      <c r="F303" s="8">
        <f t="shared" ca="1" si="179"/>
        <v>0</v>
      </c>
      <c r="G303" s="8">
        <f t="shared" ca="1" si="179"/>
        <v>0</v>
      </c>
      <c r="H303" s="8">
        <f t="shared" ca="1" si="179"/>
        <v>0</v>
      </c>
      <c r="I303" s="8">
        <f t="shared" ca="1" si="179"/>
        <v>0</v>
      </c>
      <c r="J303" s="8">
        <f t="shared" ca="1" si="179"/>
        <v>0</v>
      </c>
      <c r="K303" s="8">
        <f t="shared" ca="1" si="179"/>
        <v>0</v>
      </c>
      <c r="L303" s="8">
        <f t="shared" ca="1" si="179"/>
        <v>0</v>
      </c>
      <c r="M303" s="8">
        <f t="shared" ca="1" si="179"/>
        <v>0</v>
      </c>
      <c r="N303" s="8">
        <f t="shared" ca="1" si="179"/>
        <v>0</v>
      </c>
      <c r="O303" s="8">
        <f t="shared" ca="1" si="179"/>
        <v>0</v>
      </c>
      <c r="P303" s="8">
        <f t="shared" ca="1" si="179"/>
        <v>0</v>
      </c>
      <c r="Q303" s="8">
        <f t="shared" ca="1" si="179"/>
        <v>0</v>
      </c>
      <c r="R303" s="8">
        <f t="shared" ca="1" si="179"/>
        <v>0</v>
      </c>
      <c r="S303" s="8">
        <f t="shared" ca="1" si="179"/>
        <v>15.657284694617363</v>
      </c>
      <c r="T303" s="8">
        <f t="shared" ca="1" si="179"/>
        <v>15.670913004705724</v>
      </c>
      <c r="U303" s="8">
        <f t="shared" ca="1" si="179"/>
        <v>9.9472842880136216</v>
      </c>
      <c r="V303" s="8">
        <f t="shared" ca="1" si="179"/>
        <v>9.8302634308168955</v>
      </c>
      <c r="W303" s="8">
        <f t="shared" ca="1" si="179"/>
        <v>9.6686890182677843</v>
      </c>
      <c r="X303" s="8">
        <f t="shared" ca="1" si="179"/>
        <v>9.5044621471543849</v>
      </c>
      <c r="Y303" s="8">
        <f t="shared" ca="1" si="179"/>
        <v>8.6967787149778992</v>
      </c>
      <c r="Z303" s="8">
        <f t="shared" ca="1" si="179"/>
        <v>0</v>
      </c>
      <c r="AA303" s="8">
        <f t="shared" ca="1" si="179"/>
        <v>0</v>
      </c>
      <c r="AB303" s="8">
        <f t="shared" ca="1" si="179"/>
        <v>0</v>
      </c>
      <c r="AC303" s="8">
        <f t="shared" ca="1" si="179"/>
        <v>0</v>
      </c>
      <c r="AD303" s="8">
        <f t="shared" ca="1" si="179"/>
        <v>0</v>
      </c>
      <c r="AE303" s="8">
        <f t="shared" ca="1" si="179"/>
        <v>0</v>
      </c>
      <c r="AF303" s="8">
        <f t="shared" ca="1" si="179"/>
        <v>0</v>
      </c>
      <c r="AG303" s="8">
        <f t="shared" ca="1" si="179"/>
        <v>0</v>
      </c>
      <c r="AH303" s="8">
        <f t="shared" ca="1" si="179"/>
        <v>0</v>
      </c>
      <c r="AI303" s="8">
        <f t="shared" ca="1" si="179"/>
        <v>0</v>
      </c>
    </row>
    <row r="304" spans="1:35" x14ac:dyDescent="0.3">
      <c r="B304" s="243" t="s">
        <v>250</v>
      </c>
      <c r="C304" s="241" t="s">
        <v>11</v>
      </c>
      <c r="E304" s="8">
        <f ca="1">IF(E$5&gt;15,MIN(MAX(SUM(OFFSET(E302,0,-E$5+1,1,E$5-15))-SUM($E303:E303)-SUM(D304:$E304),0),E301-E303),0)</f>
        <v>0</v>
      </c>
      <c r="F304" s="8">
        <f ca="1">IF(F$5&gt;15,MIN(MAX(SUM(OFFSET(F302,0,-F$5+1,1,F$5-15))-SUM($E303:F303)-SUM(E304:$E304),0),F301-F303),0)</f>
        <v>0</v>
      </c>
      <c r="G304" s="8">
        <f ca="1">IF(G$5&gt;15,MIN(MAX(SUM(OFFSET(G302,0,-G$5+1,1,G$5-15))-SUM($E303:G303)-SUM($E304:F304),0),G301-G303),0)</f>
        <v>0</v>
      </c>
      <c r="H304" s="8">
        <f ca="1">IF(H$5&gt;15,MIN(MAX(SUM(OFFSET(H302,0,-H$5+1,1,H$5-15))-SUM($E303:H303)-SUM($E304:G304),0),H301-H303),0)</f>
        <v>0</v>
      </c>
      <c r="I304" s="8">
        <f ca="1">IF(I$5&gt;15,MIN(MAX(SUM(OFFSET(I302,0,-I$5+1,1,I$5-15))-SUM($E303:I303)-SUM($E304:H304),0),I301-I303),0)</f>
        <v>0</v>
      </c>
      <c r="J304" s="8">
        <f ca="1">IF(J$5&gt;15,MIN(MAX(SUM(OFFSET(J302,0,-J$5+1,1,J$5-15))-SUM($E303:J303)-SUM($E304:I304),0),J301-J303),0)</f>
        <v>0</v>
      </c>
      <c r="K304" s="8">
        <f ca="1">IF(K$5&gt;15,MIN(MAX(SUM(OFFSET(K302,0,-K$5+1,1,K$5-15))-SUM($E303:K303)-SUM($E304:J304),0),K301-K303),0)</f>
        <v>0</v>
      </c>
      <c r="L304" s="8">
        <f ca="1">IF(L$5&gt;15,MIN(MAX(SUM(OFFSET(L302,0,-L$5+1,1,L$5-15))-SUM($E303:L303)-SUM($E304:K304),0),L301-L303),0)</f>
        <v>0</v>
      </c>
      <c r="M304" s="8">
        <f ca="1">IF(M$5&gt;15,MIN(MAX(SUM(OFFSET(M302,0,-M$5+1,1,M$5-15))-SUM($E303:M303)-SUM($E304:L304),0),M301-M303),0)</f>
        <v>0</v>
      </c>
      <c r="N304" s="8">
        <f ca="1">IF(N$5&gt;15,MIN(MAX(SUM(OFFSET(N302,0,-N$5+1,1,N$5-15))-SUM($E303:N303)-SUM($E304:M304),0),N301-N303),0)</f>
        <v>0</v>
      </c>
      <c r="O304" s="8">
        <f ca="1">IF(O$5&gt;15,MIN(MAX(SUM(OFFSET(O302,0,-O$5+1,1,O$5-15))-SUM($E303:O303)-SUM($E304:N304),0),O301-O303),0)</f>
        <v>0</v>
      </c>
      <c r="P304" s="8">
        <f ca="1">IF(P$5&gt;15,MIN(MAX(SUM(OFFSET(P302,0,-P$5+1,1,P$5-15))-SUM($E303:P303)-SUM($E304:O304),0),P301-P303),0)</f>
        <v>0</v>
      </c>
      <c r="Q304" s="8">
        <f ca="1">IF(Q$5&gt;15,MIN(MAX(SUM(OFFSET(Q302,0,-Q$5+1,1,Q$5-15))-SUM($E303:Q303)-SUM($E304:P304),0),Q301-Q303),0)</f>
        <v>0</v>
      </c>
      <c r="R304" s="8">
        <f ca="1">IF(R$5&gt;15,MIN(MAX(SUM(OFFSET(R302,0,-R$5+1,1,R$5-15))-SUM($E303:R303)-SUM($E304:Q304),0),R301-R303),0)</f>
        <v>0</v>
      </c>
      <c r="S304" s="8">
        <f ca="1">IF(S$5&gt;15,MIN(MAX(SUM(OFFSET(S302,0,-S$5+1,1,S$5-15))-SUM($E303:S303)-SUM($E304:R304),0),S301-S303),0)</f>
        <v>0</v>
      </c>
      <c r="T304" s="8">
        <f ca="1">IF(T$5&gt;15,MIN(MAX(SUM(OFFSET(T302,0,-T$5+1,1,T$5-15))-SUM($E303:T303)-SUM($E304:S304),0),T301-T303),0)</f>
        <v>0</v>
      </c>
      <c r="U304" s="8">
        <f ca="1">IF(U$5&gt;15,MIN(MAX(SUM(OFFSET(U302,0,-U$5+1,1,U$5-15))-SUM($E303:U303)-SUM($E304:T304),0),U301-U303),0)</f>
        <v>0</v>
      </c>
      <c r="V304" s="8">
        <f ca="1">IF(V$5&gt;15,MIN(MAX(SUM(OFFSET(V302,0,-V$5+1,1,V$5-15))-SUM($E303:V303)-SUM($E304:U304),0),V301-V303),0)</f>
        <v>0</v>
      </c>
      <c r="W304" s="8">
        <f ca="1">IF(W$5&gt;15,MIN(MAX(SUM(OFFSET(W302,0,-W$5+1,1,W$5-15))-SUM($E303:W303)-SUM($E304:V304),0),W301-W303),0)</f>
        <v>0</v>
      </c>
      <c r="X304" s="8">
        <f ca="1">IF(X$5&gt;15,MIN(MAX(SUM(OFFSET(X302,0,-X$5+1,1,X$5-15))-SUM($E303:X303)-SUM($E304:W304),0),X301-X303),0)</f>
        <v>0</v>
      </c>
      <c r="Y304" s="8">
        <f ca="1">IF(Y$5&gt;15,MIN(MAX(SUM(OFFSET(Y302,0,-Y$5+1,1,Y$5-15))-SUM($E303:Y303)-SUM($E304:X304),0),Y301-Y303),0)</f>
        <v>0</v>
      </c>
      <c r="Z304" s="8">
        <f ca="1">IF(Z$5&gt;15,MIN(MAX(SUM(OFFSET(Z302,0,-Z$5+1,1,Z$5-15))-SUM($E303:Z303)-SUM($E304:Y304),0),Z301-Z303),0)</f>
        <v>0</v>
      </c>
      <c r="AA304" s="8">
        <f ca="1">IF(AA$5&gt;15,MIN(MAX(SUM(OFFSET(AA302,0,-AA$5+1,1,AA$5-15))-SUM($E303:AA303)-SUM($E304:Z304),0),AA301-AA303),0)</f>
        <v>0</v>
      </c>
      <c r="AB304" s="8">
        <f ca="1">IF(AB$5&gt;15,MIN(MAX(SUM(OFFSET(AB302,0,-AB$5+1,1,AB$5-15))-SUM($E303:AB303)-SUM($E304:AA304),0),AB301-AB303),0)</f>
        <v>0</v>
      </c>
      <c r="AC304" s="8">
        <f ca="1">IF(AC$5&gt;15,MIN(MAX(SUM(OFFSET(AC302,0,-AC$5+1,1,AC$5-15))-SUM($E303:AC303)-SUM($E304:AB304),0),AC301-AC303),0)</f>
        <v>0</v>
      </c>
      <c r="AD304" s="8">
        <f ca="1">IF(AD$5&gt;15,MIN(MAX(SUM(OFFSET(AD302,0,-AD$5+1,1,AD$5-15))-SUM($E303:AD303)-SUM($E304:AC304),0),AD301-AD303),0)</f>
        <v>0</v>
      </c>
      <c r="AE304" s="8">
        <f ca="1">IF(AE$5&gt;15,MIN(MAX(SUM(OFFSET(AE302,0,-AE$5+1,1,AE$5-15))-SUM($E303:AE303)-SUM($E304:AD304),0),AE301-AE303),0)</f>
        <v>0</v>
      </c>
      <c r="AF304" s="8">
        <f ca="1">IF(AF$5&gt;15,MIN(MAX(SUM(OFFSET(AF302,0,-AF$5+1,1,AF$5-15))-SUM($E303:AF303)-SUM($E304:AE304),0),AF301-AF303),0)</f>
        <v>0</v>
      </c>
      <c r="AG304" s="8">
        <f ca="1">IF(AG$5&gt;15,MIN(MAX(SUM(OFFSET(AG302,0,-AG$5+1,1,AG$5-15))-SUM($E303:AG303)-SUM($E304:AF304),0),AG301-AG303),0)</f>
        <v>0</v>
      </c>
      <c r="AH304" s="8">
        <f ca="1">IF(AH$5&gt;15,MIN(MAX(SUM(OFFSET(AH302,0,-AH$5+1,1,AH$5-15))-SUM($E303:AH303)-SUM($E304:AG304),0),AH301-AH303),0)</f>
        <v>0</v>
      </c>
      <c r="AI304" s="8">
        <f ca="1">IF(AI$5&gt;15,MIN(MAX(SUM(OFFSET(AI302,0,-AI$5+1,1,AI$5-15))-SUM($E303:AI303)-SUM($E304:AH304),0),AI301-AI303),0)</f>
        <v>0</v>
      </c>
    </row>
    <row r="305" spans="1:35" x14ac:dyDescent="0.3">
      <c r="B305" s="243" t="s">
        <v>251</v>
      </c>
      <c r="C305" s="241" t="s">
        <v>11</v>
      </c>
      <c r="E305" s="8">
        <f t="shared" ref="E305:AI305" ca="1" si="180">E301+E302-E303-E304</f>
        <v>0</v>
      </c>
      <c r="F305" s="8">
        <f t="shared" ca="1" si="180"/>
        <v>5.8933851906050885</v>
      </c>
      <c r="G305" s="8">
        <f t="shared" ca="1" si="180"/>
        <v>15.184354420568486</v>
      </c>
      <c r="H305" s="8">
        <f t="shared" ca="1" si="180"/>
        <v>24.236795160242995</v>
      </c>
      <c r="I305" s="8">
        <f t="shared" ca="1" si="180"/>
        <v>29.817927645167387</v>
      </c>
      <c r="J305" s="8">
        <f t="shared" ca="1" si="180"/>
        <v>35.372878938216694</v>
      </c>
      <c r="K305" s="8">
        <f t="shared" ca="1" si="180"/>
        <v>40.902315532529897</v>
      </c>
      <c r="L305" s="8">
        <f t="shared" ca="1" si="180"/>
        <v>46.40702022572755</v>
      </c>
      <c r="M305" s="8">
        <f t="shared" ca="1" si="180"/>
        <v>51.887897070700035</v>
      </c>
      <c r="N305" s="8">
        <f t="shared" ca="1" si="180"/>
        <v>57.345976595520263</v>
      </c>
      <c r="O305" s="8">
        <f t="shared" ca="1" si="180"/>
        <v>62.782421306297479</v>
      </c>
      <c r="P305" s="8">
        <f t="shared" ca="1" si="180"/>
        <v>68.198531487510792</v>
      </c>
      <c r="Q305" s="8">
        <f t="shared" ca="1" si="180"/>
        <v>73.595751315120395</v>
      </c>
      <c r="R305" s="8">
        <f t="shared" ca="1" si="180"/>
        <v>78.975675298553668</v>
      </c>
      <c r="S305" s="8">
        <f t="shared" ca="1" si="180"/>
        <v>63.318390603936308</v>
      </c>
      <c r="T305" s="8">
        <f t="shared" ca="1" si="180"/>
        <v>47.647477599230584</v>
      </c>
      <c r="U305" s="8">
        <f t="shared" ca="1" si="180"/>
        <v>37.700193311216964</v>
      </c>
      <c r="V305" s="8">
        <f t="shared" ca="1" si="180"/>
        <v>27.869929880400068</v>
      </c>
      <c r="W305" s="8">
        <f t="shared" ca="1" si="180"/>
        <v>18.201240862132284</v>
      </c>
      <c r="X305" s="8">
        <f t="shared" ca="1" si="180"/>
        <v>8.6967787149778992</v>
      </c>
      <c r="Y305" s="8">
        <f t="shared" ca="1" si="180"/>
        <v>0</v>
      </c>
      <c r="Z305" s="8">
        <f t="shared" ca="1" si="180"/>
        <v>0</v>
      </c>
      <c r="AA305" s="8">
        <f t="shared" ca="1" si="180"/>
        <v>0</v>
      </c>
      <c r="AB305" s="8">
        <f t="shared" ca="1" si="180"/>
        <v>0</v>
      </c>
      <c r="AC305" s="8">
        <f t="shared" ca="1" si="180"/>
        <v>0</v>
      </c>
      <c r="AD305" s="8">
        <f t="shared" ca="1" si="180"/>
        <v>0</v>
      </c>
      <c r="AE305" s="8">
        <f t="shared" ca="1" si="180"/>
        <v>0</v>
      </c>
      <c r="AF305" s="8">
        <f t="shared" ca="1" si="180"/>
        <v>0</v>
      </c>
      <c r="AG305" s="8">
        <f t="shared" ca="1" si="180"/>
        <v>0</v>
      </c>
      <c r="AH305" s="8">
        <f t="shared" ca="1" si="180"/>
        <v>0</v>
      </c>
      <c r="AI305" s="8">
        <f t="shared" ca="1" si="180"/>
        <v>0</v>
      </c>
    </row>
    <row r="306" spans="1:35" x14ac:dyDescent="0.3">
      <c r="B306" s="243"/>
      <c r="C306" s="241"/>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spans="1:35" x14ac:dyDescent="0.3">
      <c r="A307" s="242" t="s">
        <v>252</v>
      </c>
      <c r="B307" s="80"/>
      <c r="C307" s="241"/>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spans="1:35" x14ac:dyDescent="0.3">
      <c r="B308" s="243" t="s">
        <v>253</v>
      </c>
      <c r="C308" s="241" t="s">
        <v>11</v>
      </c>
      <c r="E308" s="8">
        <f t="shared" ref="E308:AI308" ca="1" si="181">IF(E298&gt;=E293,E298,0)</f>
        <v>0</v>
      </c>
      <c r="F308" s="8">
        <f t="shared" ca="1" si="181"/>
        <v>5.8933851906050885</v>
      </c>
      <c r="G308" s="8">
        <f t="shared" ca="1" si="181"/>
        <v>9.2909692299633981</v>
      </c>
      <c r="H308" s="8">
        <f t="shared" ca="1" si="181"/>
        <v>9.3873481585509726</v>
      </c>
      <c r="I308" s="8">
        <f t="shared" ca="1" si="181"/>
        <v>9.4821396983464776</v>
      </c>
      <c r="J308" s="8">
        <f t="shared" ca="1" si="181"/>
        <v>9.5749639240854361</v>
      </c>
      <c r="K308" s="8">
        <f t="shared" ca="1" si="181"/>
        <v>9.6654251286952615</v>
      </c>
      <c r="L308" s="8">
        <f t="shared" ca="1" si="181"/>
        <v>9.7531109599230987</v>
      </c>
      <c r="M308" s="8">
        <f t="shared" ca="1" si="181"/>
        <v>9.83759151272141</v>
      </c>
      <c r="N308" s="8">
        <f t="shared" ca="1" si="181"/>
        <v>9.9184183750794404</v>
      </c>
      <c r="O308" s="8">
        <f t="shared" ca="1" si="181"/>
        <v>9.9951236248682989</v>
      </c>
      <c r="P308" s="8">
        <f t="shared" ca="1" si="181"/>
        <v>10.06721877514031</v>
      </c>
      <c r="Q308" s="8">
        <f t="shared" ca="1" si="181"/>
        <v>10.134193665189828</v>
      </c>
      <c r="R308" s="8">
        <f t="shared" ca="1" si="181"/>
        <v>10.195515294542282</v>
      </c>
      <c r="S308" s="8">
        <f t="shared" ca="1" si="181"/>
        <v>0</v>
      </c>
      <c r="T308" s="8">
        <f t="shared" ca="1" si="181"/>
        <v>0</v>
      </c>
      <c r="U308" s="8">
        <f t="shared" ca="1" si="181"/>
        <v>0</v>
      </c>
      <c r="V308" s="8">
        <f t="shared" ca="1" si="181"/>
        <v>0</v>
      </c>
      <c r="W308" s="8">
        <f t="shared" ca="1" si="181"/>
        <v>0</v>
      </c>
      <c r="X308" s="8">
        <f t="shared" ca="1" si="181"/>
        <v>0</v>
      </c>
      <c r="Y308" s="8">
        <f t="shared" ca="1" si="181"/>
        <v>0</v>
      </c>
      <c r="Z308" s="8">
        <f t="shared" ca="1" si="181"/>
        <v>0</v>
      </c>
      <c r="AA308" s="8">
        <f t="shared" ca="1" si="181"/>
        <v>0</v>
      </c>
      <c r="AB308" s="8">
        <f t="shared" ca="1" si="181"/>
        <v>0</v>
      </c>
      <c r="AC308" s="8">
        <f t="shared" ca="1" si="181"/>
        <v>0</v>
      </c>
      <c r="AD308" s="8">
        <f t="shared" ca="1" si="181"/>
        <v>0</v>
      </c>
      <c r="AE308" s="8">
        <f t="shared" ca="1" si="181"/>
        <v>0</v>
      </c>
      <c r="AF308" s="8">
        <f t="shared" ca="1" si="181"/>
        <v>0</v>
      </c>
      <c r="AG308" s="8">
        <f t="shared" ca="1" si="181"/>
        <v>0</v>
      </c>
      <c r="AH308" s="8">
        <f t="shared" ca="1" si="181"/>
        <v>0</v>
      </c>
      <c r="AI308" s="8">
        <f t="shared" ca="1" si="181"/>
        <v>0</v>
      </c>
    </row>
    <row r="309" spans="1:35" x14ac:dyDescent="0.3">
      <c r="B309" s="243" t="s">
        <v>254</v>
      </c>
      <c r="C309" s="241" t="s">
        <v>11</v>
      </c>
      <c r="E309" s="8">
        <f t="shared" ref="E309:AI309" ca="1" si="182">IF(E293&gt;E298,E293,0)</f>
        <v>0</v>
      </c>
      <c r="F309" s="8">
        <f t="shared" ca="1" si="182"/>
        <v>0</v>
      </c>
      <c r="G309" s="8">
        <f t="shared" ca="1" si="182"/>
        <v>0</v>
      </c>
      <c r="H309" s="8">
        <f t="shared" ca="1" si="182"/>
        <v>0</v>
      </c>
      <c r="I309" s="8">
        <f t="shared" ca="1" si="182"/>
        <v>0</v>
      </c>
      <c r="J309" s="8">
        <f t="shared" ca="1" si="182"/>
        <v>0</v>
      </c>
      <c r="K309" s="8">
        <f t="shared" ca="1" si="182"/>
        <v>0</v>
      </c>
      <c r="L309" s="8">
        <f t="shared" ca="1" si="182"/>
        <v>0</v>
      </c>
      <c r="M309" s="8">
        <f t="shared" ca="1" si="182"/>
        <v>0</v>
      </c>
      <c r="N309" s="8">
        <f t="shared" ca="1" si="182"/>
        <v>0</v>
      </c>
      <c r="O309" s="8">
        <f t="shared" ca="1" si="182"/>
        <v>0</v>
      </c>
      <c r="P309" s="8">
        <f t="shared" ca="1" si="182"/>
        <v>0</v>
      </c>
      <c r="Q309" s="8">
        <f t="shared" ca="1" si="182"/>
        <v>0</v>
      </c>
      <c r="R309" s="8">
        <f t="shared" ca="1" si="182"/>
        <v>0</v>
      </c>
      <c r="S309" s="8">
        <f t="shared" ca="1" si="182"/>
        <v>25.907911291507634</v>
      </c>
      <c r="T309" s="8">
        <f t="shared" ca="1" si="182"/>
        <v>25.969858155545623</v>
      </c>
      <c r="U309" s="8">
        <f t="shared" ca="1" si="182"/>
        <v>25.830960876048515</v>
      </c>
      <c r="V309" s="8">
        <f t="shared" ca="1" si="182"/>
        <v>25.299047888790653</v>
      </c>
      <c r="W309" s="8">
        <f t="shared" ca="1" si="182"/>
        <v>24.564618740840153</v>
      </c>
      <c r="X309" s="8">
        <f t="shared" ca="1" si="182"/>
        <v>23.81813296305198</v>
      </c>
      <c r="Y309" s="8">
        <f t="shared" ca="1" si="182"/>
        <v>23.058653391057877</v>
      </c>
      <c r="Z309" s="8">
        <f t="shared" ca="1" si="182"/>
        <v>22.28519848228872</v>
      </c>
      <c r="AA309" s="8">
        <f t="shared" ca="1" si="182"/>
        <v>21.496739964306702</v>
      </c>
      <c r="AB309" s="8">
        <f t="shared" ca="1" si="182"/>
        <v>20.692200361397955</v>
      </c>
      <c r="AC309" s="8">
        <f t="shared" ca="1" si="182"/>
        <v>19.870450393067678</v>
      </c>
      <c r="AD309" s="8">
        <f t="shared" ca="1" si="182"/>
        <v>19.030306237747215</v>
      </c>
      <c r="AE309" s="8">
        <f t="shared" ca="1" si="182"/>
        <v>11.640260097964781</v>
      </c>
      <c r="AF309" s="8">
        <f t="shared" ca="1" si="182"/>
        <v>0</v>
      </c>
      <c r="AG309" s="8">
        <f t="shared" ca="1" si="182"/>
        <v>0</v>
      </c>
      <c r="AH309" s="8">
        <f t="shared" ca="1" si="182"/>
        <v>0</v>
      </c>
      <c r="AI309" s="8">
        <f t="shared" ca="1" si="182"/>
        <v>0</v>
      </c>
    </row>
    <row r="310" spans="1:35" x14ac:dyDescent="0.3">
      <c r="B310" s="243" t="s">
        <v>255</v>
      </c>
      <c r="C310" s="241" t="s">
        <v>11</v>
      </c>
      <c r="E310" s="8">
        <f t="shared" ref="E310:AI310" ca="1" si="183">E303</f>
        <v>0</v>
      </c>
      <c r="F310" s="8">
        <f t="shared" ca="1" si="183"/>
        <v>0</v>
      </c>
      <c r="G310" s="8">
        <f t="shared" ca="1" si="183"/>
        <v>0</v>
      </c>
      <c r="H310" s="8">
        <f t="shared" ca="1" si="183"/>
        <v>0</v>
      </c>
      <c r="I310" s="8">
        <f t="shared" ca="1" si="183"/>
        <v>0</v>
      </c>
      <c r="J310" s="8">
        <f t="shared" ca="1" si="183"/>
        <v>0</v>
      </c>
      <c r="K310" s="8">
        <f t="shared" ca="1" si="183"/>
        <v>0</v>
      </c>
      <c r="L310" s="8">
        <f t="shared" ca="1" si="183"/>
        <v>0</v>
      </c>
      <c r="M310" s="8">
        <f t="shared" ca="1" si="183"/>
        <v>0</v>
      </c>
      <c r="N310" s="8">
        <f t="shared" ca="1" si="183"/>
        <v>0</v>
      </c>
      <c r="O310" s="8">
        <f t="shared" ca="1" si="183"/>
        <v>0</v>
      </c>
      <c r="P310" s="8">
        <f t="shared" ca="1" si="183"/>
        <v>0</v>
      </c>
      <c r="Q310" s="8">
        <f t="shared" ca="1" si="183"/>
        <v>0</v>
      </c>
      <c r="R310" s="8">
        <f t="shared" ca="1" si="183"/>
        <v>0</v>
      </c>
      <c r="S310" s="8">
        <f t="shared" ca="1" si="183"/>
        <v>15.657284694617363</v>
      </c>
      <c r="T310" s="8">
        <f t="shared" ca="1" si="183"/>
        <v>15.670913004705724</v>
      </c>
      <c r="U310" s="8">
        <f t="shared" ca="1" si="183"/>
        <v>9.9472842880136216</v>
      </c>
      <c r="V310" s="8">
        <f t="shared" ca="1" si="183"/>
        <v>9.8302634308168955</v>
      </c>
      <c r="W310" s="8">
        <f t="shared" ca="1" si="183"/>
        <v>9.6686890182677843</v>
      </c>
      <c r="X310" s="8">
        <f t="shared" ca="1" si="183"/>
        <v>9.5044621471543849</v>
      </c>
      <c r="Y310" s="8">
        <f t="shared" ca="1" si="183"/>
        <v>8.6967787149778992</v>
      </c>
      <c r="Z310" s="8">
        <f t="shared" ca="1" si="183"/>
        <v>0</v>
      </c>
      <c r="AA310" s="8">
        <f t="shared" ca="1" si="183"/>
        <v>0</v>
      </c>
      <c r="AB310" s="8">
        <f t="shared" ca="1" si="183"/>
        <v>0</v>
      </c>
      <c r="AC310" s="8">
        <f t="shared" ca="1" si="183"/>
        <v>0</v>
      </c>
      <c r="AD310" s="8">
        <f t="shared" ca="1" si="183"/>
        <v>0</v>
      </c>
      <c r="AE310" s="8">
        <f t="shared" ca="1" si="183"/>
        <v>0</v>
      </c>
      <c r="AF310" s="8">
        <f t="shared" ca="1" si="183"/>
        <v>0</v>
      </c>
      <c r="AG310" s="8">
        <f t="shared" ca="1" si="183"/>
        <v>0</v>
      </c>
      <c r="AH310" s="8">
        <f t="shared" ca="1" si="183"/>
        <v>0</v>
      </c>
      <c r="AI310" s="8">
        <f t="shared" ca="1" si="183"/>
        <v>0</v>
      </c>
    </row>
    <row r="311" spans="1:35" x14ac:dyDescent="0.3">
      <c r="B311" s="243" t="s">
        <v>256</v>
      </c>
      <c r="C311" s="241" t="s">
        <v>11</v>
      </c>
      <c r="E311" s="8">
        <f t="shared" ref="E311:AI311" ca="1" si="184">MAX(E308,E309-E310)</f>
        <v>0</v>
      </c>
      <c r="F311" s="8">
        <f t="shared" ca="1" si="184"/>
        <v>5.8933851906050885</v>
      </c>
      <c r="G311" s="8">
        <f t="shared" ca="1" si="184"/>
        <v>9.2909692299633981</v>
      </c>
      <c r="H311" s="8">
        <f t="shared" ca="1" si="184"/>
        <v>9.3873481585509726</v>
      </c>
      <c r="I311" s="8">
        <f t="shared" ca="1" si="184"/>
        <v>9.4821396983464776</v>
      </c>
      <c r="J311" s="8">
        <f t="shared" ca="1" si="184"/>
        <v>9.5749639240854361</v>
      </c>
      <c r="K311" s="8">
        <f t="shared" ca="1" si="184"/>
        <v>9.6654251286952615</v>
      </c>
      <c r="L311" s="8">
        <f t="shared" ca="1" si="184"/>
        <v>9.7531109599230987</v>
      </c>
      <c r="M311" s="8">
        <f t="shared" ca="1" si="184"/>
        <v>9.83759151272141</v>
      </c>
      <c r="N311" s="8">
        <f t="shared" ca="1" si="184"/>
        <v>9.9184183750794404</v>
      </c>
      <c r="O311" s="8">
        <f t="shared" ca="1" si="184"/>
        <v>9.9951236248682989</v>
      </c>
      <c r="P311" s="8">
        <f t="shared" ca="1" si="184"/>
        <v>10.06721877514031</v>
      </c>
      <c r="Q311" s="8">
        <f t="shared" ca="1" si="184"/>
        <v>10.134193665189828</v>
      </c>
      <c r="R311" s="8">
        <f t="shared" ca="1" si="184"/>
        <v>10.195515294542282</v>
      </c>
      <c r="S311" s="8">
        <f t="shared" ca="1" si="184"/>
        <v>10.250626596890271</v>
      </c>
      <c r="T311" s="8">
        <f t="shared" ca="1" si="184"/>
        <v>10.298945150839899</v>
      </c>
      <c r="U311" s="8">
        <f t="shared" ca="1" si="184"/>
        <v>15.883676588034893</v>
      </c>
      <c r="V311" s="8">
        <f t="shared" ca="1" si="184"/>
        <v>15.468784457973758</v>
      </c>
      <c r="W311" s="8">
        <f t="shared" ca="1" si="184"/>
        <v>14.895929722572369</v>
      </c>
      <c r="X311" s="8">
        <f t="shared" ca="1" si="184"/>
        <v>14.313670815897595</v>
      </c>
      <c r="Y311" s="8">
        <f t="shared" ca="1" si="184"/>
        <v>14.361874676079978</v>
      </c>
      <c r="Z311" s="8">
        <f t="shared" ca="1" si="184"/>
        <v>22.28519848228872</v>
      </c>
      <c r="AA311" s="8">
        <f t="shared" ca="1" si="184"/>
        <v>21.496739964306702</v>
      </c>
      <c r="AB311" s="8">
        <f t="shared" ca="1" si="184"/>
        <v>20.692200361397955</v>
      </c>
      <c r="AC311" s="8">
        <f t="shared" ca="1" si="184"/>
        <v>19.870450393067678</v>
      </c>
      <c r="AD311" s="8">
        <f t="shared" ca="1" si="184"/>
        <v>19.030306237747215</v>
      </c>
      <c r="AE311" s="8">
        <f t="shared" ca="1" si="184"/>
        <v>11.640260097964781</v>
      </c>
      <c r="AF311" s="8">
        <f t="shared" ca="1" si="184"/>
        <v>0</v>
      </c>
      <c r="AG311" s="8">
        <f t="shared" ca="1" si="184"/>
        <v>0</v>
      </c>
      <c r="AH311" s="8">
        <f t="shared" ca="1" si="184"/>
        <v>0</v>
      </c>
      <c r="AI311" s="8">
        <f t="shared" ca="1" si="184"/>
        <v>0</v>
      </c>
    </row>
    <row r="312" spans="1:35" x14ac:dyDescent="0.3">
      <c r="B312" s="242" t="s">
        <v>257</v>
      </c>
      <c r="C312" s="686" t="s">
        <v>0</v>
      </c>
      <c r="D312" s="240"/>
      <c r="E312" s="687">
        <f t="shared" ref="E312:AI312" ca="1" si="185">IFERROR(E311/E279,0)</f>
        <v>0</v>
      </c>
      <c r="F312" s="687">
        <f t="shared" ca="1" si="185"/>
        <v>0.1716</v>
      </c>
      <c r="G312" s="687">
        <f t="shared" ca="1" si="185"/>
        <v>0.1716</v>
      </c>
      <c r="H312" s="687">
        <f t="shared" ca="1" si="185"/>
        <v>0.1716</v>
      </c>
      <c r="I312" s="687">
        <f t="shared" ca="1" si="185"/>
        <v>0.1716</v>
      </c>
      <c r="J312" s="687">
        <f t="shared" ca="1" si="185"/>
        <v>0.1716</v>
      </c>
      <c r="K312" s="687">
        <f t="shared" ca="1" si="185"/>
        <v>0.1716</v>
      </c>
      <c r="L312" s="687">
        <f t="shared" ca="1" si="185"/>
        <v>0.17159999999999997</v>
      </c>
      <c r="M312" s="687">
        <f t="shared" ca="1" si="185"/>
        <v>0.1716</v>
      </c>
      <c r="N312" s="687">
        <f t="shared" ca="1" si="185"/>
        <v>0.1716</v>
      </c>
      <c r="O312" s="687">
        <f t="shared" ca="1" si="185"/>
        <v>0.1716</v>
      </c>
      <c r="P312" s="687">
        <f t="shared" ca="1" si="185"/>
        <v>0.1716</v>
      </c>
      <c r="Q312" s="687">
        <f t="shared" ca="1" si="185"/>
        <v>0.1716</v>
      </c>
      <c r="R312" s="687">
        <f t="shared" ca="1" si="185"/>
        <v>0.1716</v>
      </c>
      <c r="S312" s="687">
        <f t="shared" ca="1" si="185"/>
        <v>0.1716</v>
      </c>
      <c r="T312" s="687">
        <f t="shared" ca="1" si="185"/>
        <v>0.1716</v>
      </c>
      <c r="U312" s="687">
        <f t="shared" ca="1" si="185"/>
        <v>0.1716</v>
      </c>
      <c r="V312" s="687">
        <f t="shared" ca="1" si="185"/>
        <v>0.1716</v>
      </c>
      <c r="W312" s="687">
        <f t="shared" ca="1" si="185"/>
        <v>0.1716</v>
      </c>
      <c r="X312" s="687">
        <f t="shared" ca="1" si="185"/>
        <v>0.1716</v>
      </c>
      <c r="Y312" s="687">
        <f t="shared" ca="1" si="185"/>
        <v>0.17961139763919048</v>
      </c>
      <c r="Z312" s="687">
        <f t="shared" ca="1" si="185"/>
        <v>0.29151893047415639</v>
      </c>
      <c r="AA312" s="687">
        <f t="shared" ca="1" si="185"/>
        <v>0.29503680850797998</v>
      </c>
      <c r="AB312" s="687">
        <f t="shared" ca="1" si="185"/>
        <v>0.29900202177042812</v>
      </c>
      <c r="AC312" s="687">
        <f t="shared" ca="1" si="185"/>
        <v>0.3035093542053337</v>
      </c>
      <c r="AD312" s="687">
        <f t="shared" ca="1" si="185"/>
        <v>0.30868223067948242</v>
      </c>
      <c r="AE312" s="687">
        <f t="shared" ca="1" si="185"/>
        <v>0.28752278404306292</v>
      </c>
      <c r="AF312" s="687">
        <f t="shared" ca="1" si="185"/>
        <v>0</v>
      </c>
      <c r="AG312" s="687">
        <f t="shared" ca="1" si="185"/>
        <v>0</v>
      </c>
      <c r="AH312" s="687">
        <f t="shared" ca="1" si="185"/>
        <v>0</v>
      </c>
      <c r="AI312" s="687">
        <f t="shared" ca="1" si="185"/>
        <v>0</v>
      </c>
    </row>
    <row r="313" spans="1:35" x14ac:dyDescent="0.3">
      <c r="A313" s="8"/>
      <c r="D313" s="237"/>
      <c r="E313" s="81"/>
    </row>
    <row r="314" spans="1:35" x14ac:dyDescent="0.3">
      <c r="A314" s="244" t="s">
        <v>127</v>
      </c>
      <c r="B314" s="245"/>
      <c r="C314" s="246"/>
      <c r="D314" s="244"/>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c r="AA314" s="247"/>
      <c r="AB314" s="247"/>
      <c r="AC314" s="247"/>
      <c r="AD314" s="247"/>
      <c r="AE314" s="247"/>
      <c r="AF314" s="247"/>
      <c r="AG314" s="247"/>
      <c r="AH314" s="247"/>
      <c r="AI314" s="247"/>
    </row>
    <row r="315" spans="1:35" x14ac:dyDescent="0.3">
      <c r="A315" s="248" t="s">
        <v>126</v>
      </c>
      <c r="B315" s="249"/>
      <c r="C315" s="250"/>
      <c r="D315" s="251"/>
      <c r="E315" s="252"/>
      <c r="F315" s="252"/>
      <c r="G315" s="252"/>
      <c r="H315" s="252"/>
      <c r="I315" s="252"/>
      <c r="J315" s="252"/>
      <c r="K315" s="252"/>
      <c r="L315" s="252"/>
      <c r="M315" s="252"/>
      <c r="N315" s="252"/>
      <c r="O315" s="252"/>
      <c r="P315" s="252"/>
      <c r="Q315" s="252"/>
      <c r="R315" s="252"/>
      <c r="S315" s="252"/>
      <c r="T315" s="252"/>
      <c r="U315" s="251"/>
      <c r="V315" s="251"/>
      <c r="W315" s="251"/>
      <c r="X315" s="251"/>
      <c r="Y315" s="251"/>
      <c r="Z315" s="251"/>
      <c r="AA315" s="251"/>
      <c r="AB315" s="251"/>
      <c r="AC315" s="251"/>
      <c r="AD315" s="251"/>
      <c r="AE315" s="251"/>
      <c r="AF315" s="251"/>
      <c r="AG315" s="251"/>
      <c r="AH315" s="251"/>
      <c r="AI315" s="251"/>
    </row>
    <row r="316" spans="1:35" x14ac:dyDescent="0.3">
      <c r="A316" s="233"/>
      <c r="B316" s="3"/>
      <c r="C316" s="198"/>
      <c r="D316" s="205"/>
      <c r="E316" s="234"/>
      <c r="F316" s="234"/>
      <c r="G316" s="234"/>
      <c r="H316" s="3"/>
      <c r="I316" s="234"/>
      <c r="J316" s="234"/>
      <c r="K316" s="234"/>
      <c r="L316" s="234"/>
      <c r="M316" s="234"/>
      <c r="N316" s="234"/>
      <c r="O316" s="234"/>
      <c r="P316" s="234"/>
      <c r="Q316" s="234"/>
      <c r="R316" s="234"/>
      <c r="S316" s="234"/>
      <c r="T316" s="234"/>
      <c r="U316" s="205"/>
      <c r="V316" s="205"/>
      <c r="W316" s="205"/>
      <c r="X316" s="205"/>
      <c r="Y316" s="205"/>
      <c r="Z316" s="205"/>
      <c r="AA316" s="205"/>
      <c r="AB316" s="205"/>
      <c r="AC316" s="205"/>
      <c r="AD316" s="205"/>
      <c r="AE316" s="205"/>
      <c r="AF316" s="205"/>
      <c r="AG316" s="205"/>
      <c r="AH316" s="205"/>
      <c r="AI316" s="205"/>
    </row>
    <row r="317" spans="1:35" x14ac:dyDescent="0.3">
      <c r="A317" s="5"/>
      <c r="B317" s="253" t="s">
        <v>117</v>
      </c>
      <c r="C317" s="198" t="s">
        <v>11</v>
      </c>
      <c r="D317" s="254"/>
      <c r="E317" s="5">
        <f t="shared" ref="E317:AI317" ca="1" si="186">E162</f>
        <v>0</v>
      </c>
      <c r="F317" s="5">
        <f t="shared" ca="1" si="186"/>
        <v>89.815003537659209</v>
      </c>
      <c r="G317" s="5">
        <f t="shared" ca="1" si="186"/>
        <v>177.31173341361759</v>
      </c>
      <c r="H317" s="5">
        <f t="shared" ca="1" si="186"/>
        <v>175.09533674594738</v>
      </c>
      <c r="I317" s="5">
        <f t="shared" ca="1" si="186"/>
        <v>172.90664503662305</v>
      </c>
      <c r="J317" s="5">
        <f t="shared" ca="1" si="186"/>
        <v>170.74531197366528</v>
      </c>
      <c r="K317" s="5">
        <f t="shared" ca="1" si="186"/>
        <v>168.61099557399447</v>
      </c>
      <c r="L317" s="5">
        <f t="shared" ca="1" si="186"/>
        <v>166.50335812931954</v>
      </c>
      <c r="M317" s="5">
        <f t="shared" ca="1" si="186"/>
        <v>164.42206615270305</v>
      </c>
      <c r="N317" s="5">
        <f t="shared" ca="1" si="186"/>
        <v>162.36679032579428</v>
      </c>
      <c r="O317" s="5">
        <f t="shared" ca="1" si="186"/>
        <v>160.33720544672184</v>
      </c>
      <c r="P317" s="5">
        <f t="shared" ca="1" si="186"/>
        <v>158.33299037863782</v>
      </c>
      <c r="Q317" s="5">
        <f t="shared" ca="1" si="186"/>
        <v>156.35382799890488</v>
      </c>
      <c r="R317" s="5">
        <f t="shared" ca="1" si="186"/>
        <v>154.39940514891856</v>
      </c>
      <c r="S317" s="5">
        <f t="shared" ca="1" si="186"/>
        <v>152.46941258455712</v>
      </c>
      <c r="T317" s="5">
        <f t="shared" ca="1" si="186"/>
        <v>150.56354492725012</v>
      </c>
      <c r="U317" s="5">
        <f t="shared" ca="1" si="186"/>
        <v>148.68150061565953</v>
      </c>
      <c r="V317" s="5">
        <f t="shared" ca="1" si="186"/>
        <v>146.82298185796378</v>
      </c>
      <c r="W317" s="5">
        <f t="shared" ca="1" si="186"/>
        <v>144.98769458473924</v>
      </c>
      <c r="X317" s="5">
        <f t="shared" ca="1" si="186"/>
        <v>143.17534840242999</v>
      </c>
      <c r="Y317" s="5">
        <f t="shared" ca="1" si="186"/>
        <v>141.38565654739961</v>
      </c>
      <c r="Z317" s="5">
        <f t="shared" ca="1" si="186"/>
        <v>139.61833584055714</v>
      </c>
      <c r="AA317" s="5">
        <f t="shared" ca="1" si="186"/>
        <v>137.8731066425502</v>
      </c>
      <c r="AB317" s="5">
        <f t="shared" ca="1" si="186"/>
        <v>136.14969280951831</v>
      </c>
      <c r="AC317" s="5">
        <f t="shared" ca="1" si="186"/>
        <v>134.44782164939937</v>
      </c>
      <c r="AD317" s="5">
        <f t="shared" ca="1" si="186"/>
        <v>132.76722387878186</v>
      </c>
      <c r="AE317" s="5">
        <f t="shared" ca="1" si="186"/>
        <v>77.237216038560803</v>
      </c>
      <c r="AF317" s="5">
        <f t="shared" ca="1" si="186"/>
        <v>0</v>
      </c>
      <c r="AG317" s="5">
        <f t="shared" ca="1" si="186"/>
        <v>0</v>
      </c>
      <c r="AH317" s="5">
        <f t="shared" ca="1" si="186"/>
        <v>0</v>
      </c>
      <c r="AI317" s="5">
        <f t="shared" ca="1" si="186"/>
        <v>0</v>
      </c>
    </row>
    <row r="318" spans="1:35" x14ac:dyDescent="0.3">
      <c r="A318" s="5"/>
      <c r="B318" s="255" t="s">
        <v>125</v>
      </c>
      <c r="C318" s="198"/>
      <c r="D318" s="20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row>
    <row r="319" spans="1:35" x14ac:dyDescent="0.3">
      <c r="A319" s="3"/>
      <c r="B319" s="256" t="s">
        <v>479</v>
      </c>
      <c r="C319" s="198" t="s">
        <v>11</v>
      </c>
      <c r="D319" s="205"/>
      <c r="E319" s="3">
        <f t="shared" ref="E319:AI319" si="187">E165</f>
        <v>0</v>
      </c>
      <c r="F319" s="3">
        <f t="shared" si="187"/>
        <v>5.5725712981917805</v>
      </c>
      <c r="G319" s="3">
        <f t="shared" si="187"/>
        <v>11.762488578800001</v>
      </c>
      <c r="H319" s="3">
        <f t="shared" si="187"/>
        <v>12.380019229186999</v>
      </c>
      <c r="I319" s="3">
        <f t="shared" si="187"/>
        <v>13.029970238719315</v>
      </c>
      <c r="J319" s="3">
        <f t="shared" si="187"/>
        <v>13.714043676252082</v>
      </c>
      <c r="K319" s="3">
        <f t="shared" si="187"/>
        <v>14.434030969255314</v>
      </c>
      <c r="L319" s="3">
        <f t="shared" si="187"/>
        <v>15.19181759514122</v>
      </c>
      <c r="M319" s="3">
        <f t="shared" si="187"/>
        <v>15.989388018886132</v>
      </c>
      <c r="N319" s="3">
        <f t="shared" si="187"/>
        <v>16.828830889877654</v>
      </c>
      <c r="O319" s="3">
        <f t="shared" si="187"/>
        <v>17.712344511596232</v>
      </c>
      <c r="P319" s="3">
        <f t="shared" si="187"/>
        <v>18.642242598455031</v>
      </c>
      <c r="Q319" s="3">
        <f t="shared" si="187"/>
        <v>19.620960334873921</v>
      </c>
      <c r="R319" s="3">
        <f t="shared" si="187"/>
        <v>20.6510607524548</v>
      </c>
      <c r="S319" s="3">
        <f t="shared" si="187"/>
        <v>21.735241441958678</v>
      </c>
      <c r="T319" s="3">
        <f t="shared" si="187"/>
        <v>22.87634161766151</v>
      </c>
      <c r="U319" s="3">
        <f t="shared" si="187"/>
        <v>24.077349552588739</v>
      </c>
      <c r="V319" s="3">
        <f t="shared" si="187"/>
        <v>25.341410404099648</v>
      </c>
      <c r="W319" s="3">
        <f t="shared" si="187"/>
        <v>26.671834450314876</v>
      </c>
      <c r="X319" s="3">
        <f t="shared" si="187"/>
        <v>28.072105758956408</v>
      </c>
      <c r="Y319" s="3">
        <f t="shared" si="187"/>
        <v>29.54589131130162</v>
      </c>
      <c r="Z319" s="3">
        <f t="shared" si="187"/>
        <v>31.097050605144954</v>
      </c>
      <c r="AA319" s="3">
        <f t="shared" si="187"/>
        <v>32.729645761915066</v>
      </c>
      <c r="AB319" s="3">
        <f t="shared" si="187"/>
        <v>34.447952164415604</v>
      </c>
      <c r="AC319" s="3">
        <f t="shared" si="187"/>
        <v>36.256469653047425</v>
      </c>
      <c r="AD319" s="3">
        <f t="shared" si="187"/>
        <v>38.159934309832416</v>
      </c>
      <c r="AE319" s="3">
        <f t="shared" si="187"/>
        <v>20.081665430549307</v>
      </c>
      <c r="AF319" s="3">
        <f t="shared" si="187"/>
        <v>0</v>
      </c>
      <c r="AG319" s="3">
        <f t="shared" si="187"/>
        <v>0</v>
      </c>
      <c r="AH319" s="3">
        <f t="shared" si="187"/>
        <v>0</v>
      </c>
      <c r="AI319" s="3">
        <f t="shared" si="187"/>
        <v>0</v>
      </c>
    </row>
    <row r="320" spans="1:35" x14ac:dyDescent="0.3">
      <c r="A320" s="3"/>
      <c r="B320" s="256" t="s">
        <v>480</v>
      </c>
      <c r="C320" s="198" t="s">
        <v>11</v>
      </c>
      <c r="D320" s="205"/>
      <c r="E320" s="3">
        <f>E173</f>
        <v>0</v>
      </c>
      <c r="F320" s="3">
        <f t="shared" ref="F320:AI320" si="188">F173</f>
        <v>1.1877748137321253</v>
      </c>
      <c r="G320" s="3">
        <f t="shared" si="188"/>
        <v>2.4718801227284981</v>
      </c>
      <c r="H320" s="3">
        <f t="shared" si="188"/>
        <v>2.5650700033553626</v>
      </c>
      <c r="I320" s="3">
        <f t="shared" si="188"/>
        <v>2.6617731424818594</v>
      </c>
      <c r="J320" s="3">
        <f t="shared" si="188"/>
        <v>2.7621219899534259</v>
      </c>
      <c r="K320" s="3">
        <f t="shared" si="188"/>
        <v>2.8662539889746701</v>
      </c>
      <c r="L320" s="3">
        <f t="shared" si="188"/>
        <v>2.9743117643590153</v>
      </c>
      <c r="M320" s="3">
        <f t="shared" si="188"/>
        <v>3.0864433178753505</v>
      </c>
      <c r="N320" s="3">
        <f t="shared" si="188"/>
        <v>3.2028022309592519</v>
      </c>
      <c r="O320" s="3">
        <f t="shared" si="188"/>
        <v>3.3235478750664158</v>
      </c>
      <c r="P320" s="3">
        <f t="shared" si="188"/>
        <v>3.4488456299564199</v>
      </c>
      <c r="Q320" s="3">
        <f t="shared" si="188"/>
        <v>3.5788671102057772</v>
      </c>
      <c r="R320" s="3">
        <f t="shared" si="188"/>
        <v>3.7137904002605349</v>
      </c>
      <c r="S320" s="3">
        <f t="shared" si="188"/>
        <v>3.8538002983503579</v>
      </c>
      <c r="T320" s="3">
        <f t="shared" si="188"/>
        <v>3.9990885695981659</v>
      </c>
      <c r="U320" s="3">
        <f t="shared" si="188"/>
        <v>4.1498542086720178</v>
      </c>
      <c r="V320" s="3">
        <f t="shared" si="188"/>
        <v>4.306303712338952</v>
      </c>
      <c r="W320" s="3">
        <f t="shared" si="188"/>
        <v>4.4686513622941302</v>
      </c>
      <c r="X320" s="3">
        <f t="shared" si="188"/>
        <v>4.6371195186526206</v>
      </c>
      <c r="Y320" s="3">
        <f t="shared" si="188"/>
        <v>4.8119389245058235</v>
      </c>
      <c r="Z320" s="3">
        <f t="shared" si="188"/>
        <v>4.9933490219596948</v>
      </c>
      <c r="AA320" s="3">
        <f t="shared" si="188"/>
        <v>5.1815982800875746</v>
      </c>
      <c r="AB320" s="3">
        <f t="shared" si="188"/>
        <v>5.3769445352468779</v>
      </c>
      <c r="AC320" s="3">
        <f t="shared" si="188"/>
        <v>5.5796553442256842</v>
      </c>
      <c r="AD320" s="3">
        <f t="shared" si="188"/>
        <v>5.7900083507029922</v>
      </c>
      <c r="AE320" s="3">
        <f t="shared" si="188"/>
        <v>2.9490701465396696</v>
      </c>
      <c r="AF320" s="3">
        <f t="shared" si="188"/>
        <v>0</v>
      </c>
      <c r="AG320" s="3">
        <f t="shared" si="188"/>
        <v>0</v>
      </c>
      <c r="AH320" s="3">
        <f t="shared" si="188"/>
        <v>0</v>
      </c>
      <c r="AI320" s="3">
        <f t="shared" si="188"/>
        <v>0</v>
      </c>
    </row>
    <row r="321" spans="1:35" x14ac:dyDescent="0.3">
      <c r="A321" s="5"/>
      <c r="B321" s="255" t="s">
        <v>124</v>
      </c>
      <c r="C321" s="198" t="s">
        <v>11</v>
      </c>
      <c r="D321" s="205"/>
      <c r="E321" s="5">
        <f t="shared" ref="E321:AI321" ca="1" si="189">E317-E319-E320</f>
        <v>0</v>
      </c>
      <c r="F321" s="5">
        <f t="shared" ca="1" si="189"/>
        <v>83.054657425735314</v>
      </c>
      <c r="G321" s="5">
        <f t="shared" ca="1" si="189"/>
        <v>163.07736471208909</v>
      </c>
      <c r="H321" s="5">
        <f t="shared" ca="1" si="189"/>
        <v>160.15024751340499</v>
      </c>
      <c r="I321" s="5">
        <f t="shared" ca="1" si="189"/>
        <v>157.21490165542187</v>
      </c>
      <c r="J321" s="5">
        <f t="shared" ca="1" si="189"/>
        <v>154.26914630745978</v>
      </c>
      <c r="K321" s="5">
        <f t="shared" ca="1" si="189"/>
        <v>151.31071061576449</v>
      </c>
      <c r="L321" s="5">
        <f t="shared" ca="1" si="189"/>
        <v>148.33722876981929</v>
      </c>
      <c r="M321" s="5">
        <f t="shared" ca="1" si="189"/>
        <v>145.34623481594156</v>
      </c>
      <c r="N321" s="5">
        <f t="shared" ca="1" si="189"/>
        <v>142.33515720495737</v>
      </c>
      <c r="O321" s="5">
        <f t="shared" ca="1" si="189"/>
        <v>139.30131306005919</v>
      </c>
      <c r="P321" s="5">
        <f t="shared" ca="1" si="189"/>
        <v>136.24190215022637</v>
      </c>
      <c r="Q321" s="5">
        <f t="shared" ca="1" si="189"/>
        <v>133.15400055382517</v>
      </c>
      <c r="R321" s="5">
        <f t="shared" ca="1" si="189"/>
        <v>130.03455399620321</v>
      </c>
      <c r="S321" s="5">
        <f t="shared" ca="1" si="189"/>
        <v>126.88037084424806</v>
      </c>
      <c r="T321" s="5">
        <f t="shared" ca="1" si="189"/>
        <v>123.68811473999044</v>
      </c>
      <c r="U321" s="5">
        <f t="shared" ca="1" si="189"/>
        <v>120.45429685439876</v>
      </c>
      <c r="V321" s="5">
        <f t="shared" ca="1" si="189"/>
        <v>117.17526774152518</v>
      </c>
      <c r="W321" s="5">
        <f t="shared" ca="1" si="189"/>
        <v>113.84720877213024</v>
      </c>
      <c r="X321" s="5">
        <f t="shared" ca="1" si="189"/>
        <v>110.46612312482095</v>
      </c>
      <c r="Y321" s="5">
        <f t="shared" ca="1" si="189"/>
        <v>107.02782631159216</v>
      </c>
      <c r="Z321" s="5">
        <f t="shared" ca="1" si="189"/>
        <v>103.52793621345248</v>
      </c>
      <c r="AA321" s="5">
        <f t="shared" ca="1" si="189"/>
        <v>99.961862600547562</v>
      </c>
      <c r="AB321" s="5">
        <f t="shared" ca="1" si="189"/>
        <v>96.324796109855839</v>
      </c>
      <c r="AC321" s="5">
        <f t="shared" ca="1" si="189"/>
        <v>92.61169665212627</v>
      </c>
      <c r="AD321" s="5">
        <f t="shared" ca="1" si="189"/>
        <v>88.817281218246464</v>
      </c>
      <c r="AE321" s="5">
        <f t="shared" ca="1" si="189"/>
        <v>54.206480461471827</v>
      </c>
      <c r="AF321" s="5">
        <f t="shared" ca="1" si="189"/>
        <v>0</v>
      </c>
      <c r="AG321" s="5">
        <f t="shared" ca="1" si="189"/>
        <v>0</v>
      </c>
      <c r="AH321" s="5">
        <f t="shared" ca="1" si="189"/>
        <v>0</v>
      </c>
      <c r="AI321" s="5">
        <f t="shared" ca="1" si="189"/>
        <v>0</v>
      </c>
    </row>
    <row r="322" spans="1:35" x14ac:dyDescent="0.3">
      <c r="A322" s="5"/>
      <c r="B322" s="257" t="s">
        <v>4</v>
      </c>
      <c r="C322" s="198" t="s">
        <v>11</v>
      </c>
      <c r="D322" s="205"/>
      <c r="E322" s="5">
        <f t="shared" ref="E322:AI322" si="190">E116</f>
        <v>0</v>
      </c>
      <c r="F322" s="5">
        <f t="shared" ref="F322:AE322" ca="1" si="191">F116</f>
        <v>28.934333529846327</v>
      </c>
      <c r="G322" s="5">
        <f t="shared" ca="1" si="191"/>
        <v>58.027646914252252</v>
      </c>
      <c r="H322" s="5">
        <f t="shared" ca="1" si="191"/>
        <v>58.027646914252252</v>
      </c>
      <c r="I322" s="5">
        <f t="shared" ca="1" si="191"/>
        <v>58.027646914252252</v>
      </c>
      <c r="J322" s="5">
        <f t="shared" ca="1" si="191"/>
        <v>58.027646914252252</v>
      </c>
      <c r="K322" s="5">
        <f t="shared" ca="1" si="191"/>
        <v>58.027646914252252</v>
      </c>
      <c r="L322" s="5">
        <f t="shared" ca="1" si="191"/>
        <v>58.027646914252252</v>
      </c>
      <c r="M322" s="5">
        <f t="shared" ca="1" si="191"/>
        <v>58.027646914252252</v>
      </c>
      <c r="N322" s="5">
        <f t="shared" ca="1" si="191"/>
        <v>58.027646914252252</v>
      </c>
      <c r="O322" s="5">
        <f t="shared" ca="1" si="191"/>
        <v>58.027646914252252</v>
      </c>
      <c r="P322" s="5">
        <f t="shared" ca="1" si="191"/>
        <v>58.027646914252252</v>
      </c>
      <c r="Q322" s="5">
        <f t="shared" ca="1" si="191"/>
        <v>58.027646914252252</v>
      </c>
      <c r="R322" s="5">
        <f t="shared" ca="1" si="191"/>
        <v>58.027646914252252</v>
      </c>
      <c r="S322" s="5">
        <f t="shared" ca="1" si="191"/>
        <v>58.027646914252252</v>
      </c>
      <c r="T322" s="5">
        <f t="shared" ca="1" si="191"/>
        <v>58.027646914252252</v>
      </c>
      <c r="U322" s="5">
        <f t="shared" ca="1" si="191"/>
        <v>24.851240648502035</v>
      </c>
      <c r="V322" s="5">
        <f t="shared" ca="1" si="191"/>
        <v>24.851240648502035</v>
      </c>
      <c r="W322" s="5">
        <f t="shared" ca="1" si="191"/>
        <v>24.851240648502035</v>
      </c>
      <c r="X322" s="5">
        <f t="shared" ca="1" si="191"/>
        <v>24.851240648502035</v>
      </c>
      <c r="Y322" s="5">
        <f t="shared" ca="1" si="191"/>
        <v>24.851240648502035</v>
      </c>
      <c r="Z322" s="5">
        <f t="shared" ca="1" si="191"/>
        <v>24.851240648502035</v>
      </c>
      <c r="AA322" s="5">
        <f t="shared" ca="1" si="191"/>
        <v>24.851240648502035</v>
      </c>
      <c r="AB322" s="5">
        <f t="shared" ca="1" si="191"/>
        <v>24.851240648502035</v>
      </c>
      <c r="AC322" s="5">
        <f t="shared" ca="1" si="191"/>
        <v>24.851240648502035</v>
      </c>
      <c r="AD322" s="5">
        <f t="shared" ca="1" si="191"/>
        <v>24.851240648502035</v>
      </c>
      <c r="AE322" s="5">
        <f t="shared" ca="1" si="191"/>
        <v>12.425620324251017</v>
      </c>
      <c r="AF322" s="5">
        <f t="shared" si="190"/>
        <v>0</v>
      </c>
      <c r="AG322" s="5">
        <f t="shared" si="190"/>
        <v>0</v>
      </c>
      <c r="AH322" s="5">
        <f t="shared" si="190"/>
        <v>0</v>
      </c>
      <c r="AI322" s="5">
        <f t="shared" si="190"/>
        <v>0</v>
      </c>
    </row>
    <row r="323" spans="1:35" x14ac:dyDescent="0.3">
      <c r="A323" s="5"/>
      <c r="B323" s="255" t="s">
        <v>123</v>
      </c>
      <c r="C323" s="198" t="s">
        <v>11</v>
      </c>
      <c r="D323" s="205"/>
      <c r="E323" s="5">
        <f t="shared" ref="E323:AI323" ca="1" si="192">E321-E322</f>
        <v>0</v>
      </c>
      <c r="F323" s="5">
        <f t="shared" ca="1" si="192"/>
        <v>54.120323895888987</v>
      </c>
      <c r="G323" s="5">
        <f t="shared" ca="1" si="192"/>
        <v>105.04971779783685</v>
      </c>
      <c r="H323" s="5">
        <f t="shared" ca="1" si="192"/>
        <v>102.12260059915275</v>
      </c>
      <c r="I323" s="5">
        <f t="shared" ca="1" si="192"/>
        <v>99.187254741169625</v>
      </c>
      <c r="J323" s="5">
        <f t="shared" ca="1" si="192"/>
        <v>96.241499393207533</v>
      </c>
      <c r="K323" s="5">
        <f t="shared" ca="1" si="192"/>
        <v>93.283063701512248</v>
      </c>
      <c r="L323" s="5">
        <f t="shared" ca="1" si="192"/>
        <v>90.309581855567046</v>
      </c>
      <c r="M323" s="5">
        <f t="shared" ca="1" si="192"/>
        <v>87.318587901689313</v>
      </c>
      <c r="N323" s="5">
        <f t="shared" ca="1" si="192"/>
        <v>84.307510290705125</v>
      </c>
      <c r="O323" s="5">
        <f t="shared" ca="1" si="192"/>
        <v>81.273666145806942</v>
      </c>
      <c r="P323" s="5">
        <f t="shared" ca="1" si="192"/>
        <v>78.214255235974122</v>
      </c>
      <c r="Q323" s="5">
        <f t="shared" ca="1" si="192"/>
        <v>75.126353639572926</v>
      </c>
      <c r="R323" s="5">
        <f t="shared" ca="1" si="192"/>
        <v>72.00690708195097</v>
      </c>
      <c r="S323" s="5">
        <f t="shared" ca="1" si="192"/>
        <v>68.852723929995818</v>
      </c>
      <c r="T323" s="5">
        <f t="shared" ca="1" si="192"/>
        <v>65.660467825738181</v>
      </c>
      <c r="U323" s="5">
        <f t="shared" ca="1" si="192"/>
        <v>95.603056205896735</v>
      </c>
      <c r="V323" s="5">
        <f t="shared" ca="1" si="192"/>
        <v>92.324027093023147</v>
      </c>
      <c r="W323" s="5">
        <f t="shared" ca="1" si="192"/>
        <v>88.995968123628217</v>
      </c>
      <c r="X323" s="5">
        <f t="shared" ca="1" si="192"/>
        <v>85.614882476318911</v>
      </c>
      <c r="Y323" s="5">
        <f t="shared" ca="1" si="192"/>
        <v>82.176585663090123</v>
      </c>
      <c r="Z323" s="5">
        <f t="shared" ca="1" si="192"/>
        <v>78.67669556495045</v>
      </c>
      <c r="AA323" s="5">
        <f t="shared" ca="1" si="192"/>
        <v>75.110621952045534</v>
      </c>
      <c r="AB323" s="5">
        <f t="shared" ca="1" si="192"/>
        <v>71.473555461353811</v>
      </c>
      <c r="AC323" s="5">
        <f t="shared" ca="1" si="192"/>
        <v>67.760456003624228</v>
      </c>
      <c r="AD323" s="5">
        <f t="shared" ca="1" si="192"/>
        <v>63.966040569744429</v>
      </c>
      <c r="AE323" s="5">
        <f t="shared" ca="1" si="192"/>
        <v>41.780860137220813</v>
      </c>
      <c r="AF323" s="5">
        <f t="shared" ca="1" si="192"/>
        <v>0</v>
      </c>
      <c r="AG323" s="5">
        <f t="shared" ca="1" si="192"/>
        <v>0</v>
      </c>
      <c r="AH323" s="5">
        <f t="shared" ca="1" si="192"/>
        <v>0</v>
      </c>
      <c r="AI323" s="5">
        <f t="shared" ca="1" si="192"/>
        <v>0</v>
      </c>
    </row>
    <row r="324" spans="1:35" x14ac:dyDescent="0.3">
      <c r="A324" s="5"/>
      <c r="B324" s="257" t="s">
        <v>122</v>
      </c>
      <c r="C324" s="198" t="s">
        <v>11</v>
      </c>
      <c r="D324" s="205"/>
      <c r="E324" s="5">
        <f t="shared" ref="E324:AI324" ca="1" si="193">E81+E91</f>
        <v>0</v>
      </c>
      <c r="F324" s="5">
        <f t="shared" ca="1" si="193"/>
        <v>18.672217381508435</v>
      </c>
      <c r="G324" s="5">
        <f t="shared" ca="1" si="193"/>
        <v>48.708431671063991</v>
      </c>
      <c r="H324" s="5">
        <f t="shared" ca="1" si="193"/>
        <v>45.229257980273701</v>
      </c>
      <c r="I324" s="5">
        <f t="shared" ca="1" si="193"/>
        <v>41.750084289483418</v>
      </c>
      <c r="J324" s="5">
        <f t="shared" ca="1" si="193"/>
        <v>38.270910598693128</v>
      </c>
      <c r="K324" s="5">
        <f t="shared" ca="1" si="193"/>
        <v>34.791736907902845</v>
      </c>
      <c r="L324" s="5">
        <f t="shared" ca="1" si="193"/>
        <v>31.312563217112558</v>
      </c>
      <c r="M324" s="5">
        <f t="shared" ca="1" si="193"/>
        <v>27.833389526322271</v>
      </c>
      <c r="N324" s="5">
        <f t="shared" ca="1" si="193"/>
        <v>24.354215835531988</v>
      </c>
      <c r="O324" s="5">
        <f t="shared" ca="1" si="193"/>
        <v>20.875042144741702</v>
      </c>
      <c r="P324" s="5">
        <f t="shared" ca="1" si="193"/>
        <v>17.395868453951422</v>
      </c>
      <c r="Q324" s="5">
        <f t="shared" ca="1" si="193"/>
        <v>13.916694763161136</v>
      </c>
      <c r="R324" s="5">
        <f t="shared" ca="1" si="193"/>
        <v>10.437521072370851</v>
      </c>
      <c r="S324" s="5">
        <f t="shared" ca="1" si="193"/>
        <v>6.9583473815805652</v>
      </c>
      <c r="T324" s="5">
        <f t="shared" ca="1" si="193"/>
        <v>3.4791736907902795</v>
      </c>
      <c r="U324" s="5">
        <f t="shared" ca="1" si="193"/>
        <v>0.86979342269756865</v>
      </c>
      <c r="V324" s="5">
        <f t="shared" ca="1" si="193"/>
        <v>0</v>
      </c>
      <c r="W324" s="5">
        <f t="shared" ca="1" si="193"/>
        <v>0</v>
      </c>
      <c r="X324" s="5">
        <f t="shared" ca="1" si="193"/>
        <v>0</v>
      </c>
      <c r="Y324" s="5">
        <f t="shared" ca="1" si="193"/>
        <v>0</v>
      </c>
      <c r="Z324" s="5">
        <f t="shared" ca="1" si="193"/>
        <v>0</v>
      </c>
      <c r="AA324" s="5">
        <f t="shared" ca="1" si="193"/>
        <v>0</v>
      </c>
      <c r="AB324" s="5">
        <f t="shared" ca="1" si="193"/>
        <v>0</v>
      </c>
      <c r="AC324" s="5">
        <f t="shared" ca="1" si="193"/>
        <v>0</v>
      </c>
      <c r="AD324" s="5">
        <f t="shared" ca="1" si="193"/>
        <v>0</v>
      </c>
      <c r="AE324" s="5">
        <f t="shared" ca="1" si="193"/>
        <v>0</v>
      </c>
      <c r="AF324" s="5">
        <f t="shared" ca="1" si="193"/>
        <v>0</v>
      </c>
      <c r="AG324" s="5">
        <f t="shared" ca="1" si="193"/>
        <v>0</v>
      </c>
      <c r="AH324" s="5">
        <f t="shared" ca="1" si="193"/>
        <v>0</v>
      </c>
      <c r="AI324" s="5">
        <f t="shared" ca="1" si="193"/>
        <v>0</v>
      </c>
    </row>
    <row r="325" spans="1:35" x14ac:dyDescent="0.3">
      <c r="A325" s="5"/>
      <c r="B325" s="257" t="s">
        <v>82</v>
      </c>
      <c r="C325" s="198" t="s">
        <v>11</v>
      </c>
      <c r="D325" s="205"/>
      <c r="E325" s="5">
        <f t="shared" ref="E325:AI325" si="194">E186</f>
        <v>0</v>
      </c>
      <c r="F325" s="5">
        <f t="shared" ca="1" si="194"/>
        <v>1.1043699723928568</v>
      </c>
      <c r="G325" s="5">
        <f t="shared" ca="1" si="194"/>
        <v>2.1981087959838259</v>
      </c>
      <c r="H325" s="5">
        <f t="shared" ca="1" si="194"/>
        <v>2.1885165200971599</v>
      </c>
      <c r="I325" s="5">
        <f t="shared" ca="1" si="194"/>
        <v>2.1799461023477655</v>
      </c>
      <c r="J325" s="5">
        <f t="shared" ca="1" si="194"/>
        <v>2.1724307287484645</v>
      </c>
      <c r="K325" s="5">
        <f t="shared" ca="1" si="194"/>
        <v>2.1660055308165065</v>
      </c>
      <c r="L325" s="5">
        <f t="shared" ca="1" si="194"/>
        <v>2.1607076831916685</v>
      </c>
      <c r="M325" s="5">
        <f t="shared" ca="1" si="194"/>
        <v>2.1565765063611546</v>
      </c>
      <c r="N325" s="5">
        <f t="shared" ca="1" si="194"/>
        <v>2.1536535747568122</v>
      </c>
      <c r="O325" s="5">
        <f t="shared" ca="1" si="194"/>
        <v>2.1519828305040556</v>
      </c>
      <c r="P325" s="5">
        <f t="shared" ca="1" si="194"/>
        <v>2.1516107031164693</v>
      </c>
      <c r="Q325" s="5">
        <f t="shared" ca="1" si="194"/>
        <v>2.1525862354454222</v>
      </c>
      <c r="R325" s="5">
        <f t="shared" ca="1" si="194"/>
        <v>2.1549612162101743</v>
      </c>
      <c r="S325" s="5">
        <f t="shared" ca="1" si="194"/>
        <v>2.1587903194509761</v>
      </c>
      <c r="T325" s="5">
        <f t="shared" ca="1" si="194"/>
        <v>2.1641312512655166</v>
      </c>
      <c r="U325" s="5">
        <f t="shared" ca="1" si="194"/>
        <v>2.1710449042079523</v>
      </c>
      <c r="V325" s="5">
        <f t="shared" ca="1" si="194"/>
        <v>2.1795955197494989</v>
      </c>
      <c r="W325" s="5">
        <f t="shared" ca="1" si="194"/>
        <v>2.1898508592204764</v>
      </c>
      <c r="X325" s="5">
        <f t="shared" ca="1" si="194"/>
        <v>2.2018823836755801</v>
      </c>
      <c r="Y325" s="5">
        <f t="shared" ca="1" si="194"/>
        <v>2.2157654431472769</v>
      </c>
      <c r="Z325" s="5">
        <f t="shared" ca="1" si="194"/>
        <v>2.2315794757764875</v>
      </c>
      <c r="AA325" s="5">
        <f t="shared" ca="1" si="194"/>
        <v>2.2494082173352976</v>
      </c>
      <c r="AB325" s="5">
        <f t="shared" ca="1" si="194"/>
        <v>2.269339921683327</v>
      </c>
      <c r="AC325" s="5">
        <f t="shared" ca="1" si="194"/>
        <v>2.2914675927277082</v>
      </c>
      <c r="AD325" s="5">
        <f t="shared" ca="1" si="194"/>
        <v>2.3158892284863919</v>
      </c>
      <c r="AE325" s="5">
        <f t="shared" ca="1" si="194"/>
        <v>1.2962072889046494</v>
      </c>
      <c r="AF325" s="5">
        <f t="shared" si="194"/>
        <v>0</v>
      </c>
      <c r="AG325" s="5">
        <f t="shared" si="194"/>
        <v>0</v>
      </c>
      <c r="AH325" s="5">
        <f t="shared" si="194"/>
        <v>0</v>
      </c>
      <c r="AI325" s="5">
        <f t="shared" si="194"/>
        <v>0</v>
      </c>
    </row>
    <row r="326" spans="1:35" x14ac:dyDescent="0.3">
      <c r="A326" s="5"/>
      <c r="B326" s="257" t="s">
        <v>81</v>
      </c>
      <c r="C326" s="198" t="s">
        <v>11</v>
      </c>
      <c r="D326" s="205"/>
      <c r="E326" s="5">
        <f t="shared" ref="E326:AI326" si="195">E249</f>
        <v>0</v>
      </c>
      <c r="F326" s="5">
        <f t="shared" si="195"/>
        <v>0</v>
      </c>
      <c r="G326" s="5">
        <f t="shared" si="195"/>
        <v>0</v>
      </c>
      <c r="H326" s="5">
        <f t="shared" si="195"/>
        <v>0</v>
      </c>
      <c r="I326" s="5">
        <f t="shared" si="195"/>
        <v>0</v>
      </c>
      <c r="J326" s="5">
        <f t="shared" si="195"/>
        <v>0</v>
      </c>
      <c r="K326" s="5">
        <f t="shared" si="195"/>
        <v>0</v>
      </c>
      <c r="L326" s="5">
        <f t="shared" si="195"/>
        <v>0</v>
      </c>
      <c r="M326" s="5">
        <f t="shared" si="195"/>
        <v>0</v>
      </c>
      <c r="N326" s="5">
        <f t="shared" si="195"/>
        <v>0</v>
      </c>
      <c r="O326" s="5">
        <f t="shared" si="195"/>
        <v>0</v>
      </c>
      <c r="P326" s="5">
        <f t="shared" si="195"/>
        <v>0</v>
      </c>
      <c r="Q326" s="5">
        <f t="shared" si="195"/>
        <v>0</v>
      </c>
      <c r="R326" s="5">
        <f t="shared" si="195"/>
        <v>0</v>
      </c>
      <c r="S326" s="5">
        <f t="shared" si="195"/>
        <v>0</v>
      </c>
      <c r="T326" s="5">
        <f t="shared" si="195"/>
        <v>0</v>
      </c>
      <c r="U326" s="5">
        <f t="shared" si="195"/>
        <v>0</v>
      </c>
      <c r="V326" s="5">
        <f t="shared" si="195"/>
        <v>0</v>
      </c>
      <c r="W326" s="5">
        <f t="shared" si="195"/>
        <v>0</v>
      </c>
      <c r="X326" s="5">
        <f t="shared" si="195"/>
        <v>0</v>
      </c>
      <c r="Y326" s="5">
        <f t="shared" si="195"/>
        <v>0</v>
      </c>
      <c r="Z326" s="5">
        <f t="shared" si="195"/>
        <v>0</v>
      </c>
      <c r="AA326" s="5">
        <f t="shared" si="195"/>
        <v>0</v>
      </c>
      <c r="AB326" s="5">
        <f t="shared" si="195"/>
        <v>0</v>
      </c>
      <c r="AC326" s="5">
        <f t="shared" si="195"/>
        <v>0</v>
      </c>
      <c r="AD326" s="5">
        <f t="shared" si="195"/>
        <v>0</v>
      </c>
      <c r="AE326" s="5">
        <f t="shared" si="195"/>
        <v>0</v>
      </c>
      <c r="AF326" s="5">
        <f t="shared" si="195"/>
        <v>0</v>
      </c>
      <c r="AG326" s="5">
        <f t="shared" si="195"/>
        <v>0</v>
      </c>
      <c r="AH326" s="5">
        <f t="shared" si="195"/>
        <v>0</v>
      </c>
      <c r="AI326" s="5">
        <f t="shared" si="195"/>
        <v>0</v>
      </c>
    </row>
    <row r="327" spans="1:35" x14ac:dyDescent="0.3">
      <c r="A327" s="5"/>
      <c r="B327" s="257" t="s">
        <v>228</v>
      </c>
      <c r="C327" s="198" t="s">
        <v>11</v>
      </c>
      <c r="D327" s="205"/>
      <c r="E327" s="5">
        <f t="shared" ref="E327:AI327" ca="1" si="196">E199</f>
        <v>0</v>
      </c>
      <c r="F327" s="5">
        <f t="shared" ca="1" si="196"/>
        <v>0</v>
      </c>
      <c r="G327" s="5">
        <f t="shared" ca="1" si="196"/>
        <v>0</v>
      </c>
      <c r="H327" s="5">
        <f t="shared" ca="1" si="196"/>
        <v>0</v>
      </c>
      <c r="I327" s="5">
        <f t="shared" ca="1" si="196"/>
        <v>0</v>
      </c>
      <c r="J327" s="5">
        <f t="shared" ca="1" si="196"/>
        <v>0</v>
      </c>
      <c r="K327" s="5">
        <f t="shared" ca="1" si="196"/>
        <v>0</v>
      </c>
      <c r="L327" s="5">
        <f t="shared" ca="1" si="196"/>
        <v>0</v>
      </c>
      <c r="M327" s="5">
        <f t="shared" ca="1" si="196"/>
        <v>0</v>
      </c>
      <c r="N327" s="5">
        <f t="shared" ca="1" si="196"/>
        <v>0</v>
      </c>
      <c r="O327" s="5">
        <f t="shared" ca="1" si="196"/>
        <v>0</v>
      </c>
      <c r="P327" s="5">
        <f t="shared" ca="1" si="196"/>
        <v>0</v>
      </c>
      <c r="Q327" s="5">
        <f t="shared" ca="1" si="196"/>
        <v>0</v>
      </c>
      <c r="R327" s="5">
        <f t="shared" ca="1" si="196"/>
        <v>0</v>
      </c>
      <c r="S327" s="5">
        <f t="shared" ca="1" si="196"/>
        <v>0</v>
      </c>
      <c r="T327" s="5">
        <f t="shared" ca="1" si="196"/>
        <v>0</v>
      </c>
      <c r="U327" s="5">
        <f t="shared" ca="1" si="196"/>
        <v>0</v>
      </c>
      <c r="V327" s="5">
        <f t="shared" ca="1" si="196"/>
        <v>0</v>
      </c>
      <c r="W327" s="5">
        <f t="shared" ca="1" si="196"/>
        <v>0</v>
      </c>
      <c r="X327" s="5">
        <f t="shared" ca="1" si="196"/>
        <v>0</v>
      </c>
      <c r="Y327" s="5">
        <f t="shared" ca="1" si="196"/>
        <v>0</v>
      </c>
      <c r="Z327" s="5">
        <f t="shared" ca="1" si="196"/>
        <v>0</v>
      </c>
      <c r="AA327" s="5">
        <f t="shared" ca="1" si="196"/>
        <v>0</v>
      </c>
      <c r="AB327" s="5">
        <f t="shared" ca="1" si="196"/>
        <v>0</v>
      </c>
      <c r="AC327" s="5">
        <f t="shared" ca="1" si="196"/>
        <v>0</v>
      </c>
      <c r="AD327" s="5">
        <f t="shared" ca="1" si="196"/>
        <v>0</v>
      </c>
      <c r="AE327" s="5">
        <f t="shared" ca="1" si="196"/>
        <v>0</v>
      </c>
      <c r="AF327" s="5">
        <f t="shared" ca="1" si="196"/>
        <v>0</v>
      </c>
      <c r="AG327" s="5">
        <f t="shared" ca="1" si="196"/>
        <v>0</v>
      </c>
      <c r="AH327" s="5">
        <f t="shared" ca="1" si="196"/>
        <v>0</v>
      </c>
      <c r="AI327" s="5">
        <f t="shared" ca="1" si="196"/>
        <v>0</v>
      </c>
    </row>
    <row r="328" spans="1:35" x14ac:dyDescent="0.3">
      <c r="A328" s="5"/>
      <c r="B328" s="257" t="s">
        <v>230</v>
      </c>
      <c r="C328" s="198" t="s">
        <v>11</v>
      </c>
      <c r="D328" s="205"/>
      <c r="E328" s="5">
        <f t="shared" ref="E328:AI328" ca="1" si="197">E202</f>
        <v>0</v>
      </c>
      <c r="F328" s="5">
        <f t="shared" ca="1" si="197"/>
        <v>0</v>
      </c>
      <c r="G328" s="5">
        <f t="shared" ca="1" si="197"/>
        <v>0</v>
      </c>
      <c r="H328" s="5">
        <f t="shared" ca="1" si="197"/>
        <v>0</v>
      </c>
      <c r="I328" s="5">
        <f t="shared" ca="1" si="197"/>
        <v>0</v>
      </c>
      <c r="J328" s="5">
        <f t="shared" ca="1" si="197"/>
        <v>0</v>
      </c>
      <c r="K328" s="5">
        <f t="shared" ca="1" si="197"/>
        <v>0</v>
      </c>
      <c r="L328" s="5">
        <f t="shared" ca="1" si="197"/>
        <v>0</v>
      </c>
      <c r="M328" s="5">
        <f t="shared" ca="1" si="197"/>
        <v>0</v>
      </c>
      <c r="N328" s="5">
        <f t="shared" ca="1" si="197"/>
        <v>0</v>
      </c>
      <c r="O328" s="5">
        <f t="shared" ca="1" si="197"/>
        <v>0</v>
      </c>
      <c r="P328" s="5">
        <f t="shared" ca="1" si="197"/>
        <v>0</v>
      </c>
      <c r="Q328" s="5">
        <f t="shared" ca="1" si="197"/>
        <v>0</v>
      </c>
      <c r="R328" s="5">
        <f t="shared" ca="1" si="197"/>
        <v>0</v>
      </c>
      <c r="S328" s="5">
        <f t="shared" ca="1" si="197"/>
        <v>0</v>
      </c>
      <c r="T328" s="5">
        <f t="shared" ca="1" si="197"/>
        <v>0</v>
      </c>
      <c r="U328" s="5">
        <f t="shared" ca="1" si="197"/>
        <v>0</v>
      </c>
      <c r="V328" s="5">
        <f t="shared" ca="1" si="197"/>
        <v>0</v>
      </c>
      <c r="W328" s="5">
        <f t="shared" ca="1" si="197"/>
        <v>0</v>
      </c>
      <c r="X328" s="5">
        <f t="shared" ca="1" si="197"/>
        <v>0</v>
      </c>
      <c r="Y328" s="5">
        <f t="shared" ca="1" si="197"/>
        <v>0</v>
      </c>
      <c r="Z328" s="5">
        <f t="shared" ca="1" si="197"/>
        <v>0</v>
      </c>
      <c r="AA328" s="5">
        <f t="shared" ca="1" si="197"/>
        <v>0</v>
      </c>
      <c r="AB328" s="5">
        <f t="shared" ca="1" si="197"/>
        <v>0</v>
      </c>
      <c r="AC328" s="5">
        <f t="shared" ca="1" si="197"/>
        <v>0</v>
      </c>
      <c r="AD328" s="5">
        <f t="shared" ca="1" si="197"/>
        <v>0</v>
      </c>
      <c r="AE328" s="5">
        <f t="shared" ca="1" si="197"/>
        <v>0</v>
      </c>
      <c r="AF328" s="5">
        <f t="shared" ca="1" si="197"/>
        <v>0</v>
      </c>
      <c r="AG328" s="5">
        <f t="shared" ca="1" si="197"/>
        <v>0</v>
      </c>
      <c r="AH328" s="5">
        <f t="shared" ca="1" si="197"/>
        <v>0</v>
      </c>
      <c r="AI328" s="5">
        <f t="shared" ca="1" si="197"/>
        <v>0</v>
      </c>
    </row>
    <row r="329" spans="1:35" x14ac:dyDescent="0.3">
      <c r="A329" s="5"/>
      <c r="B329" s="255" t="s">
        <v>121</v>
      </c>
      <c r="C329" s="198" t="s">
        <v>11</v>
      </c>
      <c r="D329" s="254"/>
      <c r="E329" s="5">
        <f t="shared" ref="E329:AI329" ca="1" si="198">E323-SUM(E324:E326)-E328+E327</f>
        <v>0</v>
      </c>
      <c r="F329" s="5">
        <f t="shared" ca="1" si="198"/>
        <v>34.343736541987695</v>
      </c>
      <c r="G329" s="5">
        <f t="shared" ca="1" si="198"/>
        <v>54.14317733078903</v>
      </c>
      <c r="H329" s="5">
        <f t="shared" ca="1" si="198"/>
        <v>54.704826098781886</v>
      </c>
      <c r="I329" s="5">
        <f t="shared" ca="1" si="198"/>
        <v>55.257224349338443</v>
      </c>
      <c r="J329" s="5">
        <f t="shared" ca="1" si="198"/>
        <v>55.798158065765939</v>
      </c>
      <c r="K329" s="5">
        <f t="shared" ca="1" si="198"/>
        <v>56.325321262792897</v>
      </c>
      <c r="L329" s="5">
        <f t="shared" ca="1" si="198"/>
        <v>56.836310955262817</v>
      </c>
      <c r="M329" s="5">
        <f t="shared" ca="1" si="198"/>
        <v>57.328621869005886</v>
      </c>
      <c r="N329" s="5">
        <f t="shared" ca="1" si="198"/>
        <v>57.79964088041632</v>
      </c>
      <c r="O329" s="5">
        <f t="shared" ca="1" si="198"/>
        <v>58.246641170561183</v>
      </c>
      <c r="P329" s="5">
        <f t="shared" ca="1" si="198"/>
        <v>58.666776078906231</v>
      </c>
      <c r="Q329" s="5">
        <f t="shared" ca="1" si="198"/>
        <v>59.057072640966368</v>
      </c>
      <c r="R329" s="5">
        <f t="shared" ca="1" si="198"/>
        <v>59.414424793369946</v>
      </c>
      <c r="S329" s="5">
        <f t="shared" ca="1" si="198"/>
        <v>59.73558622896428</v>
      </c>
      <c r="T329" s="5">
        <f t="shared" ca="1" si="198"/>
        <v>60.017162883682388</v>
      </c>
      <c r="U329" s="5">
        <f t="shared" ca="1" si="198"/>
        <v>92.56221787899122</v>
      </c>
      <c r="V329" s="5">
        <f t="shared" ca="1" si="198"/>
        <v>90.14443157327365</v>
      </c>
      <c r="W329" s="5">
        <f t="shared" ca="1" si="198"/>
        <v>86.806117264407746</v>
      </c>
      <c r="X329" s="5">
        <f t="shared" ca="1" si="198"/>
        <v>83.41300009264333</v>
      </c>
      <c r="Y329" s="5">
        <f t="shared" ca="1" si="198"/>
        <v>79.960820219942846</v>
      </c>
      <c r="Z329" s="5">
        <f t="shared" ca="1" si="198"/>
        <v>76.445116089173965</v>
      </c>
      <c r="AA329" s="5">
        <f t="shared" ca="1" si="198"/>
        <v>72.861213734710233</v>
      </c>
      <c r="AB329" s="5">
        <f t="shared" ca="1" si="198"/>
        <v>69.204215539670486</v>
      </c>
      <c r="AC329" s="5">
        <f t="shared" ca="1" si="198"/>
        <v>65.468988410896515</v>
      </c>
      <c r="AD329" s="5">
        <f t="shared" ca="1" si="198"/>
        <v>61.650151341258038</v>
      </c>
      <c r="AE329" s="5">
        <f t="shared" ca="1" si="198"/>
        <v>40.484652848316166</v>
      </c>
      <c r="AF329" s="5">
        <f t="shared" ca="1" si="198"/>
        <v>0</v>
      </c>
      <c r="AG329" s="5">
        <f t="shared" ca="1" si="198"/>
        <v>0</v>
      </c>
      <c r="AH329" s="5">
        <f t="shared" ca="1" si="198"/>
        <v>0</v>
      </c>
      <c r="AI329" s="5">
        <f t="shared" ca="1" si="198"/>
        <v>0</v>
      </c>
    </row>
    <row r="330" spans="1:35" x14ac:dyDescent="0.3">
      <c r="A330" s="5"/>
      <c r="B330" s="258" t="s">
        <v>120</v>
      </c>
      <c r="C330" s="68" t="s">
        <v>11</v>
      </c>
      <c r="D330" s="254"/>
      <c r="E330" s="5">
        <f t="shared" ref="E330:AI330" ca="1" si="199">E311</f>
        <v>0</v>
      </c>
      <c r="F330" s="5">
        <f t="shared" ca="1" si="199"/>
        <v>5.8933851906050885</v>
      </c>
      <c r="G330" s="5">
        <f t="shared" ca="1" si="199"/>
        <v>9.2909692299633981</v>
      </c>
      <c r="H330" s="5">
        <f t="shared" ca="1" si="199"/>
        <v>9.3873481585509726</v>
      </c>
      <c r="I330" s="5">
        <f t="shared" ca="1" si="199"/>
        <v>9.4821396983464776</v>
      </c>
      <c r="J330" s="5">
        <f t="shared" ca="1" si="199"/>
        <v>9.5749639240854361</v>
      </c>
      <c r="K330" s="5">
        <f t="shared" ca="1" si="199"/>
        <v>9.6654251286952615</v>
      </c>
      <c r="L330" s="5">
        <f t="shared" ca="1" si="199"/>
        <v>9.7531109599230987</v>
      </c>
      <c r="M330" s="5">
        <f t="shared" ca="1" si="199"/>
        <v>9.83759151272141</v>
      </c>
      <c r="N330" s="5">
        <f t="shared" ca="1" si="199"/>
        <v>9.9184183750794404</v>
      </c>
      <c r="O330" s="5">
        <f t="shared" ca="1" si="199"/>
        <v>9.9951236248682989</v>
      </c>
      <c r="P330" s="5">
        <f t="shared" ca="1" si="199"/>
        <v>10.06721877514031</v>
      </c>
      <c r="Q330" s="5">
        <f t="shared" ca="1" si="199"/>
        <v>10.134193665189828</v>
      </c>
      <c r="R330" s="5">
        <f t="shared" ca="1" si="199"/>
        <v>10.195515294542282</v>
      </c>
      <c r="S330" s="5">
        <f t="shared" ca="1" si="199"/>
        <v>10.250626596890271</v>
      </c>
      <c r="T330" s="5">
        <f t="shared" ca="1" si="199"/>
        <v>10.298945150839899</v>
      </c>
      <c r="U330" s="5">
        <f t="shared" ca="1" si="199"/>
        <v>15.883676588034893</v>
      </c>
      <c r="V330" s="5">
        <f t="shared" ca="1" si="199"/>
        <v>15.468784457973758</v>
      </c>
      <c r="W330" s="5">
        <f t="shared" ca="1" si="199"/>
        <v>14.895929722572369</v>
      </c>
      <c r="X330" s="5">
        <f t="shared" ca="1" si="199"/>
        <v>14.313670815897595</v>
      </c>
      <c r="Y330" s="5">
        <f t="shared" ca="1" si="199"/>
        <v>14.361874676079978</v>
      </c>
      <c r="Z330" s="5">
        <f t="shared" ca="1" si="199"/>
        <v>22.28519848228872</v>
      </c>
      <c r="AA330" s="5">
        <f t="shared" ca="1" si="199"/>
        <v>21.496739964306702</v>
      </c>
      <c r="AB330" s="5">
        <f t="shared" ca="1" si="199"/>
        <v>20.692200361397955</v>
      </c>
      <c r="AC330" s="5">
        <f t="shared" ca="1" si="199"/>
        <v>19.870450393067678</v>
      </c>
      <c r="AD330" s="5">
        <f t="shared" ca="1" si="199"/>
        <v>19.030306237747215</v>
      </c>
      <c r="AE330" s="5">
        <f t="shared" ca="1" si="199"/>
        <v>11.640260097964781</v>
      </c>
      <c r="AF330" s="5">
        <f t="shared" ca="1" si="199"/>
        <v>0</v>
      </c>
      <c r="AG330" s="5">
        <f t="shared" ca="1" si="199"/>
        <v>0</v>
      </c>
      <c r="AH330" s="5">
        <f t="shared" ca="1" si="199"/>
        <v>0</v>
      </c>
      <c r="AI330" s="5">
        <f t="shared" ca="1" si="199"/>
        <v>0</v>
      </c>
    </row>
    <row r="331" spans="1:35" x14ac:dyDescent="0.3">
      <c r="A331" s="5"/>
      <c r="B331" s="255" t="s">
        <v>119</v>
      </c>
      <c r="C331" s="198" t="s">
        <v>11</v>
      </c>
      <c r="D331" s="254"/>
      <c r="E331" s="5">
        <f t="shared" ref="E331:AI331" ca="1" si="200">E329-E330</f>
        <v>0</v>
      </c>
      <c r="F331" s="5">
        <f t="shared" ca="1" si="200"/>
        <v>28.450351351382608</v>
      </c>
      <c r="G331" s="5">
        <f t="shared" ca="1" si="200"/>
        <v>44.852208100825635</v>
      </c>
      <c r="H331" s="5">
        <f t="shared" ca="1" si="200"/>
        <v>45.317477940230916</v>
      </c>
      <c r="I331" s="5">
        <f t="shared" ca="1" si="200"/>
        <v>45.775084650991964</v>
      </c>
      <c r="J331" s="5">
        <f t="shared" ca="1" si="200"/>
        <v>46.223194141680501</v>
      </c>
      <c r="K331" s="5">
        <f t="shared" ca="1" si="200"/>
        <v>46.659896134097636</v>
      </c>
      <c r="L331" s="5">
        <f t="shared" ca="1" si="200"/>
        <v>47.083199995339719</v>
      </c>
      <c r="M331" s="5">
        <f t="shared" ca="1" si="200"/>
        <v>47.491030356284476</v>
      </c>
      <c r="N331" s="5">
        <f t="shared" ca="1" si="200"/>
        <v>47.881222505336879</v>
      </c>
      <c r="O331" s="5">
        <f t="shared" ca="1" si="200"/>
        <v>48.251517545692884</v>
      </c>
      <c r="P331" s="5">
        <f t="shared" ca="1" si="200"/>
        <v>48.59955730376592</v>
      </c>
      <c r="Q331" s="5">
        <f t="shared" ca="1" si="200"/>
        <v>48.922878975776541</v>
      </c>
      <c r="R331" s="5">
        <f t="shared" ca="1" si="200"/>
        <v>49.218909498827664</v>
      </c>
      <c r="S331" s="5">
        <f t="shared" ca="1" si="200"/>
        <v>49.484959632074009</v>
      </c>
      <c r="T331" s="5">
        <f t="shared" ca="1" si="200"/>
        <v>49.71821773284249</v>
      </c>
      <c r="U331" s="5">
        <f t="shared" ca="1" si="200"/>
        <v>76.678541290956332</v>
      </c>
      <c r="V331" s="5">
        <f t="shared" ca="1" si="200"/>
        <v>74.675647115299896</v>
      </c>
      <c r="W331" s="5">
        <f t="shared" ca="1" si="200"/>
        <v>71.91018754183537</v>
      </c>
      <c r="X331" s="5">
        <f t="shared" ca="1" si="200"/>
        <v>69.099329276745735</v>
      </c>
      <c r="Y331" s="5">
        <f t="shared" ca="1" si="200"/>
        <v>65.598945543862868</v>
      </c>
      <c r="Z331" s="5">
        <f t="shared" ca="1" si="200"/>
        <v>54.159917606885244</v>
      </c>
      <c r="AA331" s="5">
        <f t="shared" ca="1" si="200"/>
        <v>51.364473770403535</v>
      </c>
      <c r="AB331" s="5">
        <f t="shared" ca="1" si="200"/>
        <v>48.512015178272534</v>
      </c>
      <c r="AC331" s="5">
        <f t="shared" ca="1" si="200"/>
        <v>45.598538017828837</v>
      </c>
      <c r="AD331" s="5">
        <f t="shared" ca="1" si="200"/>
        <v>42.619845103510826</v>
      </c>
      <c r="AE331" s="5">
        <f t="shared" ca="1" si="200"/>
        <v>28.844392750351386</v>
      </c>
      <c r="AF331" s="5">
        <f t="shared" ca="1" si="200"/>
        <v>0</v>
      </c>
      <c r="AG331" s="5">
        <f t="shared" ca="1" si="200"/>
        <v>0</v>
      </c>
      <c r="AH331" s="5">
        <f t="shared" ca="1" si="200"/>
        <v>0</v>
      </c>
      <c r="AI331" s="5">
        <f t="shared" ca="1" si="200"/>
        <v>0</v>
      </c>
    </row>
    <row r="332" spans="1:35" x14ac:dyDescent="0.3">
      <c r="A332" s="5"/>
      <c r="B332" s="255"/>
      <c r="C332" s="198"/>
      <c r="D332" s="20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row>
    <row r="333" spans="1:35" x14ac:dyDescent="0.3">
      <c r="A333" s="248" t="s">
        <v>118</v>
      </c>
      <c r="B333" s="249"/>
      <c r="C333" s="250"/>
      <c r="D333" s="251"/>
      <c r="E333" s="252"/>
      <c r="F333" s="252"/>
      <c r="G333" s="252"/>
      <c r="H333" s="252"/>
      <c r="I333" s="252"/>
      <c r="J333" s="252"/>
      <c r="K333" s="252"/>
      <c r="L333" s="252"/>
      <c r="M333" s="252"/>
      <c r="N333" s="252"/>
      <c r="O333" s="252"/>
      <c r="P333" s="252"/>
      <c r="Q333" s="252"/>
      <c r="R333" s="252"/>
      <c r="S333" s="252"/>
      <c r="T333" s="252"/>
      <c r="U333" s="251"/>
      <c r="V333" s="251"/>
      <c r="W333" s="251"/>
      <c r="X333" s="251"/>
      <c r="Y333" s="251"/>
      <c r="Z333" s="251"/>
      <c r="AA333" s="251"/>
      <c r="AB333" s="251"/>
      <c r="AC333" s="251"/>
      <c r="AD333" s="251"/>
      <c r="AE333" s="251"/>
      <c r="AF333" s="251"/>
      <c r="AG333" s="251"/>
      <c r="AH333" s="251"/>
      <c r="AI333" s="251"/>
    </row>
    <row r="334" spans="1:35" x14ac:dyDescent="0.3">
      <c r="A334" s="5"/>
      <c r="B334" s="5" t="s">
        <v>117</v>
      </c>
      <c r="C334" s="198" t="s">
        <v>11</v>
      </c>
      <c r="D334" s="205"/>
      <c r="E334" s="5">
        <f t="shared" ref="E334:AI334" ca="1" si="201">E317</f>
        <v>0</v>
      </c>
      <c r="F334" s="5">
        <f t="shared" ca="1" si="201"/>
        <v>89.815003537659209</v>
      </c>
      <c r="G334" s="5">
        <f t="shared" ca="1" si="201"/>
        <v>177.31173341361759</v>
      </c>
      <c r="H334" s="5">
        <f t="shared" ca="1" si="201"/>
        <v>175.09533674594738</v>
      </c>
      <c r="I334" s="5">
        <f t="shared" ca="1" si="201"/>
        <v>172.90664503662305</v>
      </c>
      <c r="J334" s="5">
        <f t="shared" ca="1" si="201"/>
        <v>170.74531197366528</v>
      </c>
      <c r="K334" s="5">
        <f t="shared" ca="1" si="201"/>
        <v>168.61099557399447</v>
      </c>
      <c r="L334" s="5">
        <f t="shared" ca="1" si="201"/>
        <v>166.50335812931954</v>
      </c>
      <c r="M334" s="5">
        <f t="shared" ca="1" si="201"/>
        <v>164.42206615270305</v>
      </c>
      <c r="N334" s="5">
        <f t="shared" ca="1" si="201"/>
        <v>162.36679032579428</v>
      </c>
      <c r="O334" s="5">
        <f t="shared" ca="1" si="201"/>
        <v>160.33720544672184</v>
      </c>
      <c r="P334" s="5">
        <f t="shared" ca="1" si="201"/>
        <v>158.33299037863782</v>
      </c>
      <c r="Q334" s="5">
        <f t="shared" ca="1" si="201"/>
        <v>156.35382799890488</v>
      </c>
      <c r="R334" s="5">
        <f t="shared" ca="1" si="201"/>
        <v>154.39940514891856</v>
      </c>
      <c r="S334" s="5">
        <f t="shared" ca="1" si="201"/>
        <v>152.46941258455712</v>
      </c>
      <c r="T334" s="5">
        <f t="shared" ca="1" si="201"/>
        <v>150.56354492725012</v>
      </c>
      <c r="U334" s="5">
        <f t="shared" ca="1" si="201"/>
        <v>148.68150061565953</v>
      </c>
      <c r="V334" s="5">
        <f t="shared" ca="1" si="201"/>
        <v>146.82298185796378</v>
      </c>
      <c r="W334" s="5">
        <f t="shared" ca="1" si="201"/>
        <v>144.98769458473924</v>
      </c>
      <c r="X334" s="5">
        <f t="shared" ca="1" si="201"/>
        <v>143.17534840242999</v>
      </c>
      <c r="Y334" s="5">
        <f t="shared" ca="1" si="201"/>
        <v>141.38565654739961</v>
      </c>
      <c r="Z334" s="5">
        <f t="shared" ca="1" si="201"/>
        <v>139.61833584055714</v>
      </c>
      <c r="AA334" s="5">
        <f t="shared" ca="1" si="201"/>
        <v>137.8731066425502</v>
      </c>
      <c r="AB334" s="5">
        <f t="shared" ca="1" si="201"/>
        <v>136.14969280951831</v>
      </c>
      <c r="AC334" s="5">
        <f t="shared" ca="1" si="201"/>
        <v>134.44782164939937</v>
      </c>
      <c r="AD334" s="5">
        <f t="shared" ca="1" si="201"/>
        <v>132.76722387878186</v>
      </c>
      <c r="AE334" s="5">
        <f t="shared" ca="1" si="201"/>
        <v>77.237216038560803</v>
      </c>
      <c r="AF334" s="5">
        <f t="shared" ca="1" si="201"/>
        <v>0</v>
      </c>
      <c r="AG334" s="5">
        <f t="shared" ca="1" si="201"/>
        <v>0</v>
      </c>
      <c r="AH334" s="5">
        <f t="shared" ca="1" si="201"/>
        <v>0</v>
      </c>
      <c r="AI334" s="5">
        <f t="shared" ca="1" si="201"/>
        <v>0</v>
      </c>
    </row>
    <row r="335" spans="1:35" x14ac:dyDescent="0.3">
      <c r="A335" s="5"/>
      <c r="B335" s="256" t="s">
        <v>479</v>
      </c>
      <c r="C335" s="198" t="s">
        <v>11</v>
      </c>
      <c r="D335" s="205"/>
      <c r="E335" s="3">
        <f>-E319</f>
        <v>0</v>
      </c>
      <c r="F335" s="3">
        <f t="shared" ref="F335:AI335" si="202">-F319</f>
        <v>-5.5725712981917805</v>
      </c>
      <c r="G335" s="3">
        <f t="shared" si="202"/>
        <v>-11.762488578800001</v>
      </c>
      <c r="H335" s="3">
        <f t="shared" si="202"/>
        <v>-12.380019229186999</v>
      </c>
      <c r="I335" s="3">
        <f t="shared" si="202"/>
        <v>-13.029970238719315</v>
      </c>
      <c r="J335" s="3">
        <f t="shared" si="202"/>
        <v>-13.714043676252082</v>
      </c>
      <c r="K335" s="3">
        <f t="shared" si="202"/>
        <v>-14.434030969255314</v>
      </c>
      <c r="L335" s="3">
        <f t="shared" si="202"/>
        <v>-15.19181759514122</v>
      </c>
      <c r="M335" s="3">
        <f t="shared" si="202"/>
        <v>-15.989388018886132</v>
      </c>
      <c r="N335" s="3">
        <f t="shared" si="202"/>
        <v>-16.828830889877654</v>
      </c>
      <c r="O335" s="3">
        <f t="shared" si="202"/>
        <v>-17.712344511596232</v>
      </c>
      <c r="P335" s="3">
        <f t="shared" si="202"/>
        <v>-18.642242598455031</v>
      </c>
      <c r="Q335" s="3">
        <f t="shared" si="202"/>
        <v>-19.620960334873921</v>
      </c>
      <c r="R335" s="3">
        <f t="shared" si="202"/>
        <v>-20.6510607524548</v>
      </c>
      <c r="S335" s="3">
        <f t="shared" si="202"/>
        <v>-21.735241441958678</v>
      </c>
      <c r="T335" s="3">
        <f t="shared" si="202"/>
        <v>-22.87634161766151</v>
      </c>
      <c r="U335" s="3">
        <f t="shared" si="202"/>
        <v>-24.077349552588739</v>
      </c>
      <c r="V335" s="3">
        <f t="shared" si="202"/>
        <v>-25.341410404099648</v>
      </c>
      <c r="W335" s="3">
        <f t="shared" si="202"/>
        <v>-26.671834450314876</v>
      </c>
      <c r="X335" s="3">
        <f t="shared" si="202"/>
        <v>-28.072105758956408</v>
      </c>
      <c r="Y335" s="3">
        <f t="shared" si="202"/>
        <v>-29.54589131130162</v>
      </c>
      <c r="Z335" s="3">
        <f t="shared" si="202"/>
        <v>-31.097050605144954</v>
      </c>
      <c r="AA335" s="3">
        <f t="shared" si="202"/>
        <v>-32.729645761915066</v>
      </c>
      <c r="AB335" s="3">
        <f t="shared" si="202"/>
        <v>-34.447952164415604</v>
      </c>
      <c r="AC335" s="3">
        <f t="shared" si="202"/>
        <v>-36.256469653047425</v>
      </c>
      <c r="AD335" s="3">
        <f t="shared" si="202"/>
        <v>-38.159934309832416</v>
      </c>
      <c r="AE335" s="3">
        <f t="shared" si="202"/>
        <v>-20.081665430549307</v>
      </c>
      <c r="AF335" s="3">
        <f t="shared" si="202"/>
        <v>0</v>
      </c>
      <c r="AG335" s="3">
        <f t="shared" si="202"/>
        <v>0</v>
      </c>
      <c r="AH335" s="3">
        <f t="shared" si="202"/>
        <v>0</v>
      </c>
      <c r="AI335" s="3">
        <f t="shared" si="202"/>
        <v>0</v>
      </c>
    </row>
    <row r="336" spans="1:35" x14ac:dyDescent="0.3">
      <c r="A336" s="5"/>
      <c r="B336" s="256" t="s">
        <v>480</v>
      </c>
      <c r="C336" s="198" t="s">
        <v>11</v>
      </c>
      <c r="D336" s="205"/>
      <c r="E336" s="3">
        <f>-E320</f>
        <v>0</v>
      </c>
      <c r="F336" s="3">
        <f t="shared" ref="F336:AI336" si="203">-F320</f>
        <v>-1.1877748137321253</v>
      </c>
      <c r="G336" s="3">
        <f t="shared" si="203"/>
        <v>-2.4718801227284981</v>
      </c>
      <c r="H336" s="3">
        <f t="shared" si="203"/>
        <v>-2.5650700033553626</v>
      </c>
      <c r="I336" s="3">
        <f t="shared" si="203"/>
        <v>-2.6617731424818594</v>
      </c>
      <c r="J336" s="3">
        <f t="shared" si="203"/>
        <v>-2.7621219899534259</v>
      </c>
      <c r="K336" s="3">
        <f t="shared" si="203"/>
        <v>-2.8662539889746701</v>
      </c>
      <c r="L336" s="3">
        <f t="shared" si="203"/>
        <v>-2.9743117643590153</v>
      </c>
      <c r="M336" s="3">
        <f t="shared" si="203"/>
        <v>-3.0864433178753505</v>
      </c>
      <c r="N336" s="3">
        <f t="shared" si="203"/>
        <v>-3.2028022309592519</v>
      </c>
      <c r="O336" s="3">
        <f t="shared" si="203"/>
        <v>-3.3235478750664158</v>
      </c>
      <c r="P336" s="3">
        <f t="shared" si="203"/>
        <v>-3.4488456299564199</v>
      </c>
      <c r="Q336" s="3">
        <f t="shared" si="203"/>
        <v>-3.5788671102057772</v>
      </c>
      <c r="R336" s="3">
        <f t="shared" si="203"/>
        <v>-3.7137904002605349</v>
      </c>
      <c r="S336" s="3">
        <f t="shared" si="203"/>
        <v>-3.8538002983503579</v>
      </c>
      <c r="T336" s="3">
        <f t="shared" si="203"/>
        <v>-3.9990885695981659</v>
      </c>
      <c r="U336" s="3">
        <f t="shared" si="203"/>
        <v>-4.1498542086720178</v>
      </c>
      <c r="V336" s="3">
        <f t="shared" si="203"/>
        <v>-4.306303712338952</v>
      </c>
      <c r="W336" s="3">
        <f t="shared" si="203"/>
        <v>-4.4686513622941302</v>
      </c>
      <c r="X336" s="3">
        <f t="shared" si="203"/>
        <v>-4.6371195186526206</v>
      </c>
      <c r="Y336" s="3">
        <f t="shared" si="203"/>
        <v>-4.8119389245058235</v>
      </c>
      <c r="Z336" s="3">
        <f t="shared" si="203"/>
        <v>-4.9933490219596948</v>
      </c>
      <c r="AA336" s="3">
        <f t="shared" si="203"/>
        <v>-5.1815982800875746</v>
      </c>
      <c r="AB336" s="3">
        <f t="shared" si="203"/>
        <v>-5.3769445352468779</v>
      </c>
      <c r="AC336" s="3">
        <f t="shared" si="203"/>
        <v>-5.5796553442256842</v>
      </c>
      <c r="AD336" s="3">
        <f t="shared" si="203"/>
        <v>-5.7900083507029922</v>
      </c>
      <c r="AE336" s="3">
        <f t="shared" si="203"/>
        <v>-2.9490701465396696</v>
      </c>
      <c r="AF336" s="3">
        <f t="shared" si="203"/>
        <v>0</v>
      </c>
      <c r="AG336" s="3">
        <f t="shared" si="203"/>
        <v>0</v>
      </c>
      <c r="AH336" s="3">
        <f t="shared" si="203"/>
        <v>0</v>
      </c>
      <c r="AI336" s="3">
        <f t="shared" si="203"/>
        <v>0</v>
      </c>
    </row>
    <row r="337" spans="1:35" x14ac:dyDescent="0.3">
      <c r="A337" s="5"/>
      <c r="B337" s="6" t="s">
        <v>65</v>
      </c>
      <c r="C337" s="198" t="s">
        <v>11</v>
      </c>
      <c r="D337" s="205"/>
      <c r="E337" s="5">
        <f t="shared" ref="E337:AI337" ca="1" si="204">-E330</f>
        <v>0</v>
      </c>
      <c r="F337" s="5">
        <f t="shared" ca="1" si="204"/>
        <v>-5.8933851906050885</v>
      </c>
      <c r="G337" s="5">
        <f t="shared" ca="1" si="204"/>
        <v>-9.2909692299633981</v>
      </c>
      <c r="H337" s="5">
        <f t="shared" ca="1" si="204"/>
        <v>-9.3873481585509726</v>
      </c>
      <c r="I337" s="5">
        <f t="shared" ca="1" si="204"/>
        <v>-9.4821396983464776</v>
      </c>
      <c r="J337" s="5">
        <f t="shared" ca="1" si="204"/>
        <v>-9.5749639240854361</v>
      </c>
      <c r="K337" s="5">
        <f t="shared" ca="1" si="204"/>
        <v>-9.6654251286952615</v>
      </c>
      <c r="L337" s="5">
        <f t="shared" ca="1" si="204"/>
        <v>-9.7531109599230987</v>
      </c>
      <c r="M337" s="5">
        <f t="shared" ca="1" si="204"/>
        <v>-9.83759151272141</v>
      </c>
      <c r="N337" s="5">
        <f t="shared" ca="1" si="204"/>
        <v>-9.9184183750794404</v>
      </c>
      <c r="O337" s="5">
        <f t="shared" ca="1" si="204"/>
        <v>-9.9951236248682989</v>
      </c>
      <c r="P337" s="5">
        <f t="shared" ca="1" si="204"/>
        <v>-10.06721877514031</v>
      </c>
      <c r="Q337" s="5">
        <f t="shared" ca="1" si="204"/>
        <v>-10.134193665189828</v>
      </c>
      <c r="R337" s="5">
        <f t="shared" ca="1" si="204"/>
        <v>-10.195515294542282</v>
      </c>
      <c r="S337" s="5">
        <f t="shared" ca="1" si="204"/>
        <v>-10.250626596890271</v>
      </c>
      <c r="T337" s="5">
        <f t="shared" ca="1" si="204"/>
        <v>-10.298945150839899</v>
      </c>
      <c r="U337" s="5">
        <f t="shared" ca="1" si="204"/>
        <v>-15.883676588034893</v>
      </c>
      <c r="V337" s="5">
        <f t="shared" ca="1" si="204"/>
        <v>-15.468784457973758</v>
      </c>
      <c r="W337" s="5">
        <f t="shared" ca="1" si="204"/>
        <v>-14.895929722572369</v>
      </c>
      <c r="X337" s="5">
        <f t="shared" ca="1" si="204"/>
        <v>-14.313670815897595</v>
      </c>
      <c r="Y337" s="5">
        <f t="shared" ca="1" si="204"/>
        <v>-14.361874676079978</v>
      </c>
      <c r="Z337" s="5">
        <f t="shared" ca="1" si="204"/>
        <v>-22.28519848228872</v>
      </c>
      <c r="AA337" s="5">
        <f t="shared" ca="1" si="204"/>
        <v>-21.496739964306702</v>
      </c>
      <c r="AB337" s="5">
        <f t="shared" ca="1" si="204"/>
        <v>-20.692200361397955</v>
      </c>
      <c r="AC337" s="5">
        <f t="shared" ca="1" si="204"/>
        <v>-19.870450393067678</v>
      </c>
      <c r="AD337" s="5">
        <f t="shared" ca="1" si="204"/>
        <v>-19.030306237747215</v>
      </c>
      <c r="AE337" s="5">
        <f t="shared" ca="1" si="204"/>
        <v>-11.640260097964781</v>
      </c>
      <c r="AF337" s="5">
        <f t="shared" ca="1" si="204"/>
        <v>0</v>
      </c>
      <c r="AG337" s="5">
        <f t="shared" ca="1" si="204"/>
        <v>0</v>
      </c>
      <c r="AH337" s="5">
        <f t="shared" ca="1" si="204"/>
        <v>0</v>
      </c>
      <c r="AI337" s="5">
        <f t="shared" ca="1" si="204"/>
        <v>0</v>
      </c>
    </row>
    <row r="338" spans="1:35" x14ac:dyDescent="0.3">
      <c r="A338" s="5"/>
      <c r="B338" s="6" t="s">
        <v>227</v>
      </c>
      <c r="C338" s="198" t="s">
        <v>11</v>
      </c>
      <c r="D338" s="205"/>
      <c r="E338" s="5">
        <f t="shared" ref="E338:AI338" ca="1" si="205">-E195</f>
        <v>0</v>
      </c>
      <c r="F338" s="5">
        <f t="shared" ca="1" si="205"/>
        <v>0</v>
      </c>
      <c r="G338" s="5">
        <f t="shared" ca="1" si="205"/>
        <v>0</v>
      </c>
      <c r="H338" s="5">
        <f t="shared" ca="1" si="205"/>
        <v>0</v>
      </c>
      <c r="I338" s="5">
        <f t="shared" ca="1" si="205"/>
        <v>0</v>
      </c>
      <c r="J338" s="5">
        <f t="shared" ca="1" si="205"/>
        <v>0</v>
      </c>
      <c r="K338" s="5">
        <f t="shared" ca="1" si="205"/>
        <v>0</v>
      </c>
      <c r="L338" s="5">
        <f t="shared" ca="1" si="205"/>
        <v>0</v>
      </c>
      <c r="M338" s="5">
        <f t="shared" ca="1" si="205"/>
        <v>0</v>
      </c>
      <c r="N338" s="5">
        <f t="shared" ca="1" si="205"/>
        <v>0</v>
      </c>
      <c r="O338" s="5">
        <f t="shared" ca="1" si="205"/>
        <v>0</v>
      </c>
      <c r="P338" s="5">
        <f t="shared" ca="1" si="205"/>
        <v>0</v>
      </c>
      <c r="Q338" s="5">
        <f t="shared" ca="1" si="205"/>
        <v>0</v>
      </c>
      <c r="R338" s="5">
        <f t="shared" ca="1" si="205"/>
        <v>0</v>
      </c>
      <c r="S338" s="5">
        <f t="shared" ca="1" si="205"/>
        <v>0</v>
      </c>
      <c r="T338" s="5">
        <f t="shared" ca="1" si="205"/>
        <v>0</v>
      </c>
      <c r="U338" s="5">
        <f t="shared" ca="1" si="205"/>
        <v>0</v>
      </c>
      <c r="V338" s="5">
        <f t="shared" ca="1" si="205"/>
        <v>0</v>
      </c>
      <c r="W338" s="5">
        <f t="shared" ca="1" si="205"/>
        <v>0</v>
      </c>
      <c r="X338" s="5">
        <f t="shared" ca="1" si="205"/>
        <v>0</v>
      </c>
      <c r="Y338" s="5">
        <f t="shared" ca="1" si="205"/>
        <v>0</v>
      </c>
      <c r="Z338" s="5">
        <f t="shared" ca="1" si="205"/>
        <v>0</v>
      </c>
      <c r="AA338" s="5">
        <f t="shared" ca="1" si="205"/>
        <v>0</v>
      </c>
      <c r="AB338" s="5">
        <f t="shared" ca="1" si="205"/>
        <v>0</v>
      </c>
      <c r="AC338" s="5">
        <f t="shared" ca="1" si="205"/>
        <v>0</v>
      </c>
      <c r="AD338" s="5">
        <f t="shared" ca="1" si="205"/>
        <v>0</v>
      </c>
      <c r="AE338" s="5">
        <f t="shared" ca="1" si="205"/>
        <v>0</v>
      </c>
      <c r="AF338" s="5">
        <f t="shared" ca="1" si="205"/>
        <v>0</v>
      </c>
      <c r="AG338" s="5">
        <f t="shared" ca="1" si="205"/>
        <v>0</v>
      </c>
      <c r="AH338" s="5">
        <f t="shared" ca="1" si="205"/>
        <v>0</v>
      </c>
      <c r="AI338" s="5">
        <f t="shared" ca="1" si="205"/>
        <v>0</v>
      </c>
    </row>
    <row r="339" spans="1:35" x14ac:dyDescent="0.3">
      <c r="A339" s="5"/>
      <c r="B339" s="257" t="s">
        <v>228</v>
      </c>
      <c r="C339" s="198" t="s">
        <v>11</v>
      </c>
      <c r="D339" s="205"/>
      <c r="E339" s="5">
        <f t="shared" ref="E339:AI339" ca="1" si="206">E199</f>
        <v>0</v>
      </c>
      <c r="F339" s="5">
        <f t="shared" ca="1" si="206"/>
        <v>0</v>
      </c>
      <c r="G339" s="5">
        <f t="shared" ca="1" si="206"/>
        <v>0</v>
      </c>
      <c r="H339" s="5">
        <f t="shared" ca="1" si="206"/>
        <v>0</v>
      </c>
      <c r="I339" s="5">
        <f t="shared" ca="1" si="206"/>
        <v>0</v>
      </c>
      <c r="J339" s="5">
        <f t="shared" ca="1" si="206"/>
        <v>0</v>
      </c>
      <c r="K339" s="5">
        <f t="shared" ca="1" si="206"/>
        <v>0</v>
      </c>
      <c r="L339" s="5">
        <f t="shared" ca="1" si="206"/>
        <v>0</v>
      </c>
      <c r="M339" s="5">
        <f t="shared" ca="1" si="206"/>
        <v>0</v>
      </c>
      <c r="N339" s="5">
        <f t="shared" ca="1" si="206"/>
        <v>0</v>
      </c>
      <c r="O339" s="5">
        <f t="shared" ca="1" si="206"/>
        <v>0</v>
      </c>
      <c r="P339" s="5">
        <f t="shared" ca="1" si="206"/>
        <v>0</v>
      </c>
      <c r="Q339" s="5">
        <f t="shared" ca="1" si="206"/>
        <v>0</v>
      </c>
      <c r="R339" s="5">
        <f t="shared" ca="1" si="206"/>
        <v>0</v>
      </c>
      <c r="S339" s="5">
        <f t="shared" ca="1" si="206"/>
        <v>0</v>
      </c>
      <c r="T339" s="5">
        <f t="shared" ca="1" si="206"/>
        <v>0</v>
      </c>
      <c r="U339" s="5">
        <f t="shared" ca="1" si="206"/>
        <v>0</v>
      </c>
      <c r="V339" s="5">
        <f t="shared" ca="1" si="206"/>
        <v>0</v>
      </c>
      <c r="W339" s="5">
        <f t="shared" ca="1" si="206"/>
        <v>0</v>
      </c>
      <c r="X339" s="5">
        <f t="shared" ca="1" si="206"/>
        <v>0</v>
      </c>
      <c r="Y339" s="5">
        <f t="shared" ca="1" si="206"/>
        <v>0</v>
      </c>
      <c r="Z339" s="5">
        <f t="shared" ca="1" si="206"/>
        <v>0</v>
      </c>
      <c r="AA339" s="5">
        <f t="shared" ca="1" si="206"/>
        <v>0</v>
      </c>
      <c r="AB339" s="5">
        <f t="shared" ca="1" si="206"/>
        <v>0</v>
      </c>
      <c r="AC339" s="5">
        <f t="shared" ca="1" si="206"/>
        <v>0</v>
      </c>
      <c r="AD339" s="5">
        <f t="shared" ca="1" si="206"/>
        <v>0</v>
      </c>
      <c r="AE339" s="5">
        <f t="shared" ca="1" si="206"/>
        <v>0</v>
      </c>
      <c r="AF339" s="5">
        <f t="shared" ca="1" si="206"/>
        <v>0</v>
      </c>
      <c r="AG339" s="5">
        <f t="shared" ca="1" si="206"/>
        <v>0</v>
      </c>
      <c r="AH339" s="5">
        <f t="shared" ca="1" si="206"/>
        <v>0</v>
      </c>
      <c r="AI339" s="5">
        <f t="shared" ca="1" si="206"/>
        <v>0</v>
      </c>
    </row>
    <row r="340" spans="1:35" x14ac:dyDescent="0.3">
      <c r="A340" s="5"/>
      <c r="B340" s="257" t="s">
        <v>230</v>
      </c>
      <c r="C340" s="198" t="s">
        <v>11</v>
      </c>
      <c r="D340" s="205"/>
      <c r="E340" s="5">
        <f t="shared" ref="E340:AI340" ca="1" si="207">-E202</f>
        <v>0</v>
      </c>
      <c r="F340" s="5">
        <f t="shared" ca="1" si="207"/>
        <v>0</v>
      </c>
      <c r="G340" s="5">
        <f t="shared" ca="1" si="207"/>
        <v>0</v>
      </c>
      <c r="H340" s="5">
        <f t="shared" ca="1" si="207"/>
        <v>0</v>
      </c>
      <c r="I340" s="5">
        <f t="shared" ca="1" si="207"/>
        <v>0</v>
      </c>
      <c r="J340" s="5">
        <f t="shared" ca="1" si="207"/>
        <v>0</v>
      </c>
      <c r="K340" s="5">
        <f t="shared" ca="1" si="207"/>
        <v>0</v>
      </c>
      <c r="L340" s="5">
        <f t="shared" ca="1" si="207"/>
        <v>0</v>
      </c>
      <c r="M340" s="5">
        <f t="shared" ca="1" si="207"/>
        <v>0</v>
      </c>
      <c r="N340" s="5">
        <f t="shared" ca="1" si="207"/>
        <v>0</v>
      </c>
      <c r="O340" s="5">
        <f t="shared" ca="1" si="207"/>
        <v>0</v>
      </c>
      <c r="P340" s="5">
        <f t="shared" ca="1" si="207"/>
        <v>0</v>
      </c>
      <c r="Q340" s="5">
        <f t="shared" ca="1" si="207"/>
        <v>0</v>
      </c>
      <c r="R340" s="5">
        <f t="shared" ca="1" si="207"/>
        <v>0</v>
      </c>
      <c r="S340" s="5">
        <f t="shared" ca="1" si="207"/>
        <v>0</v>
      </c>
      <c r="T340" s="5">
        <f t="shared" ca="1" si="207"/>
        <v>0</v>
      </c>
      <c r="U340" s="5">
        <f t="shared" ca="1" si="207"/>
        <v>0</v>
      </c>
      <c r="V340" s="5">
        <f t="shared" ca="1" si="207"/>
        <v>0</v>
      </c>
      <c r="W340" s="5">
        <f t="shared" ca="1" si="207"/>
        <v>0</v>
      </c>
      <c r="X340" s="5">
        <f t="shared" ca="1" si="207"/>
        <v>0</v>
      </c>
      <c r="Y340" s="5">
        <f t="shared" ca="1" si="207"/>
        <v>0</v>
      </c>
      <c r="Z340" s="5">
        <f t="shared" ca="1" si="207"/>
        <v>0</v>
      </c>
      <c r="AA340" s="5">
        <f t="shared" ca="1" si="207"/>
        <v>0</v>
      </c>
      <c r="AB340" s="5">
        <f t="shared" ca="1" si="207"/>
        <v>0</v>
      </c>
      <c r="AC340" s="5">
        <f t="shared" ca="1" si="207"/>
        <v>0</v>
      </c>
      <c r="AD340" s="5">
        <f t="shared" ca="1" si="207"/>
        <v>0</v>
      </c>
      <c r="AE340" s="5">
        <f t="shared" ca="1" si="207"/>
        <v>0</v>
      </c>
      <c r="AF340" s="5">
        <f t="shared" ca="1" si="207"/>
        <v>0</v>
      </c>
      <c r="AG340" s="5">
        <f t="shared" ca="1" si="207"/>
        <v>0</v>
      </c>
      <c r="AH340" s="5">
        <f t="shared" ca="1" si="207"/>
        <v>0</v>
      </c>
      <c r="AI340" s="5">
        <f t="shared" ca="1" si="207"/>
        <v>0</v>
      </c>
    </row>
    <row r="341" spans="1:35" x14ac:dyDescent="0.3">
      <c r="A341" s="5"/>
      <c r="B341" s="6" t="s">
        <v>78</v>
      </c>
      <c r="C341" s="198" t="s">
        <v>11</v>
      </c>
      <c r="D341" s="205"/>
      <c r="E341" s="5">
        <f t="shared" ref="E341:AI341" si="208">(D181-E181)*E4</f>
        <v>0</v>
      </c>
      <c r="F341" s="5">
        <f t="shared" ref="F341:AF341" ca="1" si="209">(E181-F181)*F4</f>
        <v>-25.678932309182528</v>
      </c>
      <c r="G341" s="5">
        <f t="shared" ca="1" si="209"/>
        <v>0.1936129354570113</v>
      </c>
      <c r="H341" s="5">
        <f t="shared" ca="1" si="209"/>
        <v>0.11121479288888025</v>
      </c>
      <c r="I341" s="5">
        <f t="shared" ca="1" si="209"/>
        <v>9.9367162311818191E-2</v>
      </c>
      <c r="J341" s="5">
        <f t="shared" ca="1" si="209"/>
        <v>8.7134766368706096E-2</v>
      </c>
      <c r="K341" s="5">
        <f t="shared" ca="1" si="209"/>
        <v>7.4495048486472371E-2</v>
      </c>
      <c r="L341" s="5">
        <f t="shared" ca="1" si="209"/>
        <v>6.1424320287976286E-2</v>
      </c>
      <c r="M341" s="5">
        <f t="shared" ca="1" si="209"/>
        <v>4.789770238276958E-2</v>
      </c>
      <c r="N341" s="5">
        <f t="shared" ca="1" si="209"/>
        <v>3.3889062079332177E-2</v>
      </c>
      <c r="O341" s="5">
        <f t="shared" ca="1" si="209"/>
        <v>1.9370947858046605E-2</v>
      </c>
      <c r="P341" s="5">
        <f t="shared" ca="1" si="209"/>
        <v>4.3145204357841749E-3</v>
      </c>
      <c r="Q341" s="5">
        <f t="shared" ca="1" si="209"/>
        <v>-1.1310519755973303E-2</v>
      </c>
      <c r="R341" s="5">
        <f t="shared" ca="1" si="209"/>
        <v>-2.7536008866693606E-2</v>
      </c>
      <c r="S341" s="5">
        <f t="shared" ca="1" si="209"/>
        <v>-4.4395399893353726E-2</v>
      </c>
      <c r="T341" s="5">
        <f t="shared" ca="1" si="209"/>
        <v>-6.1923847125104459E-2</v>
      </c>
      <c r="U341" s="5">
        <f t="shared" ca="1" si="209"/>
        <v>-8.015829498476279E-2</v>
      </c>
      <c r="V341" s="5">
        <f t="shared" ca="1" si="209"/>
        <v>-9.9137571496193289E-2</v>
      </c>
      <c r="W341" s="5">
        <f t="shared" ca="1" si="209"/>
        <v>-0.11890248662002989</v>
      </c>
      <c r="X341" s="5">
        <f t="shared" ca="1" si="209"/>
        <v>-0.139495935711345</v>
      </c>
      <c r="Y341" s="5">
        <f t="shared" ca="1" si="209"/>
        <v>-0.16096300836749933</v>
      </c>
      <c r="Z341" s="5">
        <f t="shared" ca="1" si="209"/>
        <v>-0.18335110294737333</v>
      </c>
      <c r="AA341" s="5">
        <f t="shared" ca="1" si="209"/>
        <v>-0.20671004705866736</v>
      </c>
      <c r="AB341" s="5">
        <f t="shared" ca="1" si="209"/>
        <v>-0.23109222432497489</v>
      </c>
      <c r="AC341" s="5">
        <f t="shared" ca="1" si="209"/>
        <v>-0.25655270776094241</v>
      </c>
      <c r="AD341" s="5">
        <f t="shared" ca="1" si="209"/>
        <v>-0.28314940010067957</v>
      </c>
      <c r="AE341" s="5">
        <f t="shared" ca="1" si="209"/>
        <v>-3.2060910066423993</v>
      </c>
      <c r="AF341" s="5">
        <f t="shared" ca="1" si="209"/>
        <v>0</v>
      </c>
      <c r="AG341" s="5">
        <f t="shared" si="208"/>
        <v>0</v>
      </c>
      <c r="AH341" s="5">
        <f t="shared" si="208"/>
        <v>0</v>
      </c>
      <c r="AI341" s="5">
        <f t="shared" si="208"/>
        <v>0</v>
      </c>
    </row>
    <row r="342" spans="1:35" x14ac:dyDescent="0.3">
      <c r="A342" s="5"/>
      <c r="B342" s="217" t="s">
        <v>115</v>
      </c>
      <c r="C342" s="198" t="s">
        <v>11</v>
      </c>
      <c r="D342" s="205"/>
      <c r="E342" s="5">
        <f t="shared" ref="E342:AI342" ca="1" si="210">SUM(E334:E341)</f>
        <v>0</v>
      </c>
      <c r="F342" s="5">
        <f t="shared" ca="1" si="210"/>
        <v>51.482339925947699</v>
      </c>
      <c r="G342" s="5">
        <f t="shared" ca="1" si="210"/>
        <v>153.98000841758272</v>
      </c>
      <c r="H342" s="5">
        <f t="shared" ca="1" si="210"/>
        <v>150.87411414774292</v>
      </c>
      <c r="I342" s="5">
        <f t="shared" ca="1" si="210"/>
        <v>147.83212911938719</v>
      </c>
      <c r="J342" s="5">
        <f t="shared" ca="1" si="210"/>
        <v>144.78131714974305</v>
      </c>
      <c r="K342" s="5">
        <f t="shared" ca="1" si="210"/>
        <v>141.71978053555571</v>
      </c>
      <c r="L342" s="5">
        <f t="shared" ca="1" si="210"/>
        <v>138.64554213018417</v>
      </c>
      <c r="M342" s="5">
        <f t="shared" ca="1" si="210"/>
        <v>135.55654100560292</v>
      </c>
      <c r="N342" s="5">
        <f t="shared" ca="1" si="210"/>
        <v>132.45062789195728</v>
      </c>
      <c r="O342" s="5">
        <f t="shared" ca="1" si="210"/>
        <v>129.32556038304895</v>
      </c>
      <c r="P342" s="5">
        <f t="shared" ca="1" si="210"/>
        <v>126.17899789552185</v>
      </c>
      <c r="Q342" s="5">
        <f t="shared" ca="1" si="210"/>
        <v>123.00849636887938</v>
      </c>
      <c r="R342" s="5">
        <f t="shared" ca="1" si="210"/>
        <v>119.81150269279425</v>
      </c>
      <c r="S342" s="5">
        <f t="shared" ca="1" si="210"/>
        <v>116.58534884746445</v>
      </c>
      <c r="T342" s="5">
        <f t="shared" ca="1" si="210"/>
        <v>113.32724574202544</v>
      </c>
      <c r="U342" s="5">
        <f t="shared" ca="1" si="210"/>
        <v>104.49046197137912</v>
      </c>
      <c r="V342" s="5">
        <f t="shared" ca="1" si="210"/>
        <v>101.60734571205523</v>
      </c>
      <c r="W342" s="5">
        <f t="shared" ca="1" si="210"/>
        <v>98.832376562937853</v>
      </c>
      <c r="X342" s="5">
        <f t="shared" ca="1" si="210"/>
        <v>96.012956373212006</v>
      </c>
      <c r="Y342" s="5">
        <f t="shared" ca="1" si="210"/>
        <v>92.504988627144684</v>
      </c>
      <c r="Z342" s="5">
        <f t="shared" ca="1" si="210"/>
        <v>81.059386628216387</v>
      </c>
      <c r="AA342" s="5">
        <f t="shared" ca="1" si="210"/>
        <v>78.2584125891822</v>
      </c>
      <c r="AB342" s="5">
        <f t="shared" ca="1" si="210"/>
        <v>75.40150352413292</v>
      </c>
      <c r="AC342" s="5">
        <f t="shared" ca="1" si="210"/>
        <v>72.484693551297639</v>
      </c>
      <c r="AD342" s="5">
        <f t="shared" ca="1" si="210"/>
        <v>69.503825580398569</v>
      </c>
      <c r="AE342" s="5">
        <f t="shared" ca="1" si="210"/>
        <v>39.360129356864647</v>
      </c>
      <c r="AF342" s="5">
        <f t="shared" ca="1" si="210"/>
        <v>0</v>
      </c>
      <c r="AG342" s="5">
        <f t="shared" ca="1" si="210"/>
        <v>0</v>
      </c>
      <c r="AH342" s="5">
        <f t="shared" ca="1" si="210"/>
        <v>0</v>
      </c>
      <c r="AI342" s="5">
        <f t="shared" ca="1" si="210"/>
        <v>0</v>
      </c>
    </row>
    <row r="343" spans="1:35" x14ac:dyDescent="0.3">
      <c r="A343" s="5"/>
      <c r="B343" s="5"/>
      <c r="C343" s="198"/>
      <c r="D343" s="20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row>
    <row r="344" spans="1:35" x14ac:dyDescent="0.3">
      <c r="A344" s="5"/>
      <c r="B344" s="5" t="s">
        <v>24</v>
      </c>
      <c r="C344" s="198" t="s">
        <v>11</v>
      </c>
      <c r="D344" s="205"/>
      <c r="E344" s="5">
        <f t="shared" ref="E344:AI344" ca="1" si="211">-E53</f>
        <v>-582.04857646593382</v>
      </c>
      <c r="F344" s="5">
        <f t="shared" ca="1" si="211"/>
        <v>-660.51345595916791</v>
      </c>
      <c r="G344" s="5">
        <f t="shared" ca="1" si="211"/>
        <v>0</v>
      </c>
      <c r="H344" s="5">
        <f t="shared" ca="1" si="211"/>
        <v>0</v>
      </c>
      <c r="I344" s="5">
        <f t="shared" ca="1" si="211"/>
        <v>0</v>
      </c>
      <c r="J344" s="5">
        <f t="shared" ca="1" si="211"/>
        <v>0</v>
      </c>
      <c r="K344" s="5">
        <f t="shared" ca="1" si="211"/>
        <v>0</v>
      </c>
      <c r="L344" s="5">
        <f t="shared" ca="1" si="211"/>
        <v>0</v>
      </c>
      <c r="M344" s="5">
        <f t="shared" ca="1" si="211"/>
        <v>0</v>
      </c>
      <c r="N344" s="5">
        <f t="shared" ca="1" si="211"/>
        <v>0</v>
      </c>
      <c r="O344" s="5">
        <f t="shared" ca="1" si="211"/>
        <v>0</v>
      </c>
      <c r="P344" s="5">
        <f t="shared" ca="1" si="211"/>
        <v>0</v>
      </c>
      <c r="Q344" s="5">
        <f t="shared" ca="1" si="211"/>
        <v>0</v>
      </c>
      <c r="R344" s="5">
        <f t="shared" ca="1" si="211"/>
        <v>0</v>
      </c>
      <c r="S344" s="5">
        <f t="shared" ca="1" si="211"/>
        <v>0</v>
      </c>
      <c r="T344" s="5">
        <f t="shared" ca="1" si="211"/>
        <v>0</v>
      </c>
      <c r="U344" s="5">
        <f t="shared" ca="1" si="211"/>
        <v>0</v>
      </c>
      <c r="V344" s="5">
        <f t="shared" ca="1" si="211"/>
        <v>0</v>
      </c>
      <c r="W344" s="5">
        <f t="shared" ca="1" si="211"/>
        <v>0</v>
      </c>
      <c r="X344" s="5">
        <f t="shared" ca="1" si="211"/>
        <v>0</v>
      </c>
      <c r="Y344" s="5">
        <f t="shared" ca="1" si="211"/>
        <v>0</v>
      </c>
      <c r="Z344" s="5">
        <f t="shared" ca="1" si="211"/>
        <v>0</v>
      </c>
      <c r="AA344" s="5">
        <f t="shared" ca="1" si="211"/>
        <v>0</v>
      </c>
      <c r="AB344" s="5">
        <f t="shared" ca="1" si="211"/>
        <v>0</v>
      </c>
      <c r="AC344" s="5">
        <f t="shared" ca="1" si="211"/>
        <v>0</v>
      </c>
      <c r="AD344" s="5">
        <f t="shared" ca="1" si="211"/>
        <v>0</v>
      </c>
      <c r="AE344" s="5">
        <f t="shared" ca="1" si="211"/>
        <v>0</v>
      </c>
      <c r="AF344" s="5">
        <f t="shared" ca="1" si="211"/>
        <v>0</v>
      </c>
      <c r="AG344" s="5">
        <f t="shared" ca="1" si="211"/>
        <v>0</v>
      </c>
      <c r="AH344" s="5">
        <f t="shared" ca="1" si="211"/>
        <v>0</v>
      </c>
      <c r="AI344" s="5">
        <f t="shared" ca="1" si="211"/>
        <v>0</v>
      </c>
    </row>
    <row r="345" spans="1:35" x14ac:dyDescent="0.3">
      <c r="A345" s="5"/>
      <c r="B345" s="217" t="s">
        <v>114</v>
      </c>
      <c r="C345" s="200" t="s">
        <v>11</v>
      </c>
      <c r="D345" s="682"/>
      <c r="E345" s="217">
        <f t="shared" ref="E345:AI345" ca="1" si="212">E344</f>
        <v>-582.04857646593382</v>
      </c>
      <c r="F345" s="217">
        <f t="shared" ca="1" si="212"/>
        <v>-660.51345595916791</v>
      </c>
      <c r="G345" s="217">
        <f t="shared" ca="1" si="212"/>
        <v>0</v>
      </c>
      <c r="H345" s="217">
        <f t="shared" ca="1" si="212"/>
        <v>0</v>
      </c>
      <c r="I345" s="217">
        <f t="shared" ca="1" si="212"/>
        <v>0</v>
      </c>
      <c r="J345" s="217">
        <f t="shared" ca="1" si="212"/>
        <v>0</v>
      </c>
      <c r="K345" s="217">
        <f t="shared" ca="1" si="212"/>
        <v>0</v>
      </c>
      <c r="L345" s="217">
        <f t="shared" ca="1" si="212"/>
        <v>0</v>
      </c>
      <c r="M345" s="217">
        <f t="shared" ca="1" si="212"/>
        <v>0</v>
      </c>
      <c r="N345" s="217">
        <f t="shared" ca="1" si="212"/>
        <v>0</v>
      </c>
      <c r="O345" s="217">
        <f t="shared" ca="1" si="212"/>
        <v>0</v>
      </c>
      <c r="P345" s="217">
        <f t="shared" ca="1" si="212"/>
        <v>0</v>
      </c>
      <c r="Q345" s="217">
        <f t="shared" ca="1" si="212"/>
        <v>0</v>
      </c>
      <c r="R345" s="217">
        <f t="shared" ca="1" si="212"/>
        <v>0</v>
      </c>
      <c r="S345" s="217">
        <f t="shared" ca="1" si="212"/>
        <v>0</v>
      </c>
      <c r="T345" s="217">
        <f t="shared" ca="1" si="212"/>
        <v>0</v>
      </c>
      <c r="U345" s="217">
        <f t="shared" ca="1" si="212"/>
        <v>0</v>
      </c>
      <c r="V345" s="217">
        <f t="shared" ca="1" si="212"/>
        <v>0</v>
      </c>
      <c r="W345" s="217">
        <f t="shared" ca="1" si="212"/>
        <v>0</v>
      </c>
      <c r="X345" s="217">
        <f t="shared" ca="1" si="212"/>
        <v>0</v>
      </c>
      <c r="Y345" s="217">
        <f t="shared" ca="1" si="212"/>
        <v>0</v>
      </c>
      <c r="Z345" s="217">
        <f t="shared" ca="1" si="212"/>
        <v>0</v>
      </c>
      <c r="AA345" s="217">
        <f t="shared" ca="1" si="212"/>
        <v>0</v>
      </c>
      <c r="AB345" s="217">
        <f t="shared" ca="1" si="212"/>
        <v>0</v>
      </c>
      <c r="AC345" s="217">
        <f t="shared" ca="1" si="212"/>
        <v>0</v>
      </c>
      <c r="AD345" s="217">
        <f t="shared" ca="1" si="212"/>
        <v>0</v>
      </c>
      <c r="AE345" s="217">
        <f t="shared" ca="1" si="212"/>
        <v>0</v>
      </c>
      <c r="AF345" s="217">
        <f t="shared" ca="1" si="212"/>
        <v>0</v>
      </c>
      <c r="AG345" s="217">
        <f t="shared" ca="1" si="212"/>
        <v>0</v>
      </c>
      <c r="AH345" s="217">
        <f t="shared" ca="1" si="212"/>
        <v>0</v>
      </c>
      <c r="AI345" s="217">
        <f t="shared" ca="1" si="212"/>
        <v>0</v>
      </c>
    </row>
    <row r="346" spans="1:35" x14ac:dyDescent="0.3">
      <c r="A346" s="5"/>
      <c r="B346" s="5"/>
      <c r="C346" s="191"/>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row>
    <row r="347" spans="1:35" x14ac:dyDescent="0.3">
      <c r="A347" s="5"/>
      <c r="B347" s="5" t="s">
        <v>113</v>
      </c>
      <c r="C347" s="198" t="s">
        <v>11</v>
      </c>
      <c r="D347" s="205"/>
      <c r="E347" s="5">
        <f t="shared" ref="E347:AI347" ca="1" si="213">E75</f>
        <v>407.43400352615367</v>
      </c>
      <c r="F347" s="5">
        <f t="shared" ca="1" si="213"/>
        <v>462.35941917141758</v>
      </c>
      <c r="G347" s="5">
        <f t="shared" ca="1" si="213"/>
        <v>0</v>
      </c>
      <c r="H347" s="5">
        <f t="shared" ca="1" si="213"/>
        <v>0</v>
      </c>
      <c r="I347" s="5">
        <f t="shared" ca="1" si="213"/>
        <v>0</v>
      </c>
      <c r="J347" s="5">
        <f t="shared" ca="1" si="213"/>
        <v>0</v>
      </c>
      <c r="K347" s="5">
        <f t="shared" ca="1" si="213"/>
        <v>0</v>
      </c>
      <c r="L347" s="5">
        <f t="shared" ca="1" si="213"/>
        <v>0</v>
      </c>
      <c r="M347" s="5">
        <f t="shared" ca="1" si="213"/>
        <v>0</v>
      </c>
      <c r="N347" s="5">
        <f t="shared" ca="1" si="213"/>
        <v>0</v>
      </c>
      <c r="O347" s="5">
        <f t="shared" ca="1" si="213"/>
        <v>0</v>
      </c>
      <c r="P347" s="5">
        <f t="shared" ca="1" si="213"/>
        <v>0</v>
      </c>
      <c r="Q347" s="5">
        <f t="shared" ca="1" si="213"/>
        <v>0</v>
      </c>
      <c r="R347" s="5">
        <f t="shared" ca="1" si="213"/>
        <v>0</v>
      </c>
      <c r="S347" s="5">
        <f t="shared" ca="1" si="213"/>
        <v>0</v>
      </c>
      <c r="T347" s="5">
        <f t="shared" ca="1" si="213"/>
        <v>0</v>
      </c>
      <c r="U347" s="5">
        <f t="shared" ca="1" si="213"/>
        <v>0</v>
      </c>
      <c r="V347" s="5">
        <f t="shared" ca="1" si="213"/>
        <v>0</v>
      </c>
      <c r="W347" s="5">
        <f t="shared" ca="1" si="213"/>
        <v>0</v>
      </c>
      <c r="X347" s="5">
        <f t="shared" ca="1" si="213"/>
        <v>0</v>
      </c>
      <c r="Y347" s="5">
        <f t="shared" ca="1" si="213"/>
        <v>0</v>
      </c>
      <c r="Z347" s="5">
        <f t="shared" ca="1" si="213"/>
        <v>0</v>
      </c>
      <c r="AA347" s="5">
        <f t="shared" ca="1" si="213"/>
        <v>0</v>
      </c>
      <c r="AB347" s="5">
        <f t="shared" ca="1" si="213"/>
        <v>0</v>
      </c>
      <c r="AC347" s="5">
        <f t="shared" ca="1" si="213"/>
        <v>0</v>
      </c>
      <c r="AD347" s="5">
        <f t="shared" ca="1" si="213"/>
        <v>0</v>
      </c>
      <c r="AE347" s="5">
        <f t="shared" ca="1" si="213"/>
        <v>0</v>
      </c>
      <c r="AF347" s="5">
        <f t="shared" ca="1" si="213"/>
        <v>0</v>
      </c>
      <c r="AG347" s="5">
        <f t="shared" ca="1" si="213"/>
        <v>0</v>
      </c>
      <c r="AH347" s="5">
        <f t="shared" ca="1" si="213"/>
        <v>0</v>
      </c>
      <c r="AI347" s="5">
        <f t="shared" ca="1" si="213"/>
        <v>0</v>
      </c>
    </row>
    <row r="348" spans="1:35" x14ac:dyDescent="0.3">
      <c r="A348" s="5"/>
      <c r="B348" s="5" t="s">
        <v>207</v>
      </c>
      <c r="C348" s="198" t="s">
        <v>11</v>
      </c>
      <c r="D348" s="205"/>
      <c r="E348" s="5">
        <f t="shared" ref="E348:AI348" ca="1" si="214">E85</f>
        <v>0</v>
      </c>
      <c r="F348" s="5">
        <f t="shared" ca="1" si="214"/>
        <v>0</v>
      </c>
      <c r="G348" s="5">
        <f t="shared" ca="1" si="214"/>
        <v>0</v>
      </c>
      <c r="H348" s="5">
        <f t="shared" ca="1" si="214"/>
        <v>0</v>
      </c>
      <c r="I348" s="5">
        <f t="shared" ca="1" si="214"/>
        <v>0</v>
      </c>
      <c r="J348" s="5">
        <f t="shared" ca="1" si="214"/>
        <v>0</v>
      </c>
      <c r="K348" s="5">
        <f t="shared" ca="1" si="214"/>
        <v>0</v>
      </c>
      <c r="L348" s="5">
        <f t="shared" ca="1" si="214"/>
        <v>0</v>
      </c>
      <c r="M348" s="5">
        <f t="shared" ca="1" si="214"/>
        <v>0</v>
      </c>
      <c r="N348" s="5">
        <f t="shared" ca="1" si="214"/>
        <v>0</v>
      </c>
      <c r="O348" s="5">
        <f t="shared" ca="1" si="214"/>
        <v>0</v>
      </c>
      <c r="P348" s="5">
        <f t="shared" ca="1" si="214"/>
        <v>0</v>
      </c>
      <c r="Q348" s="5">
        <f t="shared" ca="1" si="214"/>
        <v>0</v>
      </c>
      <c r="R348" s="5">
        <f t="shared" ca="1" si="214"/>
        <v>0</v>
      </c>
      <c r="S348" s="5">
        <f t="shared" ca="1" si="214"/>
        <v>0</v>
      </c>
      <c r="T348" s="5">
        <f t="shared" ca="1" si="214"/>
        <v>0</v>
      </c>
      <c r="U348" s="5">
        <f t="shared" ca="1" si="214"/>
        <v>0</v>
      </c>
      <c r="V348" s="5">
        <f t="shared" ca="1" si="214"/>
        <v>0</v>
      </c>
      <c r="W348" s="5">
        <f t="shared" ca="1" si="214"/>
        <v>0</v>
      </c>
      <c r="X348" s="5">
        <f t="shared" ca="1" si="214"/>
        <v>0</v>
      </c>
      <c r="Y348" s="5">
        <f t="shared" ca="1" si="214"/>
        <v>0</v>
      </c>
      <c r="Z348" s="5">
        <f t="shared" ca="1" si="214"/>
        <v>0</v>
      </c>
      <c r="AA348" s="5">
        <f t="shared" ca="1" si="214"/>
        <v>0</v>
      </c>
      <c r="AB348" s="5">
        <f t="shared" ca="1" si="214"/>
        <v>0</v>
      </c>
      <c r="AC348" s="5">
        <f t="shared" ca="1" si="214"/>
        <v>0</v>
      </c>
      <c r="AD348" s="5">
        <f t="shared" ca="1" si="214"/>
        <v>0</v>
      </c>
      <c r="AE348" s="5">
        <f t="shared" ca="1" si="214"/>
        <v>0</v>
      </c>
      <c r="AF348" s="5">
        <f t="shared" ca="1" si="214"/>
        <v>0</v>
      </c>
      <c r="AG348" s="5">
        <f t="shared" ca="1" si="214"/>
        <v>0</v>
      </c>
      <c r="AH348" s="5">
        <f t="shared" ca="1" si="214"/>
        <v>0</v>
      </c>
      <c r="AI348" s="5">
        <f t="shared" ca="1" si="214"/>
        <v>0</v>
      </c>
    </row>
    <row r="349" spans="1:35" x14ac:dyDescent="0.3">
      <c r="A349" s="5"/>
      <c r="B349" s="5" t="s">
        <v>112</v>
      </c>
      <c r="C349" s="198" t="s">
        <v>11</v>
      </c>
      <c r="D349" s="205"/>
      <c r="E349" s="5">
        <f t="shared" ref="E349:AI349" ca="1" si="215">E66</f>
        <v>0</v>
      </c>
      <c r="F349" s="5">
        <f t="shared" ca="1" si="215"/>
        <v>0</v>
      </c>
      <c r="G349" s="5">
        <f t="shared" ca="1" si="215"/>
        <v>0</v>
      </c>
      <c r="H349" s="5">
        <f t="shared" ca="1" si="215"/>
        <v>0</v>
      </c>
      <c r="I349" s="5">
        <f t="shared" ca="1" si="215"/>
        <v>0</v>
      </c>
      <c r="J349" s="5">
        <f t="shared" ca="1" si="215"/>
        <v>0</v>
      </c>
      <c r="K349" s="5">
        <f t="shared" ca="1" si="215"/>
        <v>0</v>
      </c>
      <c r="L349" s="5">
        <f t="shared" ca="1" si="215"/>
        <v>0</v>
      </c>
      <c r="M349" s="5">
        <f t="shared" ca="1" si="215"/>
        <v>0</v>
      </c>
      <c r="N349" s="5">
        <f t="shared" ca="1" si="215"/>
        <v>0</v>
      </c>
      <c r="O349" s="5">
        <f t="shared" ca="1" si="215"/>
        <v>0</v>
      </c>
      <c r="P349" s="5">
        <f t="shared" ca="1" si="215"/>
        <v>0</v>
      </c>
      <c r="Q349" s="5">
        <f t="shared" ca="1" si="215"/>
        <v>0</v>
      </c>
      <c r="R349" s="5">
        <f t="shared" ca="1" si="215"/>
        <v>0</v>
      </c>
      <c r="S349" s="5">
        <f t="shared" ca="1" si="215"/>
        <v>0</v>
      </c>
      <c r="T349" s="5">
        <f t="shared" ca="1" si="215"/>
        <v>0</v>
      </c>
      <c r="U349" s="5">
        <f t="shared" ca="1" si="215"/>
        <v>0</v>
      </c>
      <c r="V349" s="5">
        <f t="shared" ca="1" si="215"/>
        <v>0</v>
      </c>
      <c r="W349" s="5">
        <f t="shared" ca="1" si="215"/>
        <v>0</v>
      </c>
      <c r="X349" s="5">
        <f t="shared" ca="1" si="215"/>
        <v>0</v>
      </c>
      <c r="Y349" s="5">
        <f t="shared" ca="1" si="215"/>
        <v>0</v>
      </c>
      <c r="Z349" s="5">
        <f t="shared" ca="1" si="215"/>
        <v>0</v>
      </c>
      <c r="AA349" s="5">
        <f t="shared" ca="1" si="215"/>
        <v>0</v>
      </c>
      <c r="AB349" s="5">
        <f t="shared" ca="1" si="215"/>
        <v>0</v>
      </c>
      <c r="AC349" s="5">
        <f t="shared" ca="1" si="215"/>
        <v>0</v>
      </c>
      <c r="AD349" s="5">
        <f t="shared" ca="1" si="215"/>
        <v>0</v>
      </c>
      <c r="AE349" s="5">
        <f t="shared" ca="1" si="215"/>
        <v>0</v>
      </c>
      <c r="AF349" s="5">
        <f t="shared" ca="1" si="215"/>
        <v>0</v>
      </c>
      <c r="AG349" s="5">
        <f t="shared" ca="1" si="215"/>
        <v>0</v>
      </c>
      <c r="AH349" s="5">
        <f t="shared" ca="1" si="215"/>
        <v>0</v>
      </c>
      <c r="AI349" s="5">
        <f t="shared" ca="1" si="215"/>
        <v>0</v>
      </c>
    </row>
    <row r="350" spans="1:35" x14ac:dyDescent="0.3">
      <c r="A350" s="5"/>
      <c r="B350" s="5" t="s">
        <v>5</v>
      </c>
      <c r="C350" s="198" t="s">
        <v>11</v>
      </c>
      <c r="D350" s="205"/>
      <c r="E350" s="5">
        <f t="shared" ref="E350:AI350" ca="1" si="216">E231</f>
        <v>174.61457293978017</v>
      </c>
      <c r="F350" s="5">
        <f t="shared" ca="1" si="216"/>
        <v>198.15403678775041</v>
      </c>
      <c r="G350" s="5">
        <f t="shared" ca="1" si="216"/>
        <v>0</v>
      </c>
      <c r="H350" s="5">
        <f t="shared" ca="1" si="216"/>
        <v>0</v>
      </c>
      <c r="I350" s="5">
        <f t="shared" ca="1" si="216"/>
        <v>0</v>
      </c>
      <c r="J350" s="5">
        <f t="shared" ca="1" si="216"/>
        <v>0</v>
      </c>
      <c r="K350" s="5">
        <f t="shared" ca="1" si="216"/>
        <v>0</v>
      </c>
      <c r="L350" s="5">
        <f t="shared" ca="1" si="216"/>
        <v>0</v>
      </c>
      <c r="M350" s="5">
        <f t="shared" ca="1" si="216"/>
        <v>0</v>
      </c>
      <c r="N350" s="5">
        <f t="shared" ca="1" si="216"/>
        <v>0</v>
      </c>
      <c r="O350" s="5">
        <f t="shared" ca="1" si="216"/>
        <v>0</v>
      </c>
      <c r="P350" s="5">
        <f t="shared" ca="1" si="216"/>
        <v>0</v>
      </c>
      <c r="Q350" s="5">
        <f t="shared" ca="1" si="216"/>
        <v>0</v>
      </c>
      <c r="R350" s="5">
        <f t="shared" ca="1" si="216"/>
        <v>0</v>
      </c>
      <c r="S350" s="5">
        <f t="shared" ca="1" si="216"/>
        <v>0</v>
      </c>
      <c r="T350" s="5">
        <f t="shared" ca="1" si="216"/>
        <v>0</v>
      </c>
      <c r="U350" s="5">
        <f t="shared" ca="1" si="216"/>
        <v>0</v>
      </c>
      <c r="V350" s="5">
        <f t="shared" ca="1" si="216"/>
        <v>0</v>
      </c>
      <c r="W350" s="5">
        <f t="shared" ca="1" si="216"/>
        <v>0</v>
      </c>
      <c r="X350" s="5">
        <f t="shared" ca="1" si="216"/>
        <v>0</v>
      </c>
      <c r="Y350" s="5">
        <f t="shared" ca="1" si="216"/>
        <v>0</v>
      </c>
      <c r="Z350" s="5">
        <f t="shared" ca="1" si="216"/>
        <v>0</v>
      </c>
      <c r="AA350" s="5">
        <f t="shared" ca="1" si="216"/>
        <v>0</v>
      </c>
      <c r="AB350" s="5">
        <f t="shared" ca="1" si="216"/>
        <v>0</v>
      </c>
      <c r="AC350" s="5">
        <f t="shared" ca="1" si="216"/>
        <v>0</v>
      </c>
      <c r="AD350" s="5">
        <f t="shared" ca="1" si="216"/>
        <v>0</v>
      </c>
      <c r="AE350" s="5">
        <f t="shared" ca="1" si="216"/>
        <v>0</v>
      </c>
      <c r="AF350" s="5">
        <f t="shared" ca="1" si="216"/>
        <v>0</v>
      </c>
      <c r="AG350" s="5">
        <f t="shared" ca="1" si="216"/>
        <v>0</v>
      </c>
      <c r="AH350" s="5">
        <f t="shared" ca="1" si="216"/>
        <v>0</v>
      </c>
      <c r="AI350" s="5">
        <f t="shared" ca="1" si="216"/>
        <v>0</v>
      </c>
    </row>
    <row r="351" spans="1:35" x14ac:dyDescent="0.3">
      <c r="A351" s="5"/>
      <c r="B351" s="5" t="s">
        <v>42</v>
      </c>
      <c r="C351" s="198" t="s">
        <v>11</v>
      </c>
      <c r="D351" s="205"/>
      <c r="E351" s="5">
        <f t="shared" ref="E351:AI351" si="217">E244</f>
        <v>0</v>
      </c>
      <c r="F351" s="5">
        <f t="shared" si="217"/>
        <v>0</v>
      </c>
      <c r="G351" s="5">
        <f t="shared" si="217"/>
        <v>0</v>
      </c>
      <c r="H351" s="5">
        <f t="shared" si="217"/>
        <v>0</v>
      </c>
      <c r="I351" s="5">
        <f t="shared" si="217"/>
        <v>0</v>
      </c>
      <c r="J351" s="5">
        <f t="shared" si="217"/>
        <v>0</v>
      </c>
      <c r="K351" s="5">
        <f t="shared" si="217"/>
        <v>0</v>
      </c>
      <c r="L351" s="5">
        <f t="shared" si="217"/>
        <v>0</v>
      </c>
      <c r="M351" s="5">
        <f t="shared" si="217"/>
        <v>0</v>
      </c>
      <c r="N351" s="5">
        <f t="shared" si="217"/>
        <v>0</v>
      </c>
      <c r="O351" s="5">
        <f t="shared" si="217"/>
        <v>0</v>
      </c>
      <c r="P351" s="5">
        <f t="shared" si="217"/>
        <v>0</v>
      </c>
      <c r="Q351" s="5">
        <f t="shared" si="217"/>
        <v>0</v>
      </c>
      <c r="R351" s="5">
        <f t="shared" si="217"/>
        <v>0</v>
      </c>
      <c r="S351" s="5">
        <f t="shared" si="217"/>
        <v>0</v>
      </c>
      <c r="T351" s="5">
        <f t="shared" si="217"/>
        <v>0</v>
      </c>
      <c r="U351" s="5">
        <f t="shared" si="217"/>
        <v>0</v>
      </c>
      <c r="V351" s="5">
        <f t="shared" si="217"/>
        <v>0</v>
      </c>
      <c r="W351" s="5">
        <f t="shared" si="217"/>
        <v>0</v>
      </c>
      <c r="X351" s="5">
        <f t="shared" si="217"/>
        <v>0</v>
      </c>
      <c r="Y351" s="5">
        <f t="shared" si="217"/>
        <v>0</v>
      </c>
      <c r="Z351" s="5">
        <f t="shared" si="217"/>
        <v>0</v>
      </c>
      <c r="AA351" s="5">
        <f t="shared" si="217"/>
        <v>0</v>
      </c>
      <c r="AB351" s="5">
        <f t="shared" si="217"/>
        <v>0</v>
      </c>
      <c r="AC351" s="5">
        <f t="shared" si="217"/>
        <v>0</v>
      </c>
      <c r="AD351" s="5">
        <f t="shared" si="217"/>
        <v>0</v>
      </c>
      <c r="AE351" s="5">
        <f t="shared" si="217"/>
        <v>0</v>
      </c>
      <c r="AF351" s="5">
        <f t="shared" si="217"/>
        <v>0</v>
      </c>
      <c r="AG351" s="5">
        <f t="shared" si="217"/>
        <v>0</v>
      </c>
      <c r="AH351" s="5">
        <f t="shared" si="217"/>
        <v>0</v>
      </c>
      <c r="AI351" s="5">
        <f t="shared" si="217"/>
        <v>0</v>
      </c>
    </row>
    <row r="352" spans="1:35" x14ac:dyDescent="0.3">
      <c r="A352" s="5"/>
      <c r="B352" s="5" t="s">
        <v>111</v>
      </c>
      <c r="C352" s="198" t="s">
        <v>11</v>
      </c>
      <c r="D352" s="205"/>
      <c r="E352" s="5">
        <f t="shared" ref="E352" si="218">-E76</f>
        <v>0</v>
      </c>
      <c r="F352" s="5">
        <f t="shared" ref="F352:AI352" ca="1" si="219">-F76</f>
        <v>-28.993114089919043</v>
      </c>
      <c r="G352" s="5">
        <f t="shared" ca="1" si="219"/>
        <v>-57.986228179838086</v>
      </c>
      <c r="H352" s="5">
        <f t="shared" ca="1" si="219"/>
        <v>-57.986228179838086</v>
      </c>
      <c r="I352" s="5">
        <f t="shared" ca="1" si="219"/>
        <v>-57.986228179838086</v>
      </c>
      <c r="J352" s="5">
        <f t="shared" ca="1" si="219"/>
        <v>-57.986228179838086</v>
      </c>
      <c r="K352" s="5">
        <f t="shared" ca="1" si="219"/>
        <v>-57.986228179838086</v>
      </c>
      <c r="L352" s="5">
        <f t="shared" ca="1" si="219"/>
        <v>-57.986228179838086</v>
      </c>
      <c r="M352" s="5">
        <f t="shared" ca="1" si="219"/>
        <v>-57.986228179838086</v>
      </c>
      <c r="N352" s="5">
        <f t="shared" ca="1" si="219"/>
        <v>-57.986228179838086</v>
      </c>
      <c r="O352" s="5">
        <f t="shared" ca="1" si="219"/>
        <v>-57.986228179838086</v>
      </c>
      <c r="P352" s="5">
        <f t="shared" ca="1" si="219"/>
        <v>-57.986228179838086</v>
      </c>
      <c r="Q352" s="5">
        <f t="shared" ca="1" si="219"/>
        <v>-57.986228179838086</v>
      </c>
      <c r="R352" s="5">
        <f t="shared" ca="1" si="219"/>
        <v>-57.986228179838086</v>
      </c>
      <c r="S352" s="5">
        <f t="shared" ca="1" si="219"/>
        <v>-57.986228179838086</v>
      </c>
      <c r="T352" s="5">
        <f t="shared" ca="1" si="219"/>
        <v>-57.986228179838086</v>
      </c>
      <c r="U352" s="5">
        <f t="shared" ca="1" si="219"/>
        <v>-28.993114089918954</v>
      </c>
      <c r="V352" s="5">
        <f t="shared" ca="1" si="219"/>
        <v>0</v>
      </c>
      <c r="W352" s="5">
        <f t="shared" ca="1" si="219"/>
        <v>0</v>
      </c>
      <c r="X352" s="5">
        <f t="shared" ca="1" si="219"/>
        <v>0</v>
      </c>
      <c r="Y352" s="5">
        <f t="shared" ca="1" si="219"/>
        <v>0</v>
      </c>
      <c r="Z352" s="5">
        <f t="shared" ca="1" si="219"/>
        <v>0</v>
      </c>
      <c r="AA352" s="5">
        <f t="shared" ca="1" si="219"/>
        <v>0</v>
      </c>
      <c r="AB352" s="5">
        <f t="shared" ca="1" si="219"/>
        <v>0</v>
      </c>
      <c r="AC352" s="5">
        <f t="shared" ca="1" si="219"/>
        <v>0</v>
      </c>
      <c r="AD352" s="5">
        <f t="shared" ca="1" si="219"/>
        <v>0</v>
      </c>
      <c r="AE352" s="5">
        <f t="shared" ca="1" si="219"/>
        <v>0</v>
      </c>
      <c r="AF352" s="5">
        <f t="shared" ca="1" si="219"/>
        <v>0</v>
      </c>
      <c r="AG352" s="5">
        <f t="shared" ca="1" si="219"/>
        <v>0</v>
      </c>
      <c r="AH352" s="5">
        <f t="shared" ca="1" si="219"/>
        <v>0</v>
      </c>
      <c r="AI352" s="5">
        <f t="shared" ca="1" si="219"/>
        <v>0</v>
      </c>
    </row>
    <row r="353" spans="1:35" x14ac:dyDescent="0.3">
      <c r="A353" s="5"/>
      <c r="B353" s="5" t="s">
        <v>110</v>
      </c>
      <c r="C353" s="198" t="s">
        <v>11</v>
      </c>
      <c r="D353" s="205"/>
      <c r="E353" s="5">
        <f t="shared" ref="E353" si="220">-E86</f>
        <v>0</v>
      </c>
      <c r="F353" s="5">
        <f t="shared" ref="F353:AI353" ca="1" si="221">-F86</f>
        <v>0</v>
      </c>
      <c r="G353" s="5">
        <f t="shared" ca="1" si="221"/>
        <v>0</v>
      </c>
      <c r="H353" s="5">
        <f t="shared" ca="1" si="221"/>
        <v>0</v>
      </c>
      <c r="I353" s="5">
        <f t="shared" ca="1" si="221"/>
        <v>0</v>
      </c>
      <c r="J353" s="5">
        <f t="shared" ca="1" si="221"/>
        <v>0</v>
      </c>
      <c r="K353" s="5">
        <f t="shared" ca="1" si="221"/>
        <v>0</v>
      </c>
      <c r="L353" s="5">
        <f t="shared" ca="1" si="221"/>
        <v>0</v>
      </c>
      <c r="M353" s="5">
        <f t="shared" ca="1" si="221"/>
        <v>0</v>
      </c>
      <c r="N353" s="5">
        <f t="shared" ca="1" si="221"/>
        <v>0</v>
      </c>
      <c r="O353" s="5">
        <f t="shared" ca="1" si="221"/>
        <v>0</v>
      </c>
      <c r="P353" s="5">
        <f t="shared" ca="1" si="221"/>
        <v>0</v>
      </c>
      <c r="Q353" s="5">
        <f t="shared" ca="1" si="221"/>
        <v>0</v>
      </c>
      <c r="R353" s="5">
        <f t="shared" ca="1" si="221"/>
        <v>0</v>
      </c>
      <c r="S353" s="5">
        <f t="shared" ca="1" si="221"/>
        <v>0</v>
      </c>
      <c r="T353" s="5">
        <f t="shared" ca="1" si="221"/>
        <v>0</v>
      </c>
      <c r="U353" s="5">
        <f t="shared" ca="1" si="221"/>
        <v>0</v>
      </c>
      <c r="V353" s="5">
        <f t="shared" ca="1" si="221"/>
        <v>0</v>
      </c>
      <c r="W353" s="5">
        <f t="shared" ca="1" si="221"/>
        <v>0</v>
      </c>
      <c r="X353" s="5">
        <f t="shared" ca="1" si="221"/>
        <v>0</v>
      </c>
      <c r="Y353" s="5">
        <f t="shared" ca="1" si="221"/>
        <v>0</v>
      </c>
      <c r="Z353" s="5">
        <f t="shared" ca="1" si="221"/>
        <v>0</v>
      </c>
      <c r="AA353" s="5">
        <f t="shared" ca="1" si="221"/>
        <v>0</v>
      </c>
      <c r="AB353" s="5">
        <f t="shared" ca="1" si="221"/>
        <v>0</v>
      </c>
      <c r="AC353" s="5">
        <f t="shared" ca="1" si="221"/>
        <v>0</v>
      </c>
      <c r="AD353" s="5">
        <f t="shared" ca="1" si="221"/>
        <v>0</v>
      </c>
      <c r="AE353" s="5">
        <f t="shared" ca="1" si="221"/>
        <v>0</v>
      </c>
      <c r="AF353" s="5">
        <f t="shared" ca="1" si="221"/>
        <v>0</v>
      </c>
      <c r="AG353" s="5">
        <f t="shared" ca="1" si="221"/>
        <v>0</v>
      </c>
      <c r="AH353" s="5">
        <f t="shared" ca="1" si="221"/>
        <v>0</v>
      </c>
      <c r="AI353" s="5">
        <f t="shared" ca="1" si="221"/>
        <v>0</v>
      </c>
    </row>
    <row r="354" spans="1:35" x14ac:dyDescent="0.3">
      <c r="A354" s="5"/>
      <c r="B354" s="5" t="s">
        <v>109</v>
      </c>
      <c r="C354" s="198" t="s">
        <v>11</v>
      </c>
      <c r="D354" s="205"/>
      <c r="E354" s="5">
        <f t="shared" ref="E354:AI354" si="222">E245</f>
        <v>0</v>
      </c>
      <c r="F354" s="5">
        <f t="shared" si="222"/>
        <v>0</v>
      </c>
      <c r="G354" s="5">
        <f t="shared" si="222"/>
        <v>0</v>
      </c>
      <c r="H354" s="5">
        <f t="shared" si="222"/>
        <v>0</v>
      </c>
      <c r="I354" s="5">
        <f t="shared" si="222"/>
        <v>0</v>
      </c>
      <c r="J354" s="5">
        <f t="shared" si="222"/>
        <v>0</v>
      </c>
      <c r="K354" s="5">
        <f t="shared" si="222"/>
        <v>0</v>
      </c>
      <c r="L354" s="5">
        <f t="shared" si="222"/>
        <v>0</v>
      </c>
      <c r="M354" s="5">
        <f t="shared" si="222"/>
        <v>0</v>
      </c>
      <c r="N354" s="5">
        <f t="shared" si="222"/>
        <v>0</v>
      </c>
      <c r="O354" s="5">
        <f t="shared" si="222"/>
        <v>0</v>
      </c>
      <c r="P354" s="5">
        <f t="shared" si="222"/>
        <v>0</v>
      </c>
      <c r="Q354" s="5">
        <f t="shared" si="222"/>
        <v>0</v>
      </c>
      <c r="R354" s="5">
        <f t="shared" si="222"/>
        <v>0</v>
      </c>
      <c r="S354" s="5">
        <f t="shared" si="222"/>
        <v>0</v>
      </c>
      <c r="T354" s="5">
        <f t="shared" si="222"/>
        <v>0</v>
      </c>
      <c r="U354" s="5">
        <f t="shared" si="222"/>
        <v>0</v>
      </c>
      <c r="V354" s="5">
        <f t="shared" si="222"/>
        <v>0</v>
      </c>
      <c r="W354" s="5">
        <f t="shared" si="222"/>
        <v>0</v>
      </c>
      <c r="X354" s="5">
        <f t="shared" si="222"/>
        <v>0</v>
      </c>
      <c r="Y354" s="5">
        <f t="shared" si="222"/>
        <v>0</v>
      </c>
      <c r="Z354" s="5">
        <f t="shared" si="222"/>
        <v>0</v>
      </c>
      <c r="AA354" s="5">
        <f t="shared" si="222"/>
        <v>0</v>
      </c>
      <c r="AB354" s="5">
        <f t="shared" si="222"/>
        <v>0</v>
      </c>
      <c r="AC354" s="5">
        <f t="shared" si="222"/>
        <v>0</v>
      </c>
      <c r="AD354" s="5">
        <f t="shared" si="222"/>
        <v>0</v>
      </c>
      <c r="AE354" s="5">
        <f t="shared" si="222"/>
        <v>0</v>
      </c>
      <c r="AF354" s="5">
        <f t="shared" si="222"/>
        <v>0</v>
      </c>
      <c r="AG354" s="5">
        <f t="shared" si="222"/>
        <v>0</v>
      </c>
      <c r="AH354" s="5">
        <f t="shared" si="222"/>
        <v>0</v>
      </c>
      <c r="AI354" s="5">
        <f t="shared" si="222"/>
        <v>0</v>
      </c>
    </row>
    <row r="355" spans="1:35" x14ac:dyDescent="0.3">
      <c r="A355" s="5"/>
      <c r="B355" s="3" t="s">
        <v>108</v>
      </c>
      <c r="C355" s="68" t="s">
        <v>11</v>
      </c>
      <c r="D355" s="205"/>
      <c r="E355" s="5">
        <f t="shared" ref="E355:AI355" si="223">(E183-D183)*E4</f>
        <v>0</v>
      </c>
      <c r="F355" s="5">
        <f t="shared" ref="F355:AF355" ca="1" si="224">(F183-E183)*F4</f>
        <v>19.259199231886896</v>
      </c>
      <c r="G355" s="5">
        <f t="shared" ca="1" si="224"/>
        <v>-0.14520970159275848</v>
      </c>
      <c r="H355" s="5">
        <f t="shared" ca="1" si="224"/>
        <v>-8.3411094666661967E-2</v>
      </c>
      <c r="I355" s="5">
        <f t="shared" ca="1" si="224"/>
        <v>-7.4525371733862755E-2</v>
      </c>
      <c r="J355" s="5">
        <f t="shared" ca="1" si="224"/>
        <v>-6.5351074776529572E-2</v>
      </c>
      <c r="K355" s="5">
        <f t="shared" ca="1" si="224"/>
        <v>-5.5871286364855166E-2</v>
      </c>
      <c r="L355" s="5">
        <f t="shared" ca="1" si="224"/>
        <v>-4.6068240215980438E-2</v>
      </c>
      <c r="M355" s="5">
        <f t="shared" ca="1" si="224"/>
        <v>-3.5923276787077185E-2</v>
      </c>
      <c r="N355" s="5">
        <f t="shared" ca="1" si="224"/>
        <v>-2.5416796559500909E-2</v>
      </c>
      <c r="O355" s="5">
        <f t="shared" ca="1" si="224"/>
        <v>-1.4528210893534066E-2</v>
      </c>
      <c r="P355" s="5">
        <f t="shared" ca="1" si="224"/>
        <v>-3.2358903268381312E-3</v>
      </c>
      <c r="Q355" s="5">
        <f t="shared" ca="1" si="224"/>
        <v>8.4828898169817535E-3</v>
      </c>
      <c r="R355" s="5">
        <f t="shared" ca="1" si="224"/>
        <v>2.065200665001754E-2</v>
      </c>
      <c r="S355" s="5">
        <f t="shared" ca="1" si="224"/>
        <v>3.3296549920017071E-2</v>
      </c>
      <c r="T355" s="5">
        <f t="shared" ca="1" si="224"/>
        <v>4.6442885343829232E-2</v>
      </c>
      <c r="U355" s="5">
        <f t="shared" ca="1" si="224"/>
        <v>6.0118721238570316E-2</v>
      </c>
      <c r="V355" s="5">
        <f t="shared" ca="1" si="224"/>
        <v>7.4353178622146743E-2</v>
      </c>
      <c r="W355" s="5">
        <f t="shared" ca="1" si="224"/>
        <v>8.9176864965022418E-2</v>
      </c>
      <c r="X355" s="5">
        <f t="shared" ca="1" si="224"/>
        <v>0.10462195178350697</v>
      </c>
      <c r="Y355" s="5">
        <f t="shared" ca="1" si="224"/>
        <v>0.12072225627562716</v>
      </c>
      <c r="Z355" s="5">
        <f t="shared" ca="1" si="224"/>
        <v>0.13751332721052734</v>
      </c>
      <c r="AA355" s="5">
        <f t="shared" ca="1" si="224"/>
        <v>0.15503253529400141</v>
      </c>
      <c r="AB355" s="5">
        <f t="shared" ca="1" si="224"/>
        <v>0.17331916824373295</v>
      </c>
      <c r="AC355" s="5">
        <f t="shared" ca="1" si="224"/>
        <v>0.19241453082070592</v>
      </c>
      <c r="AD355" s="5">
        <f t="shared" ca="1" si="224"/>
        <v>0.21236205007550879</v>
      </c>
      <c r="AE355" s="5">
        <f t="shared" ca="1" si="224"/>
        <v>2.4045682549818004</v>
      </c>
      <c r="AF355" s="5">
        <f t="shared" ca="1" si="224"/>
        <v>0</v>
      </c>
      <c r="AG355" s="5">
        <f t="shared" si="223"/>
        <v>0</v>
      </c>
      <c r="AH355" s="5">
        <f t="shared" si="223"/>
        <v>0</v>
      </c>
      <c r="AI355" s="5">
        <f t="shared" si="223"/>
        <v>0</v>
      </c>
    </row>
    <row r="356" spans="1:35" x14ac:dyDescent="0.3">
      <c r="A356" s="5"/>
      <c r="B356" s="5" t="s">
        <v>83</v>
      </c>
      <c r="C356" s="198" t="s">
        <v>11</v>
      </c>
      <c r="D356" s="205"/>
      <c r="E356" s="5">
        <f t="shared" ref="E356:AI356" ca="1" si="225">-E324</f>
        <v>0</v>
      </c>
      <c r="F356" s="5">
        <f t="shared" ca="1" si="225"/>
        <v>-18.672217381508435</v>
      </c>
      <c r="G356" s="5">
        <f t="shared" ca="1" si="225"/>
        <v>-48.708431671063991</v>
      </c>
      <c r="H356" s="5">
        <f t="shared" ca="1" si="225"/>
        <v>-45.229257980273701</v>
      </c>
      <c r="I356" s="5">
        <f t="shared" ca="1" si="225"/>
        <v>-41.750084289483418</v>
      </c>
      <c r="J356" s="5">
        <f t="shared" ca="1" si="225"/>
        <v>-38.270910598693128</v>
      </c>
      <c r="K356" s="5">
        <f t="shared" ca="1" si="225"/>
        <v>-34.791736907902845</v>
      </c>
      <c r="L356" s="5">
        <f t="shared" ca="1" si="225"/>
        <v>-31.312563217112558</v>
      </c>
      <c r="M356" s="5">
        <f t="shared" ca="1" si="225"/>
        <v>-27.833389526322271</v>
      </c>
      <c r="N356" s="5">
        <f t="shared" ca="1" si="225"/>
        <v>-24.354215835531988</v>
      </c>
      <c r="O356" s="5">
        <f t="shared" ca="1" si="225"/>
        <v>-20.875042144741702</v>
      </c>
      <c r="P356" s="5">
        <f t="shared" ca="1" si="225"/>
        <v>-17.395868453951422</v>
      </c>
      <c r="Q356" s="5">
        <f t="shared" ca="1" si="225"/>
        <v>-13.916694763161136</v>
      </c>
      <c r="R356" s="5">
        <f t="shared" ca="1" si="225"/>
        <v>-10.437521072370851</v>
      </c>
      <c r="S356" s="5">
        <f t="shared" ca="1" si="225"/>
        <v>-6.9583473815805652</v>
      </c>
      <c r="T356" s="5">
        <f t="shared" ca="1" si="225"/>
        <v>-3.4791736907902795</v>
      </c>
      <c r="U356" s="5">
        <f t="shared" ca="1" si="225"/>
        <v>-0.86979342269756865</v>
      </c>
      <c r="V356" s="5">
        <f t="shared" ca="1" si="225"/>
        <v>0</v>
      </c>
      <c r="W356" s="5">
        <f t="shared" ca="1" si="225"/>
        <v>0</v>
      </c>
      <c r="X356" s="5">
        <f t="shared" ca="1" si="225"/>
        <v>0</v>
      </c>
      <c r="Y356" s="5">
        <f t="shared" ca="1" si="225"/>
        <v>0</v>
      </c>
      <c r="Z356" s="5">
        <f t="shared" ca="1" si="225"/>
        <v>0</v>
      </c>
      <c r="AA356" s="5">
        <f t="shared" ca="1" si="225"/>
        <v>0</v>
      </c>
      <c r="AB356" s="5">
        <f t="shared" ca="1" si="225"/>
        <v>0</v>
      </c>
      <c r="AC356" s="5">
        <f t="shared" ca="1" si="225"/>
        <v>0</v>
      </c>
      <c r="AD356" s="5">
        <f t="shared" ca="1" si="225"/>
        <v>0</v>
      </c>
      <c r="AE356" s="5">
        <f t="shared" ca="1" si="225"/>
        <v>0</v>
      </c>
      <c r="AF356" s="5">
        <f t="shared" ca="1" si="225"/>
        <v>0</v>
      </c>
      <c r="AG356" s="5">
        <f t="shared" ca="1" si="225"/>
        <v>0</v>
      </c>
      <c r="AH356" s="5">
        <f t="shared" ca="1" si="225"/>
        <v>0</v>
      </c>
      <c r="AI356" s="5">
        <f t="shared" ca="1" si="225"/>
        <v>0</v>
      </c>
    </row>
    <row r="357" spans="1:35" x14ac:dyDescent="0.3">
      <c r="A357" s="5"/>
      <c r="B357" s="5" t="s">
        <v>82</v>
      </c>
      <c r="C357" s="198" t="s">
        <v>11</v>
      </c>
      <c r="D357" s="205"/>
      <c r="E357" s="5">
        <f t="shared" ref="E357:AI357" si="226">-E325</f>
        <v>0</v>
      </c>
      <c r="F357" s="5">
        <f t="shared" ca="1" si="226"/>
        <v>-1.1043699723928568</v>
      </c>
      <c r="G357" s="5">
        <f t="shared" ca="1" si="226"/>
        <v>-2.1981087959838259</v>
      </c>
      <c r="H357" s="5">
        <f t="shared" ca="1" si="226"/>
        <v>-2.1885165200971599</v>
      </c>
      <c r="I357" s="5">
        <f t="shared" ca="1" si="226"/>
        <v>-2.1799461023477655</v>
      </c>
      <c r="J357" s="5">
        <f t="shared" ca="1" si="226"/>
        <v>-2.1724307287484645</v>
      </c>
      <c r="K357" s="5">
        <f t="shared" ca="1" si="226"/>
        <v>-2.1660055308165065</v>
      </c>
      <c r="L357" s="5">
        <f t="shared" ca="1" si="226"/>
        <v>-2.1607076831916685</v>
      </c>
      <c r="M357" s="5">
        <f t="shared" ca="1" si="226"/>
        <v>-2.1565765063611546</v>
      </c>
      <c r="N357" s="5">
        <f t="shared" ca="1" si="226"/>
        <v>-2.1536535747568122</v>
      </c>
      <c r="O357" s="5">
        <f t="shared" ca="1" si="226"/>
        <v>-2.1519828305040556</v>
      </c>
      <c r="P357" s="5">
        <f t="shared" ca="1" si="226"/>
        <v>-2.1516107031164693</v>
      </c>
      <c r="Q357" s="5">
        <f t="shared" ca="1" si="226"/>
        <v>-2.1525862354454222</v>
      </c>
      <c r="R357" s="5">
        <f t="shared" ca="1" si="226"/>
        <v>-2.1549612162101743</v>
      </c>
      <c r="S357" s="5">
        <f t="shared" ca="1" si="226"/>
        <v>-2.1587903194509761</v>
      </c>
      <c r="T357" s="5">
        <f t="shared" ca="1" si="226"/>
        <v>-2.1641312512655166</v>
      </c>
      <c r="U357" s="5">
        <f t="shared" ca="1" si="226"/>
        <v>-2.1710449042079523</v>
      </c>
      <c r="V357" s="5">
        <f t="shared" ca="1" si="226"/>
        <v>-2.1795955197494989</v>
      </c>
      <c r="W357" s="5">
        <f t="shared" ca="1" si="226"/>
        <v>-2.1898508592204764</v>
      </c>
      <c r="X357" s="5">
        <f t="shared" ca="1" si="226"/>
        <v>-2.2018823836755801</v>
      </c>
      <c r="Y357" s="5">
        <f t="shared" ca="1" si="226"/>
        <v>-2.2157654431472769</v>
      </c>
      <c r="Z357" s="5">
        <f t="shared" ca="1" si="226"/>
        <v>-2.2315794757764875</v>
      </c>
      <c r="AA357" s="5">
        <f t="shared" ca="1" si="226"/>
        <v>-2.2494082173352976</v>
      </c>
      <c r="AB357" s="5">
        <f t="shared" ca="1" si="226"/>
        <v>-2.269339921683327</v>
      </c>
      <c r="AC357" s="5">
        <f t="shared" ca="1" si="226"/>
        <v>-2.2914675927277082</v>
      </c>
      <c r="AD357" s="5">
        <f t="shared" ca="1" si="226"/>
        <v>-2.3158892284863919</v>
      </c>
      <c r="AE357" s="5">
        <f t="shared" ca="1" si="226"/>
        <v>-1.2962072889046494</v>
      </c>
      <c r="AF357" s="5">
        <f t="shared" si="226"/>
        <v>0</v>
      </c>
      <c r="AG357" s="5">
        <f t="shared" si="226"/>
        <v>0</v>
      </c>
      <c r="AH357" s="5">
        <f t="shared" si="226"/>
        <v>0</v>
      </c>
      <c r="AI357" s="5">
        <f t="shared" si="226"/>
        <v>0</v>
      </c>
    </row>
    <row r="358" spans="1:35" x14ac:dyDescent="0.3">
      <c r="A358" s="5"/>
      <c r="B358" s="5" t="s">
        <v>81</v>
      </c>
      <c r="C358" s="198" t="s">
        <v>11</v>
      </c>
      <c r="D358" s="205"/>
      <c r="E358" s="5">
        <f t="shared" ref="E358:AI358" si="227">-E326</f>
        <v>0</v>
      </c>
      <c r="F358" s="5">
        <f t="shared" si="227"/>
        <v>0</v>
      </c>
      <c r="G358" s="5">
        <f t="shared" si="227"/>
        <v>0</v>
      </c>
      <c r="H358" s="5">
        <f t="shared" si="227"/>
        <v>0</v>
      </c>
      <c r="I358" s="5">
        <f t="shared" si="227"/>
        <v>0</v>
      </c>
      <c r="J358" s="5">
        <f t="shared" si="227"/>
        <v>0</v>
      </c>
      <c r="K358" s="5">
        <f t="shared" si="227"/>
        <v>0</v>
      </c>
      <c r="L358" s="5">
        <f t="shared" si="227"/>
        <v>0</v>
      </c>
      <c r="M358" s="5">
        <f t="shared" si="227"/>
        <v>0</v>
      </c>
      <c r="N358" s="5">
        <f t="shared" si="227"/>
        <v>0</v>
      </c>
      <c r="O358" s="5">
        <f t="shared" si="227"/>
        <v>0</v>
      </c>
      <c r="P358" s="5">
        <f t="shared" si="227"/>
        <v>0</v>
      </c>
      <c r="Q358" s="5">
        <f t="shared" si="227"/>
        <v>0</v>
      </c>
      <c r="R358" s="5">
        <f t="shared" si="227"/>
        <v>0</v>
      </c>
      <c r="S358" s="5">
        <f t="shared" si="227"/>
        <v>0</v>
      </c>
      <c r="T358" s="5">
        <f t="shared" si="227"/>
        <v>0</v>
      </c>
      <c r="U358" s="5">
        <f t="shared" si="227"/>
        <v>0</v>
      </c>
      <c r="V358" s="5">
        <f t="shared" si="227"/>
        <v>0</v>
      </c>
      <c r="W358" s="5">
        <f t="shared" si="227"/>
        <v>0</v>
      </c>
      <c r="X358" s="5">
        <f t="shared" si="227"/>
        <v>0</v>
      </c>
      <c r="Y358" s="5">
        <f t="shared" si="227"/>
        <v>0</v>
      </c>
      <c r="Z358" s="5">
        <f t="shared" si="227"/>
        <v>0</v>
      </c>
      <c r="AA358" s="5">
        <f t="shared" si="227"/>
        <v>0</v>
      </c>
      <c r="AB358" s="5">
        <f t="shared" si="227"/>
        <v>0</v>
      </c>
      <c r="AC358" s="5">
        <f t="shared" si="227"/>
        <v>0</v>
      </c>
      <c r="AD358" s="5">
        <f t="shared" si="227"/>
        <v>0</v>
      </c>
      <c r="AE358" s="5">
        <f t="shared" si="227"/>
        <v>0</v>
      </c>
      <c r="AF358" s="5">
        <f t="shared" si="227"/>
        <v>0</v>
      </c>
      <c r="AG358" s="5">
        <f t="shared" si="227"/>
        <v>0</v>
      </c>
      <c r="AH358" s="5">
        <f t="shared" si="227"/>
        <v>0</v>
      </c>
      <c r="AI358" s="5">
        <f t="shared" si="227"/>
        <v>0</v>
      </c>
    </row>
    <row r="359" spans="1:35" x14ac:dyDescent="0.3">
      <c r="A359" s="5"/>
      <c r="B359" s="217" t="s">
        <v>107</v>
      </c>
      <c r="C359" s="200" t="s">
        <v>11</v>
      </c>
      <c r="D359" s="682"/>
      <c r="E359" s="217">
        <f t="shared" ref="E359:AI359" ca="1" si="228">SUM(E347:E358)</f>
        <v>582.04857646593382</v>
      </c>
      <c r="F359" s="217">
        <f t="shared" ca="1" si="228"/>
        <v>631.00295374723464</v>
      </c>
      <c r="G359" s="217">
        <f t="shared" ca="1" si="228"/>
        <v>-109.03797834847866</v>
      </c>
      <c r="H359" s="217">
        <f t="shared" ca="1" si="228"/>
        <v>-105.48741377487562</v>
      </c>
      <c r="I359" s="217">
        <f t="shared" ca="1" si="228"/>
        <v>-101.99078394340313</v>
      </c>
      <c r="J359" s="217">
        <f t="shared" ca="1" si="228"/>
        <v>-98.49492058205621</v>
      </c>
      <c r="K359" s="217">
        <f t="shared" ca="1" si="228"/>
        <v>-94.999841904922292</v>
      </c>
      <c r="L359" s="217">
        <f t="shared" ca="1" si="228"/>
        <v>-91.505567320358296</v>
      </c>
      <c r="M359" s="217">
        <f t="shared" ca="1" si="228"/>
        <v>-88.012117489308594</v>
      </c>
      <c r="N359" s="217">
        <f t="shared" ca="1" si="228"/>
        <v>-84.519514386686396</v>
      </c>
      <c r="O359" s="217">
        <f t="shared" ca="1" si="228"/>
        <v>-81.027781365977376</v>
      </c>
      <c r="P359" s="217">
        <f t="shared" ca="1" si="228"/>
        <v>-77.536943227232825</v>
      </c>
      <c r="Q359" s="217">
        <f t="shared" ca="1" si="228"/>
        <v>-74.047026288627663</v>
      </c>
      <c r="R359" s="217">
        <f t="shared" ca="1" si="228"/>
        <v>-70.558058461769093</v>
      </c>
      <c r="S359" s="217">
        <f t="shared" ca="1" si="228"/>
        <v>-67.070069330949607</v>
      </c>
      <c r="T359" s="217">
        <f t="shared" ca="1" si="228"/>
        <v>-63.583090236550049</v>
      </c>
      <c r="U359" s="217">
        <f t="shared" ca="1" si="228"/>
        <v>-31.973833695585906</v>
      </c>
      <c r="V359" s="217">
        <f t="shared" ca="1" si="228"/>
        <v>-2.1052423411273522</v>
      </c>
      <c r="W359" s="217">
        <f t="shared" ca="1" si="228"/>
        <v>-2.100673994255454</v>
      </c>
      <c r="X359" s="217">
        <f t="shared" ca="1" si="228"/>
        <v>-2.0972604318920731</v>
      </c>
      <c r="Y359" s="217">
        <f t="shared" ca="1" si="228"/>
        <v>-2.0950431868716497</v>
      </c>
      <c r="Z359" s="217">
        <f t="shared" ca="1" si="228"/>
        <v>-2.0940661485659602</v>
      </c>
      <c r="AA359" s="217">
        <f t="shared" ca="1" si="228"/>
        <v>-2.0943756820412962</v>
      </c>
      <c r="AB359" s="217">
        <f t="shared" ca="1" si="228"/>
        <v>-2.096020753439594</v>
      </c>
      <c r="AC359" s="217">
        <f t="shared" ca="1" si="228"/>
        <v>-2.0990530619070022</v>
      </c>
      <c r="AD359" s="217">
        <f t="shared" ca="1" si="228"/>
        <v>-2.1035271784108831</v>
      </c>
      <c r="AE359" s="217">
        <f t="shared" ca="1" si="228"/>
        <v>1.108360966077151</v>
      </c>
      <c r="AF359" s="217">
        <f t="shared" ca="1" si="228"/>
        <v>0</v>
      </c>
      <c r="AG359" s="217">
        <f t="shared" ca="1" si="228"/>
        <v>0</v>
      </c>
      <c r="AH359" s="217">
        <f t="shared" ca="1" si="228"/>
        <v>0</v>
      </c>
      <c r="AI359" s="217">
        <f t="shared" ca="1" si="228"/>
        <v>0</v>
      </c>
    </row>
    <row r="360" spans="1:35" x14ac:dyDescent="0.3">
      <c r="A360" s="5"/>
      <c r="B360" s="5"/>
      <c r="C360" s="198"/>
      <c r="D360" s="20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row>
    <row r="361" spans="1:35" x14ac:dyDescent="0.3">
      <c r="A361" s="259" t="s">
        <v>106</v>
      </c>
      <c r="B361" s="260"/>
      <c r="C361" s="261"/>
      <c r="D361" s="262"/>
      <c r="E361" s="260"/>
      <c r="F361" s="260"/>
      <c r="G361" s="260"/>
      <c r="H361" s="260"/>
      <c r="I361" s="260"/>
      <c r="J361" s="260"/>
      <c r="K361" s="260"/>
      <c r="L361" s="260"/>
      <c r="M361" s="260"/>
      <c r="N361" s="260"/>
      <c r="O361" s="260"/>
      <c r="P361" s="260"/>
      <c r="Q361" s="260"/>
      <c r="R361" s="260"/>
      <c r="S361" s="260"/>
      <c r="T361" s="260"/>
      <c r="U361" s="260"/>
      <c r="V361" s="260"/>
      <c r="W361" s="260"/>
      <c r="X361" s="260"/>
      <c r="Y361" s="260"/>
      <c r="Z361" s="260"/>
      <c r="AA361" s="260"/>
      <c r="AB361" s="260"/>
      <c r="AC361" s="260"/>
      <c r="AD361" s="260"/>
      <c r="AE361" s="260"/>
      <c r="AF361" s="260"/>
      <c r="AG361" s="260"/>
      <c r="AH361" s="260"/>
      <c r="AI361" s="260"/>
    </row>
    <row r="362" spans="1:35" x14ac:dyDescent="0.3">
      <c r="A362" s="5"/>
      <c r="B362" s="5" t="s">
        <v>105</v>
      </c>
      <c r="C362" s="198" t="s">
        <v>11</v>
      </c>
      <c r="D362" s="205"/>
      <c r="E362" s="5">
        <f t="shared" ref="E362" si="229">D364</f>
        <v>0</v>
      </c>
      <c r="F362" s="5">
        <f t="shared" ref="F362:AI362" ca="1" si="230">E364</f>
        <v>0</v>
      </c>
      <c r="G362" s="5">
        <f t="shared" ca="1" si="230"/>
        <v>21.971837714014441</v>
      </c>
      <c r="H362" s="5">
        <f t="shared" ca="1" si="230"/>
        <v>66.913867783118505</v>
      </c>
      <c r="I362" s="5">
        <f t="shared" ca="1" si="230"/>
        <v>112.3005681559858</v>
      </c>
      <c r="J362" s="5">
        <f t="shared" ca="1" si="230"/>
        <v>158.14191333196987</v>
      </c>
      <c r="K362" s="5">
        <f t="shared" ca="1" si="230"/>
        <v>204.42830989965671</v>
      </c>
      <c r="L362" s="5">
        <f t="shared" ca="1" si="230"/>
        <v>251.14824853029012</v>
      </c>
      <c r="M362" s="5">
        <f t="shared" ca="1" si="230"/>
        <v>298.28822334011602</v>
      </c>
      <c r="N362" s="5">
        <f t="shared" ca="1" si="230"/>
        <v>345.83264685641035</v>
      </c>
      <c r="O362" s="5">
        <f t="shared" ca="1" si="230"/>
        <v>393.76376036168125</v>
      </c>
      <c r="P362" s="5">
        <f t="shared" ca="1" si="230"/>
        <v>442.06153937875285</v>
      </c>
      <c r="Q362" s="5">
        <f t="shared" ca="1" si="230"/>
        <v>490.70359404704186</v>
      </c>
      <c r="R362" s="5">
        <f t="shared" ca="1" si="230"/>
        <v>539.66506412729359</v>
      </c>
      <c r="S362" s="5">
        <f t="shared" ca="1" si="230"/>
        <v>588.91850835831872</v>
      </c>
      <c r="T362" s="5">
        <f t="shared" ca="1" si="230"/>
        <v>638.43378787483357</v>
      </c>
      <c r="U362" s="5">
        <f t="shared" ca="1" si="230"/>
        <v>688.17794338030899</v>
      </c>
      <c r="V362" s="5">
        <f t="shared" ca="1" si="230"/>
        <v>760.6945716561022</v>
      </c>
      <c r="W362" s="5">
        <f t="shared" ca="1" si="230"/>
        <v>860.1966750270301</v>
      </c>
      <c r="X362" s="5">
        <f t="shared" ca="1" si="230"/>
        <v>956.9283775957125</v>
      </c>
      <c r="Y362" s="5">
        <f t="shared" ca="1" si="230"/>
        <v>1050.8440735370325</v>
      </c>
      <c r="Z362" s="5">
        <f t="shared" ca="1" si="230"/>
        <v>1141.2540189773056</v>
      </c>
      <c r="AA362" s="5">
        <f t="shared" ca="1" si="230"/>
        <v>1220.219339456956</v>
      </c>
      <c r="AB362" s="5">
        <f t="shared" ca="1" si="230"/>
        <v>1296.3833763640969</v>
      </c>
      <c r="AC362" s="5">
        <f t="shared" ca="1" si="230"/>
        <v>1369.6888591347902</v>
      </c>
      <c r="AD362" s="5">
        <f t="shared" ca="1" si="230"/>
        <v>1440.0744996241808</v>
      </c>
      <c r="AE362" s="5">
        <f t="shared" ca="1" si="230"/>
        <v>1507.4747980261684</v>
      </c>
      <c r="AF362" s="5">
        <f t="shared" ca="1" si="230"/>
        <v>1547.9432883491102</v>
      </c>
      <c r="AG362" s="5">
        <f t="shared" ca="1" si="230"/>
        <v>1547.9432883491102</v>
      </c>
      <c r="AH362" s="5">
        <f t="shared" ca="1" si="230"/>
        <v>1547.9432883491102</v>
      </c>
      <c r="AI362" s="5">
        <f t="shared" ca="1" si="230"/>
        <v>1547.9432883491102</v>
      </c>
    </row>
    <row r="363" spans="1:35" x14ac:dyDescent="0.3">
      <c r="A363" s="5"/>
      <c r="B363" s="5" t="s">
        <v>104</v>
      </c>
      <c r="C363" s="198" t="s">
        <v>11</v>
      </c>
      <c r="D363" s="205"/>
      <c r="E363" s="5">
        <f t="shared" ref="E363:AI363" ca="1" si="231">E342+E345+E359</f>
        <v>0</v>
      </c>
      <c r="F363" s="5">
        <f t="shared" ca="1" si="231"/>
        <v>21.971837714014441</v>
      </c>
      <c r="G363" s="5">
        <f t="shared" ca="1" si="231"/>
        <v>44.942030069104064</v>
      </c>
      <c r="H363" s="5">
        <f t="shared" ca="1" si="231"/>
        <v>45.386700372867296</v>
      </c>
      <c r="I363" s="5">
        <f t="shared" ca="1" si="231"/>
        <v>45.84134517598406</v>
      </c>
      <c r="J363" s="5">
        <f t="shared" ca="1" si="231"/>
        <v>46.286396567686836</v>
      </c>
      <c r="K363" s="5">
        <f t="shared" ca="1" si="231"/>
        <v>46.719938630633422</v>
      </c>
      <c r="L363" s="5">
        <f t="shared" ca="1" si="231"/>
        <v>47.139974809825873</v>
      </c>
      <c r="M363" s="5">
        <f t="shared" ca="1" si="231"/>
        <v>47.54442351629433</v>
      </c>
      <c r="N363" s="5">
        <f t="shared" ca="1" si="231"/>
        <v>47.931113505270886</v>
      </c>
      <c r="O363" s="5">
        <f t="shared" ca="1" si="231"/>
        <v>48.297779017071576</v>
      </c>
      <c r="P363" s="5">
        <f t="shared" ca="1" si="231"/>
        <v>48.64205466828902</v>
      </c>
      <c r="Q363" s="5">
        <f t="shared" ca="1" si="231"/>
        <v>48.961470080251715</v>
      </c>
      <c r="R363" s="5">
        <f t="shared" ca="1" si="231"/>
        <v>49.253444231025156</v>
      </c>
      <c r="S363" s="5">
        <f t="shared" ca="1" si="231"/>
        <v>49.515279516514838</v>
      </c>
      <c r="T363" s="5">
        <f t="shared" ca="1" si="231"/>
        <v>49.744155505475391</v>
      </c>
      <c r="U363" s="5">
        <f t="shared" ca="1" si="231"/>
        <v>72.516628275793209</v>
      </c>
      <c r="V363" s="5">
        <f t="shared" ca="1" si="231"/>
        <v>99.502103370927884</v>
      </c>
      <c r="W363" s="5">
        <f t="shared" ca="1" si="231"/>
        <v>96.731702568682394</v>
      </c>
      <c r="X363" s="5">
        <f t="shared" ca="1" si="231"/>
        <v>93.915695941319939</v>
      </c>
      <c r="Y363" s="5">
        <f t="shared" ca="1" si="231"/>
        <v>90.409945440273034</v>
      </c>
      <c r="Z363" s="5">
        <f t="shared" ca="1" si="231"/>
        <v>78.96532047965043</v>
      </c>
      <c r="AA363" s="5">
        <f t="shared" ca="1" si="231"/>
        <v>76.164036907140897</v>
      </c>
      <c r="AB363" s="5">
        <f t="shared" ca="1" si="231"/>
        <v>73.305482770693331</v>
      </c>
      <c r="AC363" s="5">
        <f t="shared" ca="1" si="231"/>
        <v>70.385640489390639</v>
      </c>
      <c r="AD363" s="5">
        <f t="shared" ca="1" si="231"/>
        <v>67.400298401987683</v>
      </c>
      <c r="AE363" s="5">
        <f t="shared" ca="1" si="231"/>
        <v>40.468490322941797</v>
      </c>
      <c r="AF363" s="5">
        <f t="shared" ca="1" si="231"/>
        <v>0</v>
      </c>
      <c r="AG363" s="5">
        <f t="shared" ca="1" si="231"/>
        <v>0</v>
      </c>
      <c r="AH363" s="5">
        <f t="shared" ca="1" si="231"/>
        <v>0</v>
      </c>
      <c r="AI363" s="5">
        <f t="shared" ca="1" si="231"/>
        <v>0</v>
      </c>
    </row>
    <row r="364" spans="1:35" x14ac:dyDescent="0.3">
      <c r="A364" s="5"/>
      <c r="B364" s="5" t="s">
        <v>103</v>
      </c>
      <c r="C364" s="198" t="s">
        <v>11</v>
      </c>
      <c r="D364" s="205"/>
      <c r="E364" s="5">
        <f t="shared" ref="E364:AI364" ca="1" si="232">E362+E363</f>
        <v>0</v>
      </c>
      <c r="F364" s="5">
        <f t="shared" ca="1" si="232"/>
        <v>21.971837714014441</v>
      </c>
      <c r="G364" s="5">
        <f t="shared" ca="1" si="232"/>
        <v>66.913867783118505</v>
      </c>
      <c r="H364" s="5">
        <f t="shared" ca="1" si="232"/>
        <v>112.3005681559858</v>
      </c>
      <c r="I364" s="5">
        <f t="shared" ca="1" si="232"/>
        <v>158.14191333196987</v>
      </c>
      <c r="J364" s="5">
        <f t="shared" ca="1" si="232"/>
        <v>204.42830989965671</v>
      </c>
      <c r="K364" s="5">
        <f t="shared" ca="1" si="232"/>
        <v>251.14824853029012</v>
      </c>
      <c r="L364" s="5">
        <f t="shared" ca="1" si="232"/>
        <v>298.28822334011602</v>
      </c>
      <c r="M364" s="5">
        <f t="shared" ca="1" si="232"/>
        <v>345.83264685641035</v>
      </c>
      <c r="N364" s="5">
        <f t="shared" ca="1" si="232"/>
        <v>393.76376036168125</v>
      </c>
      <c r="O364" s="5">
        <f t="shared" ca="1" si="232"/>
        <v>442.06153937875285</v>
      </c>
      <c r="P364" s="5">
        <f t="shared" ca="1" si="232"/>
        <v>490.70359404704186</v>
      </c>
      <c r="Q364" s="5">
        <f t="shared" ca="1" si="232"/>
        <v>539.66506412729359</v>
      </c>
      <c r="R364" s="5">
        <f t="shared" ca="1" si="232"/>
        <v>588.91850835831872</v>
      </c>
      <c r="S364" s="5">
        <f t="shared" ca="1" si="232"/>
        <v>638.43378787483357</v>
      </c>
      <c r="T364" s="5">
        <f t="shared" ca="1" si="232"/>
        <v>688.17794338030899</v>
      </c>
      <c r="U364" s="5">
        <f t="shared" ca="1" si="232"/>
        <v>760.6945716561022</v>
      </c>
      <c r="V364" s="5">
        <f t="shared" ca="1" si="232"/>
        <v>860.1966750270301</v>
      </c>
      <c r="W364" s="5">
        <f t="shared" ca="1" si="232"/>
        <v>956.9283775957125</v>
      </c>
      <c r="X364" s="5">
        <f t="shared" ca="1" si="232"/>
        <v>1050.8440735370325</v>
      </c>
      <c r="Y364" s="5">
        <f t="shared" ca="1" si="232"/>
        <v>1141.2540189773056</v>
      </c>
      <c r="Z364" s="5">
        <f t="shared" ca="1" si="232"/>
        <v>1220.219339456956</v>
      </c>
      <c r="AA364" s="5">
        <f t="shared" ca="1" si="232"/>
        <v>1296.3833763640969</v>
      </c>
      <c r="AB364" s="5">
        <f t="shared" ca="1" si="232"/>
        <v>1369.6888591347902</v>
      </c>
      <c r="AC364" s="5">
        <f t="shared" ca="1" si="232"/>
        <v>1440.0744996241808</v>
      </c>
      <c r="AD364" s="5">
        <f t="shared" ca="1" si="232"/>
        <v>1507.4747980261684</v>
      </c>
      <c r="AE364" s="5">
        <f t="shared" ca="1" si="232"/>
        <v>1547.9432883491102</v>
      </c>
      <c r="AF364" s="5">
        <f t="shared" ca="1" si="232"/>
        <v>1547.9432883491102</v>
      </c>
      <c r="AG364" s="5">
        <f t="shared" ca="1" si="232"/>
        <v>1547.9432883491102</v>
      </c>
      <c r="AH364" s="5">
        <f t="shared" ca="1" si="232"/>
        <v>1547.9432883491102</v>
      </c>
      <c r="AI364" s="5">
        <f t="shared" ca="1" si="232"/>
        <v>1547.9432883491102</v>
      </c>
    </row>
    <row r="365" spans="1:35" x14ac:dyDescent="0.3">
      <c r="A365" s="5"/>
      <c r="B365" s="5"/>
      <c r="C365" s="198"/>
      <c r="D365" s="20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row>
    <row r="366" spans="1:35" x14ac:dyDescent="0.3">
      <c r="A366" s="248" t="s">
        <v>102</v>
      </c>
      <c r="B366" s="249"/>
      <c r="C366" s="250"/>
      <c r="D366" s="251"/>
      <c r="E366" s="252"/>
      <c r="F366" s="252"/>
      <c r="G366" s="252"/>
      <c r="H366" s="252"/>
      <c r="I366" s="252"/>
      <c r="J366" s="252"/>
      <c r="K366" s="252"/>
      <c r="L366" s="252"/>
      <c r="M366" s="252"/>
      <c r="N366" s="252"/>
      <c r="O366" s="252"/>
      <c r="P366" s="252"/>
      <c r="Q366" s="252"/>
      <c r="R366" s="252"/>
      <c r="S366" s="252"/>
      <c r="T366" s="252"/>
      <c r="U366" s="251"/>
      <c r="V366" s="251"/>
      <c r="W366" s="251"/>
      <c r="X366" s="251"/>
      <c r="Y366" s="251"/>
      <c r="Z366" s="251"/>
      <c r="AA366" s="251"/>
      <c r="AB366" s="251"/>
      <c r="AC366" s="251"/>
      <c r="AD366" s="251"/>
      <c r="AE366" s="251"/>
      <c r="AF366" s="251"/>
      <c r="AG366" s="251"/>
      <c r="AH366" s="251"/>
      <c r="AI366" s="251"/>
    </row>
    <row r="367" spans="1:35" x14ac:dyDescent="0.3">
      <c r="A367" s="259" t="s">
        <v>101</v>
      </c>
      <c r="B367" s="260"/>
      <c r="C367" s="261"/>
      <c r="D367" s="262"/>
      <c r="E367" s="260"/>
      <c r="F367" s="260"/>
      <c r="G367" s="260"/>
      <c r="H367" s="260"/>
      <c r="I367" s="260"/>
      <c r="J367" s="260"/>
      <c r="K367" s="260"/>
      <c r="L367" s="260"/>
      <c r="M367" s="260"/>
      <c r="N367" s="260"/>
      <c r="O367" s="260"/>
      <c r="P367" s="260"/>
      <c r="Q367" s="260"/>
      <c r="R367" s="260"/>
      <c r="S367" s="260"/>
      <c r="T367" s="260"/>
      <c r="U367" s="260"/>
      <c r="V367" s="260"/>
      <c r="W367" s="260"/>
      <c r="X367" s="260"/>
      <c r="Y367" s="260"/>
      <c r="Z367" s="260"/>
      <c r="AA367" s="260"/>
      <c r="AB367" s="260"/>
      <c r="AC367" s="260"/>
      <c r="AD367" s="260"/>
      <c r="AE367" s="260"/>
      <c r="AF367" s="260"/>
      <c r="AG367" s="260"/>
      <c r="AH367" s="260"/>
      <c r="AI367" s="260"/>
    </row>
    <row r="368" spans="1:35" x14ac:dyDescent="0.3">
      <c r="A368" s="5"/>
      <c r="B368" s="5" t="s">
        <v>100</v>
      </c>
      <c r="C368" s="198" t="s">
        <v>11</v>
      </c>
      <c r="D368" s="205"/>
      <c r="E368" s="5">
        <f t="shared" ref="E368" si="233">E106</f>
        <v>0</v>
      </c>
      <c r="F368" s="5">
        <f t="shared" ref="F368:AI368" ca="1" si="234">F106</f>
        <v>1242.5620324251017</v>
      </c>
      <c r="G368" s="5">
        <f t="shared" ca="1" si="234"/>
        <v>1242.5620324251017</v>
      </c>
      <c r="H368" s="5">
        <f t="shared" ca="1" si="234"/>
        <v>1242.5620324251017</v>
      </c>
      <c r="I368" s="5">
        <f t="shared" ca="1" si="234"/>
        <v>1242.5620324251017</v>
      </c>
      <c r="J368" s="5">
        <f t="shared" ca="1" si="234"/>
        <v>1242.5620324251017</v>
      </c>
      <c r="K368" s="5">
        <f t="shared" ca="1" si="234"/>
        <v>1242.5620324251017</v>
      </c>
      <c r="L368" s="5">
        <f t="shared" ca="1" si="234"/>
        <v>1242.5620324251017</v>
      </c>
      <c r="M368" s="5">
        <f t="shared" ca="1" si="234"/>
        <v>1242.5620324251017</v>
      </c>
      <c r="N368" s="5">
        <f t="shared" ca="1" si="234"/>
        <v>1242.5620324251017</v>
      </c>
      <c r="O368" s="5">
        <f t="shared" ca="1" si="234"/>
        <v>1242.5620324251017</v>
      </c>
      <c r="P368" s="5">
        <f t="shared" ca="1" si="234"/>
        <v>1242.5620324251017</v>
      </c>
      <c r="Q368" s="5">
        <f t="shared" ca="1" si="234"/>
        <v>1242.5620324251017</v>
      </c>
      <c r="R368" s="5">
        <f t="shared" ca="1" si="234"/>
        <v>1242.5620324251017</v>
      </c>
      <c r="S368" s="5">
        <f t="shared" ca="1" si="234"/>
        <v>1242.5620324251017</v>
      </c>
      <c r="T368" s="5">
        <f t="shared" ca="1" si="234"/>
        <v>1242.5620324251017</v>
      </c>
      <c r="U368" s="5">
        <f t="shared" ca="1" si="234"/>
        <v>1242.5620324251017</v>
      </c>
      <c r="V368" s="5">
        <f t="shared" ca="1" si="234"/>
        <v>1242.5620324251017</v>
      </c>
      <c r="W368" s="5">
        <f t="shared" ca="1" si="234"/>
        <v>1242.5620324251017</v>
      </c>
      <c r="X368" s="5">
        <f t="shared" ca="1" si="234"/>
        <v>1242.5620324251017</v>
      </c>
      <c r="Y368" s="5">
        <f t="shared" ca="1" si="234"/>
        <v>1242.5620324251017</v>
      </c>
      <c r="Z368" s="5">
        <f t="shared" ca="1" si="234"/>
        <v>1242.5620324251017</v>
      </c>
      <c r="AA368" s="5">
        <f t="shared" ca="1" si="234"/>
        <v>1242.5620324251017</v>
      </c>
      <c r="AB368" s="5">
        <f t="shared" ca="1" si="234"/>
        <v>1242.5620324251017</v>
      </c>
      <c r="AC368" s="5">
        <f t="shared" ca="1" si="234"/>
        <v>1242.5620324251017</v>
      </c>
      <c r="AD368" s="5">
        <f t="shared" ca="1" si="234"/>
        <v>1242.5620324251017</v>
      </c>
      <c r="AE368" s="5">
        <f t="shared" ca="1" si="234"/>
        <v>1242.5620324251017</v>
      </c>
      <c r="AF368" s="5">
        <f t="shared" ca="1" si="234"/>
        <v>1242.5620324251017</v>
      </c>
      <c r="AG368" s="5">
        <f t="shared" ca="1" si="234"/>
        <v>1242.5620324251017</v>
      </c>
      <c r="AH368" s="5">
        <f t="shared" ca="1" si="234"/>
        <v>1242.5620324251017</v>
      </c>
      <c r="AI368" s="5">
        <f t="shared" ca="1" si="234"/>
        <v>1242.5620324251017</v>
      </c>
    </row>
    <row r="369" spans="1:35" x14ac:dyDescent="0.3">
      <c r="A369" s="5"/>
      <c r="B369" s="5" t="s">
        <v>99</v>
      </c>
      <c r="C369" s="198" t="s">
        <v>11</v>
      </c>
      <c r="D369" s="205"/>
      <c r="E369" s="5">
        <f t="shared" ref="E369" si="235">E117</f>
        <v>0</v>
      </c>
      <c r="F369" s="5">
        <f t="shared" ref="F369:AI369" ca="1" si="236">F117</f>
        <v>28.934333529846327</v>
      </c>
      <c r="G369" s="5">
        <f t="shared" ca="1" si="236"/>
        <v>86.961980444098572</v>
      </c>
      <c r="H369" s="5">
        <f t="shared" ca="1" si="236"/>
        <v>144.98962735835082</v>
      </c>
      <c r="I369" s="5">
        <f t="shared" ca="1" si="236"/>
        <v>203.01727427260306</v>
      </c>
      <c r="J369" s="5">
        <f t="shared" ca="1" si="236"/>
        <v>261.04492118685533</v>
      </c>
      <c r="K369" s="5">
        <f t="shared" ca="1" si="236"/>
        <v>319.07256810110761</v>
      </c>
      <c r="L369" s="5">
        <f t="shared" ca="1" si="236"/>
        <v>377.10021501535988</v>
      </c>
      <c r="M369" s="5">
        <f t="shared" ca="1" si="236"/>
        <v>435.12786192961215</v>
      </c>
      <c r="N369" s="5">
        <f t="shared" ca="1" si="236"/>
        <v>493.15550884386442</v>
      </c>
      <c r="O369" s="5">
        <f t="shared" ca="1" si="236"/>
        <v>551.18315575811664</v>
      </c>
      <c r="P369" s="5">
        <f t="shared" ca="1" si="236"/>
        <v>609.21080267236891</v>
      </c>
      <c r="Q369" s="5">
        <f t="shared" ca="1" si="236"/>
        <v>667.23844958662119</v>
      </c>
      <c r="R369" s="5">
        <f t="shared" ca="1" si="236"/>
        <v>725.26609650087346</v>
      </c>
      <c r="S369" s="5">
        <f t="shared" ca="1" si="236"/>
        <v>783.29374341512573</v>
      </c>
      <c r="T369" s="5">
        <f t="shared" ca="1" si="236"/>
        <v>841.321390329378</v>
      </c>
      <c r="U369" s="5">
        <f t="shared" ca="1" si="236"/>
        <v>866.17263097788009</v>
      </c>
      <c r="V369" s="5">
        <f t="shared" ca="1" si="236"/>
        <v>891.02387162638217</v>
      </c>
      <c r="W369" s="5">
        <f t="shared" ca="1" si="236"/>
        <v>915.87511227488426</v>
      </c>
      <c r="X369" s="5">
        <f t="shared" ca="1" si="236"/>
        <v>940.72635292338634</v>
      </c>
      <c r="Y369" s="5">
        <f t="shared" ca="1" si="236"/>
        <v>965.57759357188843</v>
      </c>
      <c r="Z369" s="5">
        <f t="shared" ca="1" si="236"/>
        <v>990.42883422039051</v>
      </c>
      <c r="AA369" s="5">
        <f t="shared" ca="1" si="236"/>
        <v>1015.2800748688926</v>
      </c>
      <c r="AB369" s="5">
        <f t="shared" ca="1" si="236"/>
        <v>1040.1313155173946</v>
      </c>
      <c r="AC369" s="5">
        <f t="shared" ca="1" si="236"/>
        <v>1064.9825561658965</v>
      </c>
      <c r="AD369" s="5">
        <f t="shared" ca="1" si="236"/>
        <v>1089.8337968143985</v>
      </c>
      <c r="AE369" s="5">
        <f t="shared" ca="1" si="236"/>
        <v>1102.2594171386495</v>
      </c>
      <c r="AF369" s="5">
        <f t="shared" ca="1" si="236"/>
        <v>1102.2594171386495</v>
      </c>
      <c r="AG369" s="5">
        <f t="shared" ca="1" si="236"/>
        <v>1102.2594171386495</v>
      </c>
      <c r="AH369" s="5">
        <f t="shared" ca="1" si="236"/>
        <v>1102.2594171386495</v>
      </c>
      <c r="AI369" s="5">
        <f t="shared" ca="1" si="236"/>
        <v>1102.2594171386495</v>
      </c>
    </row>
    <row r="370" spans="1:35" x14ac:dyDescent="0.3">
      <c r="A370" s="5"/>
      <c r="B370" s="217" t="s">
        <v>98</v>
      </c>
      <c r="C370" s="198" t="s">
        <v>11</v>
      </c>
      <c r="D370" s="205"/>
      <c r="E370" s="5">
        <f t="shared" ref="E370" si="237">E368-E369</f>
        <v>0</v>
      </c>
      <c r="F370" s="5">
        <f t="shared" ref="F370:AI370" ca="1" si="238">F368-F369</f>
        <v>1213.6276988952554</v>
      </c>
      <c r="G370" s="5">
        <f t="shared" ca="1" si="238"/>
        <v>1155.6000519810032</v>
      </c>
      <c r="H370" s="5">
        <f t="shared" ca="1" si="238"/>
        <v>1097.5724050667509</v>
      </c>
      <c r="I370" s="5">
        <f t="shared" ca="1" si="238"/>
        <v>1039.5447581524986</v>
      </c>
      <c r="J370" s="5">
        <f t="shared" ca="1" si="238"/>
        <v>981.51711123824634</v>
      </c>
      <c r="K370" s="5">
        <f t="shared" ca="1" si="238"/>
        <v>923.48946432399407</v>
      </c>
      <c r="L370" s="5">
        <f t="shared" ca="1" si="238"/>
        <v>865.4618174097418</v>
      </c>
      <c r="M370" s="5">
        <f t="shared" ca="1" si="238"/>
        <v>807.43417049548952</v>
      </c>
      <c r="N370" s="5">
        <f t="shared" ca="1" si="238"/>
        <v>749.40652358123725</v>
      </c>
      <c r="O370" s="5">
        <f t="shared" ca="1" si="238"/>
        <v>691.37887666698509</v>
      </c>
      <c r="P370" s="5">
        <f t="shared" ca="1" si="238"/>
        <v>633.35122975273282</v>
      </c>
      <c r="Q370" s="5">
        <f t="shared" ca="1" si="238"/>
        <v>575.32358283848055</v>
      </c>
      <c r="R370" s="5">
        <f t="shared" ca="1" si="238"/>
        <v>517.29593592422827</v>
      </c>
      <c r="S370" s="5">
        <f t="shared" ca="1" si="238"/>
        <v>459.268289009976</v>
      </c>
      <c r="T370" s="5">
        <f t="shared" ca="1" si="238"/>
        <v>401.24064209572373</v>
      </c>
      <c r="U370" s="5">
        <f t="shared" ca="1" si="238"/>
        <v>376.38940144722164</v>
      </c>
      <c r="V370" s="5">
        <f t="shared" ca="1" si="238"/>
        <v>351.53816079871956</v>
      </c>
      <c r="W370" s="5">
        <f t="shared" ca="1" si="238"/>
        <v>326.68692015021747</v>
      </c>
      <c r="X370" s="5">
        <f t="shared" ca="1" si="238"/>
        <v>301.83567950171539</v>
      </c>
      <c r="Y370" s="5">
        <f t="shared" ca="1" si="238"/>
        <v>276.98443885321331</v>
      </c>
      <c r="Z370" s="5">
        <f t="shared" ca="1" si="238"/>
        <v>252.13319820471122</v>
      </c>
      <c r="AA370" s="5">
        <f t="shared" ca="1" si="238"/>
        <v>227.28195755620914</v>
      </c>
      <c r="AB370" s="5">
        <f t="shared" ca="1" si="238"/>
        <v>202.43071690770716</v>
      </c>
      <c r="AC370" s="5">
        <f t="shared" ca="1" si="238"/>
        <v>177.57947625920519</v>
      </c>
      <c r="AD370" s="5">
        <f t="shared" ca="1" si="238"/>
        <v>152.72823561070322</v>
      </c>
      <c r="AE370" s="5">
        <f t="shared" ca="1" si="238"/>
        <v>140.30261528645224</v>
      </c>
      <c r="AF370" s="5">
        <f t="shared" ca="1" si="238"/>
        <v>140.30261528645224</v>
      </c>
      <c r="AG370" s="5">
        <f t="shared" ca="1" si="238"/>
        <v>140.30261528645224</v>
      </c>
      <c r="AH370" s="5">
        <f t="shared" ca="1" si="238"/>
        <v>140.30261528645224</v>
      </c>
      <c r="AI370" s="5">
        <f t="shared" ca="1" si="238"/>
        <v>140.30261528645224</v>
      </c>
    </row>
    <row r="371" spans="1:35" x14ac:dyDescent="0.3">
      <c r="A371" s="5"/>
      <c r="B371" s="217" t="s">
        <v>97</v>
      </c>
      <c r="C371" s="198" t="s">
        <v>11</v>
      </c>
      <c r="D371" s="205"/>
      <c r="E371" s="5">
        <f t="shared" ref="E371:AI371" ca="1" si="239">E98</f>
        <v>582.04857646593382</v>
      </c>
      <c r="F371" s="5">
        <f t="shared" ca="1" si="239"/>
        <v>0</v>
      </c>
      <c r="G371" s="5">
        <f t="shared" ca="1" si="239"/>
        <v>0</v>
      </c>
      <c r="H371" s="5">
        <f t="shared" ca="1" si="239"/>
        <v>0</v>
      </c>
      <c r="I371" s="5">
        <f t="shared" ca="1" si="239"/>
        <v>0</v>
      </c>
      <c r="J371" s="5">
        <f t="shared" ca="1" si="239"/>
        <v>0</v>
      </c>
      <c r="K371" s="5">
        <f t="shared" ca="1" si="239"/>
        <v>0</v>
      </c>
      <c r="L371" s="5">
        <f t="shared" ca="1" si="239"/>
        <v>0</v>
      </c>
      <c r="M371" s="5">
        <f t="shared" ca="1" si="239"/>
        <v>0</v>
      </c>
      <c r="N371" s="5">
        <f t="shared" ca="1" si="239"/>
        <v>0</v>
      </c>
      <c r="O371" s="5">
        <f t="shared" ca="1" si="239"/>
        <v>0</v>
      </c>
      <c r="P371" s="5">
        <f t="shared" ca="1" si="239"/>
        <v>0</v>
      </c>
      <c r="Q371" s="5">
        <f t="shared" ca="1" si="239"/>
        <v>0</v>
      </c>
      <c r="R371" s="5">
        <f t="shared" ca="1" si="239"/>
        <v>0</v>
      </c>
      <c r="S371" s="5">
        <f t="shared" ca="1" si="239"/>
        <v>0</v>
      </c>
      <c r="T371" s="5">
        <f t="shared" ca="1" si="239"/>
        <v>0</v>
      </c>
      <c r="U371" s="5">
        <f t="shared" ca="1" si="239"/>
        <v>0</v>
      </c>
      <c r="V371" s="5">
        <f t="shared" ca="1" si="239"/>
        <v>0</v>
      </c>
      <c r="W371" s="5">
        <f t="shared" ca="1" si="239"/>
        <v>0</v>
      </c>
      <c r="X371" s="5">
        <f t="shared" ca="1" si="239"/>
        <v>0</v>
      </c>
      <c r="Y371" s="5">
        <f t="shared" ca="1" si="239"/>
        <v>0</v>
      </c>
      <c r="Z371" s="5">
        <f t="shared" ca="1" si="239"/>
        <v>0</v>
      </c>
      <c r="AA371" s="5">
        <f t="shared" ca="1" si="239"/>
        <v>0</v>
      </c>
      <c r="AB371" s="5">
        <f t="shared" ca="1" si="239"/>
        <v>0</v>
      </c>
      <c r="AC371" s="5">
        <f t="shared" ca="1" si="239"/>
        <v>0</v>
      </c>
      <c r="AD371" s="5">
        <f t="shared" ca="1" si="239"/>
        <v>0</v>
      </c>
      <c r="AE371" s="5">
        <f t="shared" ca="1" si="239"/>
        <v>0</v>
      </c>
      <c r="AF371" s="5">
        <f t="shared" ca="1" si="239"/>
        <v>0</v>
      </c>
      <c r="AG371" s="5">
        <f t="shared" ca="1" si="239"/>
        <v>0</v>
      </c>
      <c r="AH371" s="5">
        <f t="shared" ca="1" si="239"/>
        <v>0</v>
      </c>
      <c r="AI371" s="5">
        <f t="shared" ca="1" si="239"/>
        <v>0</v>
      </c>
    </row>
    <row r="372" spans="1:35" x14ac:dyDescent="0.3">
      <c r="A372" s="5"/>
      <c r="B372" s="217"/>
      <c r="C372" s="198"/>
      <c r="D372" s="20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row>
    <row r="373" spans="1:35" x14ac:dyDescent="0.3">
      <c r="A373" s="5"/>
      <c r="B373" s="5" t="s">
        <v>96</v>
      </c>
      <c r="C373" s="198" t="s">
        <v>11</v>
      </c>
      <c r="D373" s="205"/>
      <c r="E373" s="5">
        <f t="shared" ref="E373:AI373" si="240">D373-E341</f>
        <v>0</v>
      </c>
      <c r="F373" s="5">
        <f t="shared" ca="1" si="240"/>
        <v>25.678932309182528</v>
      </c>
      <c r="G373" s="5">
        <f t="shared" ca="1" si="240"/>
        <v>25.485319373725517</v>
      </c>
      <c r="H373" s="5">
        <f t="shared" ca="1" si="240"/>
        <v>25.374104580836637</v>
      </c>
      <c r="I373" s="5">
        <f t="shared" ca="1" si="240"/>
        <v>25.274737418524818</v>
      </c>
      <c r="J373" s="5">
        <f t="shared" ca="1" si="240"/>
        <v>25.187602652156112</v>
      </c>
      <c r="K373" s="5">
        <f t="shared" ca="1" si="240"/>
        <v>25.11310760366964</v>
      </c>
      <c r="L373" s="5">
        <f t="shared" ca="1" si="240"/>
        <v>25.051683283381664</v>
      </c>
      <c r="M373" s="5">
        <f t="shared" ca="1" si="240"/>
        <v>25.003785580998894</v>
      </c>
      <c r="N373" s="5">
        <f t="shared" ca="1" si="240"/>
        <v>24.969896518919562</v>
      </c>
      <c r="O373" s="5">
        <f t="shared" ca="1" si="240"/>
        <v>24.950525571061515</v>
      </c>
      <c r="P373" s="5">
        <f t="shared" ca="1" si="240"/>
        <v>24.946211050625731</v>
      </c>
      <c r="Q373" s="5">
        <f t="shared" ca="1" si="240"/>
        <v>24.957521570381704</v>
      </c>
      <c r="R373" s="5">
        <f t="shared" ca="1" si="240"/>
        <v>24.985057579248398</v>
      </c>
      <c r="S373" s="5">
        <f t="shared" ca="1" si="240"/>
        <v>25.029452979141752</v>
      </c>
      <c r="T373" s="5">
        <f t="shared" ca="1" si="240"/>
        <v>25.091376826266856</v>
      </c>
      <c r="U373" s="5">
        <f t="shared" ca="1" si="240"/>
        <v>25.171535121251619</v>
      </c>
      <c r="V373" s="5">
        <f t="shared" ca="1" si="240"/>
        <v>25.270672692747812</v>
      </c>
      <c r="W373" s="5">
        <f t="shared" ca="1" si="240"/>
        <v>25.389575179367842</v>
      </c>
      <c r="X373" s="5">
        <f t="shared" ca="1" si="240"/>
        <v>25.529071115079187</v>
      </c>
      <c r="Y373" s="5">
        <f t="shared" ca="1" si="240"/>
        <v>25.690034123446686</v>
      </c>
      <c r="Z373" s="5">
        <f t="shared" ca="1" si="240"/>
        <v>25.87338522639406</v>
      </c>
      <c r="AA373" s="5">
        <f t="shared" ca="1" si="240"/>
        <v>26.080095273452727</v>
      </c>
      <c r="AB373" s="5">
        <f t="shared" ca="1" si="240"/>
        <v>26.311187497777702</v>
      </c>
      <c r="AC373" s="5">
        <f t="shared" ca="1" si="240"/>
        <v>26.567740205538644</v>
      </c>
      <c r="AD373" s="5">
        <f t="shared" ca="1" si="240"/>
        <v>26.850889605639324</v>
      </c>
      <c r="AE373" s="5">
        <f t="shared" ca="1" si="240"/>
        <v>30.056980612281723</v>
      </c>
      <c r="AF373" s="5">
        <f t="shared" ca="1" si="240"/>
        <v>30.056980612281723</v>
      </c>
      <c r="AG373" s="5">
        <f t="shared" ca="1" si="240"/>
        <v>30.056980612281723</v>
      </c>
      <c r="AH373" s="5">
        <f t="shared" ca="1" si="240"/>
        <v>30.056980612281723</v>
      </c>
      <c r="AI373" s="5">
        <f t="shared" ca="1" si="240"/>
        <v>30.056980612281723</v>
      </c>
    </row>
    <row r="374" spans="1:35" x14ac:dyDescent="0.3">
      <c r="A374" s="5"/>
      <c r="B374" s="5" t="s">
        <v>223</v>
      </c>
      <c r="C374" s="198" t="s">
        <v>11</v>
      </c>
      <c r="D374" s="205"/>
      <c r="E374" s="5">
        <f t="shared" ref="E374:AI374" ca="1" si="241">E196</f>
        <v>0</v>
      </c>
      <c r="F374" s="5">
        <f t="shared" ca="1" si="241"/>
        <v>0</v>
      </c>
      <c r="G374" s="5">
        <f t="shared" ca="1" si="241"/>
        <v>0</v>
      </c>
      <c r="H374" s="5">
        <f t="shared" ca="1" si="241"/>
        <v>0</v>
      </c>
      <c r="I374" s="5">
        <f t="shared" ca="1" si="241"/>
        <v>0</v>
      </c>
      <c r="J374" s="5">
        <f t="shared" ca="1" si="241"/>
        <v>0</v>
      </c>
      <c r="K374" s="5">
        <f t="shared" ca="1" si="241"/>
        <v>0</v>
      </c>
      <c r="L374" s="5">
        <f t="shared" ca="1" si="241"/>
        <v>0</v>
      </c>
      <c r="M374" s="5">
        <f t="shared" ca="1" si="241"/>
        <v>0</v>
      </c>
      <c r="N374" s="5">
        <f t="shared" ca="1" si="241"/>
        <v>0</v>
      </c>
      <c r="O374" s="5">
        <f t="shared" ca="1" si="241"/>
        <v>0</v>
      </c>
      <c r="P374" s="5">
        <f t="shared" ca="1" si="241"/>
        <v>0</v>
      </c>
      <c r="Q374" s="5">
        <f t="shared" ca="1" si="241"/>
        <v>0</v>
      </c>
      <c r="R374" s="5">
        <f t="shared" ca="1" si="241"/>
        <v>0</v>
      </c>
      <c r="S374" s="5">
        <f t="shared" ca="1" si="241"/>
        <v>0</v>
      </c>
      <c r="T374" s="5">
        <f t="shared" ca="1" si="241"/>
        <v>0</v>
      </c>
      <c r="U374" s="5">
        <f t="shared" ca="1" si="241"/>
        <v>0</v>
      </c>
      <c r="V374" s="5">
        <f t="shared" ca="1" si="241"/>
        <v>0</v>
      </c>
      <c r="W374" s="5">
        <f t="shared" ca="1" si="241"/>
        <v>0</v>
      </c>
      <c r="X374" s="5">
        <f t="shared" ca="1" si="241"/>
        <v>0</v>
      </c>
      <c r="Y374" s="5">
        <f t="shared" ca="1" si="241"/>
        <v>0</v>
      </c>
      <c r="Z374" s="5">
        <f t="shared" ca="1" si="241"/>
        <v>0</v>
      </c>
      <c r="AA374" s="5">
        <f t="shared" ca="1" si="241"/>
        <v>0</v>
      </c>
      <c r="AB374" s="5">
        <f t="shared" ca="1" si="241"/>
        <v>0</v>
      </c>
      <c r="AC374" s="5">
        <f t="shared" ca="1" si="241"/>
        <v>0</v>
      </c>
      <c r="AD374" s="5">
        <f t="shared" ca="1" si="241"/>
        <v>0</v>
      </c>
      <c r="AE374" s="5">
        <f t="shared" ca="1" si="241"/>
        <v>0</v>
      </c>
      <c r="AF374" s="5">
        <f t="shared" ca="1" si="241"/>
        <v>0</v>
      </c>
      <c r="AG374" s="5">
        <f t="shared" ca="1" si="241"/>
        <v>0</v>
      </c>
      <c r="AH374" s="5">
        <f t="shared" ca="1" si="241"/>
        <v>0</v>
      </c>
      <c r="AI374" s="5">
        <f t="shared" ca="1" si="241"/>
        <v>0</v>
      </c>
    </row>
    <row r="375" spans="1:35" x14ac:dyDescent="0.3">
      <c r="A375" s="5"/>
      <c r="B375" s="5" t="s">
        <v>95</v>
      </c>
      <c r="C375" s="198" t="s">
        <v>11</v>
      </c>
      <c r="D375" s="205"/>
      <c r="E375" s="5">
        <f t="shared" ref="E375:AI375" ca="1" si="242">E364</f>
        <v>0</v>
      </c>
      <c r="F375" s="5">
        <f t="shared" ca="1" si="242"/>
        <v>21.971837714014441</v>
      </c>
      <c r="G375" s="5">
        <f t="shared" ca="1" si="242"/>
        <v>66.913867783118505</v>
      </c>
      <c r="H375" s="5">
        <f t="shared" ca="1" si="242"/>
        <v>112.3005681559858</v>
      </c>
      <c r="I375" s="5">
        <f t="shared" ca="1" si="242"/>
        <v>158.14191333196987</v>
      </c>
      <c r="J375" s="5">
        <f t="shared" ca="1" si="242"/>
        <v>204.42830989965671</v>
      </c>
      <c r="K375" s="5">
        <f t="shared" ca="1" si="242"/>
        <v>251.14824853029012</v>
      </c>
      <c r="L375" s="5">
        <f t="shared" ca="1" si="242"/>
        <v>298.28822334011602</v>
      </c>
      <c r="M375" s="5">
        <f t="shared" ca="1" si="242"/>
        <v>345.83264685641035</v>
      </c>
      <c r="N375" s="5">
        <f t="shared" ca="1" si="242"/>
        <v>393.76376036168125</v>
      </c>
      <c r="O375" s="5">
        <f t="shared" ca="1" si="242"/>
        <v>442.06153937875285</v>
      </c>
      <c r="P375" s="5">
        <f t="shared" ca="1" si="242"/>
        <v>490.70359404704186</v>
      </c>
      <c r="Q375" s="5">
        <f t="shared" ca="1" si="242"/>
        <v>539.66506412729359</v>
      </c>
      <c r="R375" s="5">
        <f t="shared" ca="1" si="242"/>
        <v>588.91850835831872</v>
      </c>
      <c r="S375" s="5">
        <f t="shared" ca="1" si="242"/>
        <v>638.43378787483357</v>
      </c>
      <c r="T375" s="5">
        <f t="shared" ca="1" si="242"/>
        <v>688.17794338030899</v>
      </c>
      <c r="U375" s="5">
        <f t="shared" ca="1" si="242"/>
        <v>760.6945716561022</v>
      </c>
      <c r="V375" s="5">
        <f t="shared" ca="1" si="242"/>
        <v>860.1966750270301</v>
      </c>
      <c r="W375" s="5">
        <f t="shared" ca="1" si="242"/>
        <v>956.9283775957125</v>
      </c>
      <c r="X375" s="5">
        <f t="shared" ca="1" si="242"/>
        <v>1050.8440735370325</v>
      </c>
      <c r="Y375" s="5">
        <f t="shared" ca="1" si="242"/>
        <v>1141.2540189773056</v>
      </c>
      <c r="Z375" s="5">
        <f t="shared" ca="1" si="242"/>
        <v>1220.219339456956</v>
      </c>
      <c r="AA375" s="5">
        <f t="shared" ca="1" si="242"/>
        <v>1296.3833763640969</v>
      </c>
      <c r="AB375" s="5">
        <f t="shared" ca="1" si="242"/>
        <v>1369.6888591347902</v>
      </c>
      <c r="AC375" s="5">
        <f t="shared" ca="1" si="242"/>
        <v>1440.0744996241808</v>
      </c>
      <c r="AD375" s="5">
        <f t="shared" ca="1" si="242"/>
        <v>1507.4747980261684</v>
      </c>
      <c r="AE375" s="5">
        <f t="shared" ca="1" si="242"/>
        <v>1547.9432883491102</v>
      </c>
      <c r="AF375" s="5">
        <f t="shared" ca="1" si="242"/>
        <v>1547.9432883491102</v>
      </c>
      <c r="AG375" s="5">
        <f t="shared" ca="1" si="242"/>
        <v>1547.9432883491102</v>
      </c>
      <c r="AH375" s="5">
        <f t="shared" ca="1" si="242"/>
        <v>1547.9432883491102</v>
      </c>
      <c r="AI375" s="5">
        <f t="shared" ca="1" si="242"/>
        <v>1547.9432883491102</v>
      </c>
    </row>
    <row r="376" spans="1:35" x14ac:dyDescent="0.3">
      <c r="A376" s="5"/>
      <c r="B376" s="5"/>
      <c r="C376" s="198"/>
      <c r="D376" s="205"/>
      <c r="E376" s="263"/>
      <c r="F376" s="263"/>
      <c r="G376" s="263"/>
      <c r="H376" s="263"/>
      <c r="I376" s="263"/>
      <c r="J376" s="263"/>
      <c r="K376" s="263"/>
      <c r="L376" s="263"/>
      <c r="M376" s="263"/>
      <c r="N376" s="263"/>
      <c r="O376" s="263"/>
      <c r="P376" s="263"/>
      <c r="Q376" s="263"/>
      <c r="R376" s="263"/>
      <c r="S376" s="263"/>
      <c r="T376" s="263"/>
      <c r="U376" s="263"/>
      <c r="V376" s="263"/>
      <c r="W376" s="263"/>
      <c r="X376" s="263"/>
      <c r="Y376" s="263"/>
      <c r="Z376" s="263"/>
      <c r="AA376" s="263"/>
      <c r="AB376" s="263"/>
      <c r="AC376" s="263"/>
      <c r="AD376" s="263"/>
      <c r="AE376" s="263"/>
      <c r="AF376" s="263"/>
      <c r="AG376" s="263"/>
      <c r="AH376" s="263"/>
      <c r="AI376" s="263"/>
    </row>
    <row r="377" spans="1:35" x14ac:dyDescent="0.3">
      <c r="A377" s="5"/>
      <c r="B377" s="217" t="s">
        <v>94</v>
      </c>
      <c r="C377" s="200" t="s">
        <v>11</v>
      </c>
      <c r="D377" s="682"/>
      <c r="E377" s="255">
        <f t="shared" ref="E377:AI377" ca="1" si="243">SUM(E370:E375)</f>
        <v>582.04857646593382</v>
      </c>
      <c r="F377" s="255">
        <f t="shared" ca="1" si="243"/>
        <v>1261.2784689184523</v>
      </c>
      <c r="G377" s="255">
        <f t="shared" ca="1" si="243"/>
        <v>1247.9992391378473</v>
      </c>
      <c r="H377" s="255">
        <f t="shared" ca="1" si="243"/>
        <v>1235.2470778035733</v>
      </c>
      <c r="I377" s="255">
        <f t="shared" ca="1" si="243"/>
        <v>1222.9614089029933</v>
      </c>
      <c r="J377" s="255">
        <f t="shared" ca="1" si="243"/>
        <v>1211.1330237900593</v>
      </c>
      <c r="K377" s="255">
        <f t="shared" ca="1" si="243"/>
        <v>1199.7508204579538</v>
      </c>
      <c r="L377" s="255">
        <f t="shared" ca="1" si="243"/>
        <v>1188.8017240332395</v>
      </c>
      <c r="M377" s="255">
        <f t="shared" ca="1" si="243"/>
        <v>1178.2706029328988</v>
      </c>
      <c r="N377" s="255">
        <f t="shared" ca="1" si="243"/>
        <v>1168.1401804618381</v>
      </c>
      <c r="O377" s="255">
        <f t="shared" ca="1" si="243"/>
        <v>1158.3909416167994</v>
      </c>
      <c r="P377" s="255">
        <f t="shared" ca="1" si="243"/>
        <v>1149.0010348504004</v>
      </c>
      <c r="Q377" s="255">
        <f t="shared" ca="1" si="243"/>
        <v>1139.9461685361557</v>
      </c>
      <c r="R377" s="255">
        <f t="shared" ca="1" si="243"/>
        <v>1131.1995018617954</v>
      </c>
      <c r="S377" s="255">
        <f t="shared" ca="1" si="243"/>
        <v>1122.7315298639514</v>
      </c>
      <c r="T377" s="255">
        <f t="shared" ca="1" si="243"/>
        <v>1114.5099623022995</v>
      </c>
      <c r="U377" s="255">
        <f t="shared" ca="1" si="243"/>
        <v>1162.2555082245754</v>
      </c>
      <c r="V377" s="255">
        <f t="shared" ca="1" si="243"/>
        <v>1237.0055085184974</v>
      </c>
      <c r="W377" s="255">
        <f t="shared" ca="1" si="243"/>
        <v>1309.0048729252978</v>
      </c>
      <c r="X377" s="255">
        <f t="shared" ca="1" si="243"/>
        <v>1378.2088241538272</v>
      </c>
      <c r="Y377" s="255">
        <f t="shared" ca="1" si="243"/>
        <v>1443.9284919539655</v>
      </c>
      <c r="Z377" s="255">
        <f t="shared" ca="1" si="243"/>
        <v>1498.2259228880614</v>
      </c>
      <c r="AA377" s="255">
        <f t="shared" ca="1" si="243"/>
        <v>1549.7454291937588</v>
      </c>
      <c r="AB377" s="255">
        <f t="shared" ca="1" si="243"/>
        <v>1598.4307635402749</v>
      </c>
      <c r="AC377" s="255">
        <f t="shared" ca="1" si="243"/>
        <v>1644.2217160889247</v>
      </c>
      <c r="AD377" s="255">
        <f t="shared" ca="1" si="243"/>
        <v>1687.053923242511</v>
      </c>
      <c r="AE377" s="255">
        <f t="shared" ca="1" si="243"/>
        <v>1718.3028842478441</v>
      </c>
      <c r="AF377" s="255">
        <f t="shared" ca="1" si="243"/>
        <v>1718.3028842478441</v>
      </c>
      <c r="AG377" s="255">
        <f t="shared" ca="1" si="243"/>
        <v>1718.3028842478441</v>
      </c>
      <c r="AH377" s="255">
        <f t="shared" ca="1" si="243"/>
        <v>1718.3028842478441</v>
      </c>
      <c r="AI377" s="255">
        <f t="shared" ca="1" si="243"/>
        <v>1718.3028842478441</v>
      </c>
    </row>
    <row r="378" spans="1:35" x14ac:dyDescent="0.3">
      <c r="A378" s="5"/>
      <c r="B378" s="5"/>
      <c r="C378" s="198"/>
      <c r="D378" s="205"/>
      <c r="E378" s="263"/>
      <c r="F378" s="263"/>
      <c r="G378" s="263"/>
      <c r="H378" s="263"/>
      <c r="I378" s="263"/>
      <c r="J378" s="263"/>
      <c r="K378" s="263"/>
      <c r="L378" s="263"/>
      <c r="M378" s="263"/>
      <c r="N378" s="263"/>
      <c r="O378" s="263"/>
      <c r="P378" s="263"/>
      <c r="Q378" s="263"/>
      <c r="R378" s="263"/>
      <c r="S378" s="263"/>
      <c r="T378" s="263"/>
      <c r="U378" s="263"/>
      <c r="V378" s="263"/>
      <c r="W378" s="263"/>
      <c r="X378" s="263"/>
      <c r="Y378" s="263"/>
      <c r="Z378" s="263"/>
      <c r="AA378" s="263"/>
      <c r="AB378" s="263"/>
      <c r="AC378" s="263"/>
      <c r="AD378" s="263"/>
      <c r="AE378" s="263"/>
      <c r="AF378" s="263"/>
      <c r="AG378" s="263"/>
      <c r="AH378" s="263"/>
      <c r="AI378" s="263"/>
    </row>
    <row r="379" spans="1:35" x14ac:dyDescent="0.3">
      <c r="A379" s="259" t="s">
        <v>93</v>
      </c>
      <c r="B379" s="260"/>
      <c r="C379" s="261"/>
      <c r="D379" s="262"/>
      <c r="E379" s="260"/>
      <c r="F379" s="260"/>
      <c r="G379" s="260"/>
      <c r="H379" s="260"/>
      <c r="I379" s="260"/>
      <c r="J379" s="260"/>
      <c r="K379" s="260"/>
      <c r="L379" s="260"/>
      <c r="M379" s="260"/>
      <c r="N379" s="260"/>
      <c r="O379" s="260"/>
      <c r="P379" s="260"/>
      <c r="Q379" s="260"/>
      <c r="R379" s="260"/>
      <c r="S379" s="260"/>
      <c r="T379" s="260"/>
      <c r="U379" s="260"/>
      <c r="V379" s="260"/>
      <c r="W379" s="260"/>
      <c r="X379" s="260"/>
      <c r="Y379" s="260"/>
      <c r="Z379" s="260"/>
      <c r="AA379" s="260"/>
      <c r="AB379" s="260"/>
      <c r="AC379" s="260"/>
      <c r="AD379" s="260"/>
      <c r="AE379" s="260"/>
      <c r="AF379" s="260"/>
      <c r="AG379" s="260"/>
      <c r="AH379" s="260"/>
      <c r="AI379" s="260"/>
    </row>
    <row r="380" spans="1:35" x14ac:dyDescent="0.3">
      <c r="A380" s="217"/>
      <c r="B380" s="5" t="s">
        <v>5</v>
      </c>
      <c r="C380" s="198" t="s">
        <v>11</v>
      </c>
      <c r="D380" s="205"/>
      <c r="E380" s="5">
        <f t="shared" ref="E380:AI380" ca="1" si="244">D380+E350</f>
        <v>174.61457293978017</v>
      </c>
      <c r="F380" s="5">
        <f t="shared" ca="1" si="244"/>
        <v>372.76860972753059</v>
      </c>
      <c r="G380" s="5">
        <f t="shared" ca="1" si="244"/>
        <v>372.76860972753059</v>
      </c>
      <c r="H380" s="5">
        <f t="shared" ca="1" si="244"/>
        <v>372.76860972753059</v>
      </c>
      <c r="I380" s="5">
        <f t="shared" ca="1" si="244"/>
        <v>372.76860972753059</v>
      </c>
      <c r="J380" s="5">
        <f t="shared" ca="1" si="244"/>
        <v>372.76860972753059</v>
      </c>
      <c r="K380" s="5">
        <f t="shared" ca="1" si="244"/>
        <v>372.76860972753059</v>
      </c>
      <c r="L380" s="5">
        <f t="shared" ca="1" si="244"/>
        <v>372.76860972753059</v>
      </c>
      <c r="M380" s="5">
        <f t="shared" ca="1" si="244"/>
        <v>372.76860972753059</v>
      </c>
      <c r="N380" s="5">
        <f t="shared" ca="1" si="244"/>
        <v>372.76860972753059</v>
      </c>
      <c r="O380" s="5">
        <f t="shared" ca="1" si="244"/>
        <v>372.76860972753059</v>
      </c>
      <c r="P380" s="5">
        <f t="shared" ca="1" si="244"/>
        <v>372.76860972753059</v>
      </c>
      <c r="Q380" s="5">
        <f t="shared" ca="1" si="244"/>
        <v>372.76860972753059</v>
      </c>
      <c r="R380" s="5">
        <f t="shared" ca="1" si="244"/>
        <v>372.76860972753059</v>
      </c>
      <c r="S380" s="5">
        <f t="shared" ca="1" si="244"/>
        <v>372.76860972753059</v>
      </c>
      <c r="T380" s="5">
        <f t="shared" ca="1" si="244"/>
        <v>372.76860972753059</v>
      </c>
      <c r="U380" s="5">
        <f t="shared" ca="1" si="244"/>
        <v>372.76860972753059</v>
      </c>
      <c r="V380" s="5">
        <f t="shared" ca="1" si="244"/>
        <v>372.76860972753059</v>
      </c>
      <c r="W380" s="5">
        <f t="shared" ca="1" si="244"/>
        <v>372.76860972753059</v>
      </c>
      <c r="X380" s="5">
        <f t="shared" ca="1" si="244"/>
        <v>372.76860972753059</v>
      </c>
      <c r="Y380" s="5">
        <f t="shared" ca="1" si="244"/>
        <v>372.76860972753059</v>
      </c>
      <c r="Z380" s="5">
        <f t="shared" ca="1" si="244"/>
        <v>372.76860972753059</v>
      </c>
      <c r="AA380" s="5">
        <f t="shared" ca="1" si="244"/>
        <v>372.76860972753059</v>
      </c>
      <c r="AB380" s="5">
        <f t="shared" ca="1" si="244"/>
        <v>372.76860972753059</v>
      </c>
      <c r="AC380" s="5">
        <f t="shared" ca="1" si="244"/>
        <v>372.76860972753059</v>
      </c>
      <c r="AD380" s="5">
        <f t="shared" ca="1" si="244"/>
        <v>372.76860972753059</v>
      </c>
      <c r="AE380" s="5">
        <f t="shared" ca="1" si="244"/>
        <v>372.76860972753059</v>
      </c>
      <c r="AF380" s="5">
        <f t="shared" ca="1" si="244"/>
        <v>372.76860972753059</v>
      </c>
      <c r="AG380" s="5">
        <f t="shared" ca="1" si="244"/>
        <v>372.76860972753059</v>
      </c>
      <c r="AH380" s="5">
        <f t="shared" ca="1" si="244"/>
        <v>372.76860972753059</v>
      </c>
      <c r="AI380" s="5">
        <f t="shared" ca="1" si="244"/>
        <v>372.76860972753059</v>
      </c>
    </row>
    <row r="381" spans="1:35" x14ac:dyDescent="0.3">
      <c r="A381" s="217"/>
      <c r="B381" s="264" t="s">
        <v>92</v>
      </c>
      <c r="C381" s="198" t="s">
        <v>11</v>
      </c>
      <c r="D381" s="205"/>
      <c r="E381" s="5">
        <f t="shared" ref="E381:AI381" ca="1" si="245">D381+E331</f>
        <v>0</v>
      </c>
      <c r="F381" s="5">
        <f t="shared" ca="1" si="245"/>
        <v>28.450351351382608</v>
      </c>
      <c r="G381" s="5">
        <f t="shared" ca="1" si="245"/>
        <v>73.302559452208243</v>
      </c>
      <c r="H381" s="5">
        <f t="shared" ca="1" si="245"/>
        <v>118.62003739243916</v>
      </c>
      <c r="I381" s="5">
        <f t="shared" ca="1" si="245"/>
        <v>164.39512204343112</v>
      </c>
      <c r="J381" s="5">
        <f t="shared" ca="1" si="245"/>
        <v>210.61831618511161</v>
      </c>
      <c r="K381" s="5">
        <f t="shared" ca="1" si="245"/>
        <v>257.27821231920927</v>
      </c>
      <c r="L381" s="5">
        <f t="shared" ca="1" si="245"/>
        <v>304.361412314549</v>
      </c>
      <c r="M381" s="5">
        <f t="shared" ca="1" si="245"/>
        <v>351.85244267083345</v>
      </c>
      <c r="N381" s="5">
        <f t="shared" ca="1" si="245"/>
        <v>399.73366517617035</v>
      </c>
      <c r="O381" s="5">
        <f t="shared" ca="1" si="245"/>
        <v>447.98518272186323</v>
      </c>
      <c r="P381" s="5">
        <f t="shared" ca="1" si="245"/>
        <v>496.58474002562912</v>
      </c>
      <c r="Q381" s="5">
        <f t="shared" ca="1" si="245"/>
        <v>545.5076190014056</v>
      </c>
      <c r="R381" s="5">
        <f t="shared" ca="1" si="245"/>
        <v>594.72652850023326</v>
      </c>
      <c r="S381" s="5">
        <f t="shared" ca="1" si="245"/>
        <v>644.2114881323073</v>
      </c>
      <c r="T381" s="5">
        <f t="shared" ca="1" si="245"/>
        <v>693.9297058651498</v>
      </c>
      <c r="U381" s="5">
        <f t="shared" ca="1" si="245"/>
        <v>770.60824715610613</v>
      </c>
      <c r="V381" s="5">
        <f t="shared" ca="1" si="245"/>
        <v>845.28389427140598</v>
      </c>
      <c r="W381" s="5">
        <f t="shared" ca="1" si="245"/>
        <v>917.19408181324138</v>
      </c>
      <c r="X381" s="5">
        <f t="shared" ca="1" si="245"/>
        <v>986.2934110899871</v>
      </c>
      <c r="Y381" s="5">
        <f t="shared" ca="1" si="245"/>
        <v>1051.8923566338499</v>
      </c>
      <c r="Z381" s="5">
        <f t="shared" ca="1" si="245"/>
        <v>1106.0522742407352</v>
      </c>
      <c r="AA381" s="5">
        <f t="shared" ca="1" si="245"/>
        <v>1157.4167480111387</v>
      </c>
      <c r="AB381" s="5">
        <f t="shared" ca="1" si="245"/>
        <v>1205.9287631894113</v>
      </c>
      <c r="AC381" s="5">
        <f t="shared" ca="1" si="245"/>
        <v>1251.52730120724</v>
      </c>
      <c r="AD381" s="5">
        <f t="shared" ca="1" si="245"/>
        <v>1294.1471463107509</v>
      </c>
      <c r="AE381" s="5">
        <f t="shared" ca="1" si="245"/>
        <v>1322.9915390611022</v>
      </c>
      <c r="AF381" s="5">
        <f t="shared" ca="1" si="245"/>
        <v>1322.9915390611022</v>
      </c>
      <c r="AG381" s="5">
        <f t="shared" ca="1" si="245"/>
        <v>1322.9915390611022</v>
      </c>
      <c r="AH381" s="5">
        <f t="shared" ca="1" si="245"/>
        <v>1322.9915390611022</v>
      </c>
      <c r="AI381" s="5">
        <f t="shared" ca="1" si="245"/>
        <v>1322.9915390611022</v>
      </c>
    </row>
    <row r="382" spans="1:35" x14ac:dyDescent="0.3">
      <c r="A382" s="5"/>
      <c r="B382" s="5"/>
      <c r="C382" s="198"/>
      <c r="D382" s="230"/>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row>
    <row r="383" spans="1:35" x14ac:dyDescent="0.3">
      <c r="A383" s="5"/>
      <c r="B383" s="5" t="s">
        <v>91</v>
      </c>
      <c r="C383" s="198" t="s">
        <v>11</v>
      </c>
      <c r="D383" s="230"/>
      <c r="E383" s="5">
        <f t="shared" ref="E383:AI383" ca="1" si="246">D383+E349</f>
        <v>0</v>
      </c>
      <c r="F383" s="5">
        <f t="shared" ca="1" si="246"/>
        <v>0</v>
      </c>
      <c r="G383" s="5">
        <f t="shared" ca="1" si="246"/>
        <v>0</v>
      </c>
      <c r="H383" s="5">
        <f t="shared" ca="1" si="246"/>
        <v>0</v>
      </c>
      <c r="I383" s="5">
        <f t="shared" ca="1" si="246"/>
        <v>0</v>
      </c>
      <c r="J383" s="5">
        <f t="shared" ca="1" si="246"/>
        <v>0</v>
      </c>
      <c r="K383" s="5">
        <f t="shared" ca="1" si="246"/>
        <v>0</v>
      </c>
      <c r="L383" s="5">
        <f t="shared" ca="1" si="246"/>
        <v>0</v>
      </c>
      <c r="M383" s="5">
        <f t="shared" ca="1" si="246"/>
        <v>0</v>
      </c>
      <c r="N383" s="5">
        <f t="shared" ca="1" si="246"/>
        <v>0</v>
      </c>
      <c r="O383" s="5">
        <f t="shared" ca="1" si="246"/>
        <v>0</v>
      </c>
      <c r="P383" s="5">
        <f t="shared" ca="1" si="246"/>
        <v>0</v>
      </c>
      <c r="Q383" s="5">
        <f t="shared" ca="1" si="246"/>
        <v>0</v>
      </c>
      <c r="R383" s="5">
        <f t="shared" ca="1" si="246"/>
        <v>0</v>
      </c>
      <c r="S383" s="5">
        <f t="shared" ca="1" si="246"/>
        <v>0</v>
      </c>
      <c r="T383" s="5">
        <f t="shared" ca="1" si="246"/>
        <v>0</v>
      </c>
      <c r="U383" s="5">
        <f t="shared" ca="1" si="246"/>
        <v>0</v>
      </c>
      <c r="V383" s="5">
        <f t="shared" ca="1" si="246"/>
        <v>0</v>
      </c>
      <c r="W383" s="5">
        <f t="shared" ca="1" si="246"/>
        <v>0</v>
      </c>
      <c r="X383" s="5">
        <f t="shared" ca="1" si="246"/>
        <v>0</v>
      </c>
      <c r="Y383" s="5">
        <f t="shared" ca="1" si="246"/>
        <v>0</v>
      </c>
      <c r="Z383" s="5">
        <f t="shared" ca="1" si="246"/>
        <v>0</v>
      </c>
      <c r="AA383" s="5">
        <f t="shared" ca="1" si="246"/>
        <v>0</v>
      </c>
      <c r="AB383" s="5">
        <f t="shared" ca="1" si="246"/>
        <v>0</v>
      </c>
      <c r="AC383" s="5">
        <f t="shared" ca="1" si="246"/>
        <v>0</v>
      </c>
      <c r="AD383" s="5">
        <f t="shared" ca="1" si="246"/>
        <v>0</v>
      </c>
      <c r="AE383" s="5">
        <f t="shared" ca="1" si="246"/>
        <v>0</v>
      </c>
      <c r="AF383" s="5">
        <f t="shared" ca="1" si="246"/>
        <v>0</v>
      </c>
      <c r="AG383" s="5">
        <f t="shared" ca="1" si="246"/>
        <v>0</v>
      </c>
      <c r="AH383" s="5">
        <f t="shared" ca="1" si="246"/>
        <v>0</v>
      </c>
      <c r="AI383" s="5">
        <f t="shared" ca="1" si="246"/>
        <v>0</v>
      </c>
    </row>
    <row r="384" spans="1:35" x14ac:dyDescent="0.3">
      <c r="A384" s="217"/>
      <c r="B384" s="5" t="s">
        <v>54</v>
      </c>
      <c r="C384" s="198" t="s">
        <v>11</v>
      </c>
      <c r="D384" s="205"/>
      <c r="E384" s="5">
        <f t="shared" ref="E384:AI384" ca="1" si="247">E77</f>
        <v>407.43400352615367</v>
      </c>
      <c r="F384" s="5">
        <f t="shared" ca="1" si="247"/>
        <v>840.80030860765225</v>
      </c>
      <c r="G384" s="5">
        <f t="shared" ca="1" si="247"/>
        <v>782.81408042781413</v>
      </c>
      <c r="H384" s="5">
        <f t="shared" ca="1" si="247"/>
        <v>724.82785224797601</v>
      </c>
      <c r="I384" s="5">
        <f t="shared" ca="1" si="247"/>
        <v>666.84162406813789</v>
      </c>
      <c r="J384" s="5">
        <f t="shared" ca="1" si="247"/>
        <v>608.85539588829977</v>
      </c>
      <c r="K384" s="5">
        <f t="shared" ca="1" si="247"/>
        <v>550.86916770846165</v>
      </c>
      <c r="L384" s="5">
        <f t="shared" ca="1" si="247"/>
        <v>492.88293952862358</v>
      </c>
      <c r="M384" s="5">
        <f t="shared" ca="1" si="247"/>
        <v>434.89671134878552</v>
      </c>
      <c r="N384" s="5">
        <f t="shared" ca="1" si="247"/>
        <v>376.91048316894745</v>
      </c>
      <c r="O384" s="5">
        <f t="shared" ca="1" si="247"/>
        <v>318.92425498910939</v>
      </c>
      <c r="P384" s="5">
        <f t="shared" ca="1" si="247"/>
        <v>260.93802680927132</v>
      </c>
      <c r="Q384" s="5">
        <f t="shared" ca="1" si="247"/>
        <v>202.95179862943323</v>
      </c>
      <c r="R384" s="5">
        <f t="shared" ca="1" si="247"/>
        <v>144.96557044959513</v>
      </c>
      <c r="S384" s="5">
        <f t="shared" ca="1" si="247"/>
        <v>86.979342269757041</v>
      </c>
      <c r="T384" s="5">
        <f t="shared" ca="1" si="247"/>
        <v>28.993114089918954</v>
      </c>
      <c r="U384" s="5">
        <f t="shared" ca="1" si="247"/>
        <v>0</v>
      </c>
      <c r="V384" s="5">
        <f t="shared" ca="1" si="247"/>
        <v>0</v>
      </c>
      <c r="W384" s="5">
        <f t="shared" ca="1" si="247"/>
        <v>0</v>
      </c>
      <c r="X384" s="5">
        <f t="shared" ca="1" si="247"/>
        <v>0</v>
      </c>
      <c r="Y384" s="5">
        <f t="shared" ca="1" si="247"/>
        <v>0</v>
      </c>
      <c r="Z384" s="5">
        <f t="shared" ca="1" si="247"/>
        <v>0</v>
      </c>
      <c r="AA384" s="5">
        <f t="shared" ca="1" si="247"/>
        <v>0</v>
      </c>
      <c r="AB384" s="5">
        <f t="shared" ca="1" si="247"/>
        <v>0</v>
      </c>
      <c r="AC384" s="5">
        <f t="shared" ca="1" si="247"/>
        <v>0</v>
      </c>
      <c r="AD384" s="5">
        <f t="shared" ca="1" si="247"/>
        <v>0</v>
      </c>
      <c r="AE384" s="5">
        <f t="shared" ca="1" si="247"/>
        <v>0</v>
      </c>
      <c r="AF384" s="5">
        <f t="shared" ca="1" si="247"/>
        <v>0</v>
      </c>
      <c r="AG384" s="5">
        <f t="shared" ca="1" si="247"/>
        <v>0</v>
      </c>
      <c r="AH384" s="5">
        <f t="shared" ca="1" si="247"/>
        <v>0</v>
      </c>
      <c r="AI384" s="5">
        <f t="shared" ca="1" si="247"/>
        <v>0</v>
      </c>
    </row>
    <row r="385" spans="1:36" x14ac:dyDescent="0.3">
      <c r="A385" s="217"/>
      <c r="B385" s="5" t="s">
        <v>52</v>
      </c>
      <c r="C385" s="198" t="s">
        <v>11</v>
      </c>
      <c r="D385" s="205"/>
      <c r="E385" s="5">
        <f t="shared" ref="E385:AI385" ca="1" si="248">E87</f>
        <v>0</v>
      </c>
      <c r="F385" s="5">
        <f t="shared" ca="1" si="248"/>
        <v>0</v>
      </c>
      <c r="G385" s="5">
        <f t="shared" ca="1" si="248"/>
        <v>0</v>
      </c>
      <c r="H385" s="5">
        <f t="shared" ca="1" si="248"/>
        <v>0</v>
      </c>
      <c r="I385" s="5">
        <f t="shared" ca="1" si="248"/>
        <v>0</v>
      </c>
      <c r="J385" s="5">
        <f t="shared" ca="1" si="248"/>
        <v>0</v>
      </c>
      <c r="K385" s="5">
        <f t="shared" ca="1" si="248"/>
        <v>0</v>
      </c>
      <c r="L385" s="5">
        <f t="shared" ca="1" si="248"/>
        <v>0</v>
      </c>
      <c r="M385" s="5">
        <f t="shared" ca="1" si="248"/>
        <v>0</v>
      </c>
      <c r="N385" s="5">
        <f t="shared" ca="1" si="248"/>
        <v>0</v>
      </c>
      <c r="O385" s="5">
        <f t="shared" ca="1" si="248"/>
        <v>0</v>
      </c>
      <c r="P385" s="5">
        <f t="shared" ca="1" si="248"/>
        <v>0</v>
      </c>
      <c r="Q385" s="5">
        <f t="shared" ca="1" si="248"/>
        <v>0</v>
      </c>
      <c r="R385" s="5">
        <f t="shared" ca="1" si="248"/>
        <v>0</v>
      </c>
      <c r="S385" s="5">
        <f t="shared" ca="1" si="248"/>
        <v>0</v>
      </c>
      <c r="T385" s="5">
        <f t="shared" ca="1" si="248"/>
        <v>0</v>
      </c>
      <c r="U385" s="5">
        <f t="shared" ca="1" si="248"/>
        <v>0</v>
      </c>
      <c r="V385" s="5">
        <f t="shared" ca="1" si="248"/>
        <v>0</v>
      </c>
      <c r="W385" s="5">
        <f t="shared" ca="1" si="248"/>
        <v>0</v>
      </c>
      <c r="X385" s="5">
        <f t="shared" ca="1" si="248"/>
        <v>0</v>
      </c>
      <c r="Y385" s="5">
        <f t="shared" ca="1" si="248"/>
        <v>0</v>
      </c>
      <c r="Z385" s="5">
        <f t="shared" ca="1" si="248"/>
        <v>0</v>
      </c>
      <c r="AA385" s="5">
        <f t="shared" ca="1" si="248"/>
        <v>0</v>
      </c>
      <c r="AB385" s="5">
        <f t="shared" ca="1" si="248"/>
        <v>0</v>
      </c>
      <c r="AC385" s="5">
        <f t="shared" ca="1" si="248"/>
        <v>0</v>
      </c>
      <c r="AD385" s="5">
        <f t="shared" ca="1" si="248"/>
        <v>0</v>
      </c>
      <c r="AE385" s="5">
        <f t="shared" ca="1" si="248"/>
        <v>0</v>
      </c>
      <c r="AF385" s="5">
        <f t="shared" ca="1" si="248"/>
        <v>0</v>
      </c>
      <c r="AG385" s="5">
        <f t="shared" ca="1" si="248"/>
        <v>0</v>
      </c>
      <c r="AH385" s="5">
        <f t="shared" ca="1" si="248"/>
        <v>0</v>
      </c>
      <c r="AI385" s="5">
        <f t="shared" ca="1" si="248"/>
        <v>0</v>
      </c>
    </row>
    <row r="386" spans="1:36" x14ac:dyDescent="0.3">
      <c r="A386" s="217"/>
      <c r="B386" s="5"/>
      <c r="C386" s="198"/>
      <c r="D386" s="20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row>
    <row r="387" spans="1:36" x14ac:dyDescent="0.3">
      <c r="A387" s="217"/>
      <c r="B387" s="5" t="s">
        <v>90</v>
      </c>
      <c r="C387" s="198" t="s">
        <v>11</v>
      </c>
      <c r="D387" s="205"/>
      <c r="E387" s="5">
        <f t="shared" ref="E387:AI387" si="249">D387+E355</f>
        <v>0</v>
      </c>
      <c r="F387" s="5">
        <f t="shared" ca="1" si="249"/>
        <v>19.259199231886896</v>
      </c>
      <c r="G387" s="5">
        <f t="shared" ca="1" si="249"/>
        <v>19.113989530294138</v>
      </c>
      <c r="H387" s="5">
        <f t="shared" ca="1" si="249"/>
        <v>19.030578435627476</v>
      </c>
      <c r="I387" s="5">
        <f t="shared" ca="1" si="249"/>
        <v>18.956053063893613</v>
      </c>
      <c r="J387" s="5">
        <f t="shared" ca="1" si="249"/>
        <v>18.890701989117083</v>
      </c>
      <c r="K387" s="5">
        <f t="shared" ca="1" si="249"/>
        <v>18.834830702752228</v>
      </c>
      <c r="L387" s="5">
        <f t="shared" ca="1" si="249"/>
        <v>18.788762462536248</v>
      </c>
      <c r="M387" s="5">
        <f t="shared" ca="1" si="249"/>
        <v>18.752839185749171</v>
      </c>
      <c r="N387" s="5">
        <f t="shared" ca="1" si="249"/>
        <v>18.72742238918967</v>
      </c>
      <c r="O387" s="5">
        <f t="shared" ca="1" si="249"/>
        <v>18.712894178296136</v>
      </c>
      <c r="P387" s="5">
        <f t="shared" ca="1" si="249"/>
        <v>18.709658287969297</v>
      </c>
      <c r="Q387" s="5">
        <f t="shared" ca="1" si="249"/>
        <v>18.718141177786279</v>
      </c>
      <c r="R387" s="5">
        <f t="shared" ca="1" si="249"/>
        <v>18.738793184436297</v>
      </c>
      <c r="S387" s="5">
        <f t="shared" ca="1" si="249"/>
        <v>18.772089734356314</v>
      </c>
      <c r="T387" s="5">
        <f t="shared" ca="1" si="249"/>
        <v>18.818532619700143</v>
      </c>
      <c r="U387" s="5">
        <f t="shared" ca="1" si="249"/>
        <v>18.878651340938713</v>
      </c>
      <c r="V387" s="5">
        <f t="shared" ca="1" si="249"/>
        <v>18.95300451956086</v>
      </c>
      <c r="W387" s="5">
        <f t="shared" ca="1" si="249"/>
        <v>19.042181384525882</v>
      </c>
      <c r="X387" s="5">
        <f t="shared" ca="1" si="249"/>
        <v>19.146803336309389</v>
      </c>
      <c r="Y387" s="5">
        <f t="shared" ca="1" si="249"/>
        <v>19.267525592585017</v>
      </c>
      <c r="Z387" s="5">
        <f t="shared" ca="1" si="249"/>
        <v>19.405038919795544</v>
      </c>
      <c r="AA387" s="5">
        <f t="shared" ca="1" si="249"/>
        <v>19.560071455089545</v>
      </c>
      <c r="AB387" s="5">
        <f t="shared" ca="1" si="249"/>
        <v>19.733390623333278</v>
      </c>
      <c r="AC387" s="5">
        <f t="shared" ca="1" si="249"/>
        <v>19.925805154153984</v>
      </c>
      <c r="AD387" s="5">
        <f t="shared" ca="1" si="249"/>
        <v>20.138167204229493</v>
      </c>
      <c r="AE387" s="5">
        <f t="shared" ca="1" si="249"/>
        <v>22.542735459211293</v>
      </c>
      <c r="AF387" s="5">
        <f t="shared" ca="1" si="249"/>
        <v>22.542735459211293</v>
      </c>
      <c r="AG387" s="5">
        <f t="shared" ca="1" si="249"/>
        <v>22.542735459211293</v>
      </c>
      <c r="AH387" s="5">
        <f t="shared" ca="1" si="249"/>
        <v>22.542735459211293</v>
      </c>
      <c r="AI387" s="5">
        <f t="shared" ca="1" si="249"/>
        <v>22.542735459211293</v>
      </c>
    </row>
    <row r="388" spans="1:36" x14ac:dyDescent="0.3">
      <c r="A388" s="217"/>
      <c r="B388" s="5" t="s">
        <v>42</v>
      </c>
      <c r="C388" s="198" t="s">
        <v>11</v>
      </c>
      <c r="D388" s="205"/>
      <c r="E388" s="5">
        <f t="shared" ref="E388:AI388" si="250">E246</f>
        <v>0</v>
      </c>
      <c r="F388" s="5">
        <f t="shared" si="250"/>
        <v>0</v>
      </c>
      <c r="G388" s="5">
        <f t="shared" si="250"/>
        <v>0</v>
      </c>
      <c r="H388" s="5">
        <f t="shared" si="250"/>
        <v>0</v>
      </c>
      <c r="I388" s="5">
        <f t="shared" si="250"/>
        <v>0</v>
      </c>
      <c r="J388" s="5">
        <f t="shared" si="250"/>
        <v>0</v>
      </c>
      <c r="K388" s="5">
        <f t="shared" si="250"/>
        <v>0</v>
      </c>
      <c r="L388" s="5">
        <f t="shared" si="250"/>
        <v>0</v>
      </c>
      <c r="M388" s="5">
        <f t="shared" si="250"/>
        <v>0</v>
      </c>
      <c r="N388" s="5">
        <f t="shared" si="250"/>
        <v>0</v>
      </c>
      <c r="O388" s="5">
        <f t="shared" si="250"/>
        <v>0</v>
      </c>
      <c r="P388" s="5">
        <f t="shared" si="250"/>
        <v>0</v>
      </c>
      <c r="Q388" s="5">
        <f t="shared" si="250"/>
        <v>0</v>
      </c>
      <c r="R388" s="5">
        <f t="shared" si="250"/>
        <v>0</v>
      </c>
      <c r="S388" s="5">
        <f t="shared" si="250"/>
        <v>0</v>
      </c>
      <c r="T388" s="5">
        <f t="shared" si="250"/>
        <v>0</v>
      </c>
      <c r="U388" s="5">
        <f t="shared" si="250"/>
        <v>0</v>
      </c>
      <c r="V388" s="5">
        <f t="shared" si="250"/>
        <v>0</v>
      </c>
      <c r="W388" s="5">
        <f t="shared" si="250"/>
        <v>0</v>
      </c>
      <c r="X388" s="5">
        <f t="shared" si="250"/>
        <v>0</v>
      </c>
      <c r="Y388" s="5">
        <f t="shared" si="250"/>
        <v>0</v>
      </c>
      <c r="Z388" s="5">
        <f t="shared" si="250"/>
        <v>0</v>
      </c>
      <c r="AA388" s="5">
        <f t="shared" si="250"/>
        <v>0</v>
      </c>
      <c r="AB388" s="5">
        <f t="shared" si="250"/>
        <v>0</v>
      </c>
      <c r="AC388" s="5">
        <f t="shared" si="250"/>
        <v>0</v>
      </c>
      <c r="AD388" s="5">
        <f t="shared" si="250"/>
        <v>0</v>
      </c>
      <c r="AE388" s="5">
        <f t="shared" si="250"/>
        <v>0</v>
      </c>
      <c r="AF388" s="5">
        <f t="shared" si="250"/>
        <v>0</v>
      </c>
      <c r="AG388" s="5">
        <f t="shared" si="250"/>
        <v>0</v>
      </c>
      <c r="AH388" s="5">
        <f t="shared" si="250"/>
        <v>0</v>
      </c>
      <c r="AI388" s="5">
        <f t="shared" si="250"/>
        <v>0</v>
      </c>
    </row>
    <row r="389" spans="1:36" x14ac:dyDescent="0.3">
      <c r="A389" s="217"/>
      <c r="B389" s="264"/>
      <c r="C389" s="198"/>
      <c r="D389" s="20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row>
    <row r="390" spans="1:36" x14ac:dyDescent="0.3">
      <c r="A390" s="5"/>
      <c r="B390" s="217" t="s">
        <v>89</v>
      </c>
      <c r="C390" s="200" t="s">
        <v>11</v>
      </c>
      <c r="D390" s="682"/>
      <c r="E390" s="217">
        <f t="shared" ref="E390:AI390" ca="1" si="251">SUM(E380:E388)</f>
        <v>582.04857646593382</v>
      </c>
      <c r="F390" s="217">
        <f t="shared" ca="1" si="251"/>
        <v>1261.2784689184523</v>
      </c>
      <c r="G390" s="217">
        <f t="shared" ca="1" si="251"/>
        <v>1247.9992391378471</v>
      </c>
      <c r="H390" s="217">
        <f t="shared" ca="1" si="251"/>
        <v>1235.2470778035731</v>
      </c>
      <c r="I390" s="217">
        <f t="shared" ca="1" si="251"/>
        <v>1222.9614089029933</v>
      </c>
      <c r="J390" s="217">
        <f t="shared" ca="1" si="251"/>
        <v>1211.1330237900593</v>
      </c>
      <c r="K390" s="217">
        <f t="shared" ca="1" si="251"/>
        <v>1199.7508204579538</v>
      </c>
      <c r="L390" s="217">
        <f t="shared" ca="1" si="251"/>
        <v>1188.8017240332395</v>
      </c>
      <c r="M390" s="217">
        <f t="shared" ca="1" si="251"/>
        <v>1178.270602932899</v>
      </c>
      <c r="N390" s="217">
        <f t="shared" ca="1" si="251"/>
        <v>1168.1401804618381</v>
      </c>
      <c r="O390" s="217">
        <f t="shared" ca="1" si="251"/>
        <v>1158.3909416167994</v>
      </c>
      <c r="P390" s="217">
        <f t="shared" ca="1" si="251"/>
        <v>1149.0010348504002</v>
      </c>
      <c r="Q390" s="217">
        <f t="shared" ca="1" si="251"/>
        <v>1139.9461685361557</v>
      </c>
      <c r="R390" s="217">
        <f t="shared" ca="1" si="251"/>
        <v>1131.1995018617952</v>
      </c>
      <c r="S390" s="217">
        <f t="shared" ca="1" si="251"/>
        <v>1122.7315298639512</v>
      </c>
      <c r="T390" s="217">
        <f t="shared" ca="1" si="251"/>
        <v>1114.5099623022995</v>
      </c>
      <c r="U390" s="217">
        <f t="shared" ca="1" si="251"/>
        <v>1162.2555082245754</v>
      </c>
      <c r="V390" s="217">
        <f t="shared" ca="1" si="251"/>
        <v>1237.0055085184974</v>
      </c>
      <c r="W390" s="217">
        <f t="shared" ca="1" si="251"/>
        <v>1309.0048729252981</v>
      </c>
      <c r="X390" s="217">
        <f t="shared" ca="1" si="251"/>
        <v>1378.2088241538272</v>
      </c>
      <c r="Y390" s="217">
        <f t="shared" ca="1" si="251"/>
        <v>1443.9284919539655</v>
      </c>
      <c r="Z390" s="217">
        <f t="shared" ca="1" si="251"/>
        <v>1498.2259228880612</v>
      </c>
      <c r="AA390" s="217">
        <f t="shared" ca="1" si="251"/>
        <v>1549.7454291937588</v>
      </c>
      <c r="AB390" s="217">
        <f t="shared" ca="1" si="251"/>
        <v>1598.4307635402749</v>
      </c>
      <c r="AC390" s="217">
        <f t="shared" ca="1" si="251"/>
        <v>1644.2217160889247</v>
      </c>
      <c r="AD390" s="217">
        <f t="shared" ca="1" si="251"/>
        <v>1687.053923242511</v>
      </c>
      <c r="AE390" s="217">
        <f t="shared" ca="1" si="251"/>
        <v>1718.3028842478441</v>
      </c>
      <c r="AF390" s="217">
        <f t="shared" ca="1" si="251"/>
        <v>1718.3028842478441</v>
      </c>
      <c r="AG390" s="217">
        <f t="shared" ca="1" si="251"/>
        <v>1718.3028842478441</v>
      </c>
      <c r="AH390" s="217">
        <f t="shared" ca="1" si="251"/>
        <v>1718.3028842478441</v>
      </c>
      <c r="AI390" s="217">
        <f t="shared" ca="1" si="251"/>
        <v>1718.3028842478441</v>
      </c>
    </row>
    <row r="391" spans="1:36" x14ac:dyDescent="0.3">
      <c r="A391" s="5"/>
      <c r="B391" s="5"/>
      <c r="C391" s="198"/>
      <c r="D391" s="20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row>
    <row r="392" spans="1:36" x14ac:dyDescent="0.3">
      <c r="A392" s="5"/>
      <c r="B392" s="666" t="s">
        <v>88</v>
      </c>
      <c r="C392" s="667" t="s">
        <v>11</v>
      </c>
      <c r="D392" s="668"/>
      <c r="E392" s="669">
        <f t="shared" ref="E392:AI392" ca="1" si="252">E377-E390</f>
        <v>0</v>
      </c>
      <c r="F392" s="669">
        <f t="shared" ca="1" si="252"/>
        <v>0</v>
      </c>
      <c r="G392" s="669">
        <f t="shared" ca="1" si="252"/>
        <v>0</v>
      </c>
      <c r="H392" s="669">
        <f t="shared" ca="1" si="252"/>
        <v>0</v>
      </c>
      <c r="I392" s="669">
        <f t="shared" ca="1" si="252"/>
        <v>0</v>
      </c>
      <c r="J392" s="669">
        <f t="shared" ca="1" si="252"/>
        <v>0</v>
      </c>
      <c r="K392" s="669">
        <f t="shared" ca="1" si="252"/>
        <v>0</v>
      </c>
      <c r="L392" s="669">
        <f t="shared" ca="1" si="252"/>
        <v>0</v>
      </c>
      <c r="M392" s="669">
        <f t="shared" ca="1" si="252"/>
        <v>0</v>
      </c>
      <c r="N392" s="669">
        <f t="shared" ca="1" si="252"/>
        <v>0</v>
      </c>
      <c r="O392" s="669">
        <f t="shared" ca="1" si="252"/>
        <v>0</v>
      </c>
      <c r="P392" s="669">
        <f t="shared" ca="1" si="252"/>
        <v>0</v>
      </c>
      <c r="Q392" s="669">
        <f t="shared" ca="1" si="252"/>
        <v>0</v>
      </c>
      <c r="R392" s="669">
        <f t="shared" ca="1" si="252"/>
        <v>0</v>
      </c>
      <c r="S392" s="669">
        <f t="shared" ca="1" si="252"/>
        <v>0</v>
      </c>
      <c r="T392" s="669">
        <f t="shared" ca="1" si="252"/>
        <v>0</v>
      </c>
      <c r="U392" s="669">
        <f t="shared" ca="1" si="252"/>
        <v>0</v>
      </c>
      <c r="V392" s="669">
        <f t="shared" ca="1" si="252"/>
        <v>0</v>
      </c>
      <c r="W392" s="669">
        <f t="shared" ca="1" si="252"/>
        <v>0</v>
      </c>
      <c r="X392" s="669">
        <f t="shared" ca="1" si="252"/>
        <v>0</v>
      </c>
      <c r="Y392" s="669">
        <f t="shared" ca="1" si="252"/>
        <v>0</v>
      </c>
      <c r="Z392" s="669">
        <f t="shared" ca="1" si="252"/>
        <v>0</v>
      </c>
      <c r="AA392" s="669">
        <f t="shared" ca="1" si="252"/>
        <v>0</v>
      </c>
      <c r="AB392" s="669">
        <f t="shared" ca="1" si="252"/>
        <v>0</v>
      </c>
      <c r="AC392" s="669">
        <f t="shared" ca="1" si="252"/>
        <v>0</v>
      </c>
      <c r="AD392" s="669">
        <f t="shared" ca="1" si="252"/>
        <v>0</v>
      </c>
      <c r="AE392" s="669">
        <f t="shared" ca="1" si="252"/>
        <v>0</v>
      </c>
      <c r="AF392" s="669">
        <f t="shared" ca="1" si="252"/>
        <v>0</v>
      </c>
      <c r="AG392" s="669">
        <f t="shared" ca="1" si="252"/>
        <v>0</v>
      </c>
      <c r="AH392" s="669">
        <f t="shared" ca="1" si="252"/>
        <v>0</v>
      </c>
      <c r="AI392" s="669">
        <f t="shared" ca="1" si="252"/>
        <v>0</v>
      </c>
      <c r="AJ392" s="670"/>
    </row>
    <row r="393" spans="1:36" x14ac:dyDescent="0.3">
      <c r="A393" s="5"/>
      <c r="B393" s="5"/>
      <c r="C393" s="265"/>
      <c r="D393" s="230"/>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row>
    <row r="394" spans="1:36" x14ac:dyDescent="0.3">
      <c r="A394" s="266" t="s">
        <v>86</v>
      </c>
      <c r="B394" s="267"/>
      <c r="C394" s="268"/>
      <c r="D394" s="269"/>
      <c r="E394" s="270"/>
      <c r="F394" s="270"/>
      <c r="G394" s="270"/>
      <c r="H394" s="270"/>
      <c r="I394" s="270"/>
      <c r="J394" s="270"/>
      <c r="K394" s="270"/>
      <c r="L394" s="270"/>
      <c r="M394" s="270"/>
      <c r="N394" s="270"/>
      <c r="O394" s="270"/>
      <c r="P394" s="270"/>
      <c r="Q394" s="270"/>
      <c r="R394" s="270"/>
      <c r="S394" s="270"/>
      <c r="T394" s="270"/>
      <c r="U394" s="269"/>
      <c r="V394" s="269"/>
      <c r="W394" s="269"/>
      <c r="X394" s="269"/>
      <c r="Y394" s="269"/>
      <c r="Z394" s="269"/>
      <c r="AA394" s="269"/>
      <c r="AB394" s="269"/>
      <c r="AC394" s="269"/>
      <c r="AD394" s="269"/>
      <c r="AE394" s="269"/>
      <c r="AF394" s="269"/>
      <c r="AG394" s="269"/>
      <c r="AH394" s="269"/>
      <c r="AI394" s="269"/>
    </row>
    <row r="395" spans="1:36" x14ac:dyDescent="0.3">
      <c r="A395" s="5"/>
      <c r="B395" s="5" t="s">
        <v>80</v>
      </c>
      <c r="C395" s="198" t="s">
        <v>11</v>
      </c>
      <c r="D395" s="230"/>
      <c r="E395" s="5">
        <f t="shared" ref="E395:AI395" ca="1" si="253">E331</f>
        <v>0</v>
      </c>
      <c r="F395" s="5">
        <f t="shared" ca="1" si="253"/>
        <v>28.450351351382608</v>
      </c>
      <c r="G395" s="5">
        <f t="shared" ca="1" si="253"/>
        <v>44.852208100825635</v>
      </c>
      <c r="H395" s="5">
        <f t="shared" ca="1" si="253"/>
        <v>45.317477940230916</v>
      </c>
      <c r="I395" s="5">
        <f t="shared" ca="1" si="253"/>
        <v>45.775084650991964</v>
      </c>
      <c r="J395" s="5">
        <f t="shared" ca="1" si="253"/>
        <v>46.223194141680501</v>
      </c>
      <c r="K395" s="5">
        <f t="shared" ca="1" si="253"/>
        <v>46.659896134097636</v>
      </c>
      <c r="L395" s="5">
        <f t="shared" ca="1" si="253"/>
        <v>47.083199995339719</v>
      </c>
      <c r="M395" s="5">
        <f t="shared" ca="1" si="253"/>
        <v>47.491030356284476</v>
      </c>
      <c r="N395" s="5">
        <f t="shared" ca="1" si="253"/>
        <v>47.881222505336879</v>
      </c>
      <c r="O395" s="5">
        <f t="shared" ca="1" si="253"/>
        <v>48.251517545692884</v>
      </c>
      <c r="P395" s="5">
        <f t="shared" ca="1" si="253"/>
        <v>48.59955730376592</v>
      </c>
      <c r="Q395" s="5">
        <f t="shared" ca="1" si="253"/>
        <v>48.922878975776541</v>
      </c>
      <c r="R395" s="5">
        <f t="shared" ca="1" si="253"/>
        <v>49.218909498827664</v>
      </c>
      <c r="S395" s="5">
        <f t="shared" ca="1" si="253"/>
        <v>49.484959632074009</v>
      </c>
      <c r="T395" s="5">
        <f t="shared" ca="1" si="253"/>
        <v>49.71821773284249</v>
      </c>
      <c r="U395" s="5">
        <f t="shared" ca="1" si="253"/>
        <v>76.678541290956332</v>
      </c>
      <c r="V395" s="5">
        <f t="shared" ca="1" si="253"/>
        <v>74.675647115299896</v>
      </c>
      <c r="W395" s="5">
        <f t="shared" ca="1" si="253"/>
        <v>71.91018754183537</v>
      </c>
      <c r="X395" s="5">
        <f t="shared" ca="1" si="253"/>
        <v>69.099329276745735</v>
      </c>
      <c r="Y395" s="5">
        <f t="shared" ca="1" si="253"/>
        <v>65.598945543862868</v>
      </c>
      <c r="Z395" s="5">
        <f t="shared" ca="1" si="253"/>
        <v>54.159917606885244</v>
      </c>
      <c r="AA395" s="5">
        <f t="shared" ca="1" si="253"/>
        <v>51.364473770403535</v>
      </c>
      <c r="AB395" s="5">
        <f t="shared" ca="1" si="253"/>
        <v>48.512015178272534</v>
      </c>
      <c r="AC395" s="5">
        <f t="shared" ca="1" si="253"/>
        <v>45.598538017828837</v>
      </c>
      <c r="AD395" s="5">
        <f t="shared" ca="1" si="253"/>
        <v>42.619845103510826</v>
      </c>
      <c r="AE395" s="5">
        <f t="shared" ca="1" si="253"/>
        <v>28.844392750351386</v>
      </c>
      <c r="AF395" s="5">
        <f t="shared" ca="1" si="253"/>
        <v>0</v>
      </c>
      <c r="AG395" s="5">
        <f t="shared" ca="1" si="253"/>
        <v>0</v>
      </c>
      <c r="AH395" s="5">
        <f t="shared" ca="1" si="253"/>
        <v>0</v>
      </c>
      <c r="AI395" s="5">
        <f t="shared" ca="1" si="253"/>
        <v>0</v>
      </c>
    </row>
    <row r="396" spans="1:36" x14ac:dyDescent="0.3">
      <c r="A396" s="5"/>
      <c r="B396" s="5" t="s">
        <v>4</v>
      </c>
      <c r="C396" s="198" t="s">
        <v>11</v>
      </c>
      <c r="D396" s="230"/>
      <c r="E396" s="5">
        <f t="shared" ref="E396:AI396" si="254">E322</f>
        <v>0</v>
      </c>
      <c r="F396" s="5">
        <f t="shared" ref="F396:AE396" ca="1" si="255">F322</f>
        <v>28.934333529846327</v>
      </c>
      <c r="G396" s="5">
        <f t="shared" ca="1" si="255"/>
        <v>58.027646914252252</v>
      </c>
      <c r="H396" s="5">
        <f t="shared" ca="1" si="255"/>
        <v>58.027646914252252</v>
      </c>
      <c r="I396" s="5">
        <f t="shared" ca="1" si="255"/>
        <v>58.027646914252252</v>
      </c>
      <c r="J396" s="5">
        <f t="shared" ca="1" si="255"/>
        <v>58.027646914252252</v>
      </c>
      <c r="K396" s="5">
        <f t="shared" ca="1" si="255"/>
        <v>58.027646914252252</v>
      </c>
      <c r="L396" s="5">
        <f t="shared" ca="1" si="255"/>
        <v>58.027646914252252</v>
      </c>
      <c r="M396" s="5">
        <f t="shared" ca="1" si="255"/>
        <v>58.027646914252252</v>
      </c>
      <c r="N396" s="5">
        <f t="shared" ca="1" si="255"/>
        <v>58.027646914252252</v>
      </c>
      <c r="O396" s="5">
        <f t="shared" ca="1" si="255"/>
        <v>58.027646914252252</v>
      </c>
      <c r="P396" s="5">
        <f t="shared" ca="1" si="255"/>
        <v>58.027646914252252</v>
      </c>
      <c r="Q396" s="5">
        <f t="shared" ca="1" si="255"/>
        <v>58.027646914252252</v>
      </c>
      <c r="R396" s="5">
        <f t="shared" ca="1" si="255"/>
        <v>58.027646914252252</v>
      </c>
      <c r="S396" s="5">
        <f t="shared" ca="1" si="255"/>
        <v>58.027646914252252</v>
      </c>
      <c r="T396" s="5">
        <f t="shared" ca="1" si="255"/>
        <v>58.027646914252252</v>
      </c>
      <c r="U396" s="5">
        <f t="shared" ca="1" si="255"/>
        <v>24.851240648502035</v>
      </c>
      <c r="V396" s="5">
        <f t="shared" ca="1" si="255"/>
        <v>24.851240648502035</v>
      </c>
      <c r="W396" s="5">
        <f t="shared" ca="1" si="255"/>
        <v>24.851240648502035</v>
      </c>
      <c r="X396" s="5">
        <f t="shared" ca="1" si="255"/>
        <v>24.851240648502035</v>
      </c>
      <c r="Y396" s="5">
        <f t="shared" ca="1" si="255"/>
        <v>24.851240648502035</v>
      </c>
      <c r="Z396" s="5">
        <f t="shared" ca="1" si="255"/>
        <v>24.851240648502035</v>
      </c>
      <c r="AA396" s="5">
        <f t="shared" ca="1" si="255"/>
        <v>24.851240648502035</v>
      </c>
      <c r="AB396" s="5">
        <f t="shared" ca="1" si="255"/>
        <v>24.851240648502035</v>
      </c>
      <c r="AC396" s="5">
        <f t="shared" ca="1" si="255"/>
        <v>24.851240648502035</v>
      </c>
      <c r="AD396" s="5">
        <f t="shared" ca="1" si="255"/>
        <v>24.851240648502035</v>
      </c>
      <c r="AE396" s="5">
        <f t="shared" ca="1" si="255"/>
        <v>12.425620324251017</v>
      </c>
      <c r="AF396" s="5">
        <f t="shared" si="254"/>
        <v>0</v>
      </c>
      <c r="AG396" s="5">
        <f t="shared" si="254"/>
        <v>0</v>
      </c>
      <c r="AH396" s="5">
        <f t="shared" si="254"/>
        <v>0</v>
      </c>
      <c r="AI396" s="5">
        <f t="shared" si="254"/>
        <v>0</v>
      </c>
    </row>
    <row r="397" spans="1:36" x14ac:dyDescent="0.3">
      <c r="A397" s="5"/>
      <c r="B397" s="229" t="s">
        <v>83</v>
      </c>
      <c r="C397" s="198" t="s">
        <v>11</v>
      </c>
      <c r="D397" s="230"/>
      <c r="E397" s="5">
        <f t="shared" ref="E397:AI397" ca="1" si="256">E324</f>
        <v>0</v>
      </c>
      <c r="F397" s="5">
        <f t="shared" ca="1" si="256"/>
        <v>18.672217381508435</v>
      </c>
      <c r="G397" s="5">
        <f t="shared" ca="1" si="256"/>
        <v>48.708431671063991</v>
      </c>
      <c r="H397" s="5">
        <f t="shared" ca="1" si="256"/>
        <v>45.229257980273701</v>
      </c>
      <c r="I397" s="5">
        <f t="shared" ca="1" si="256"/>
        <v>41.750084289483418</v>
      </c>
      <c r="J397" s="5">
        <f t="shared" ca="1" si="256"/>
        <v>38.270910598693128</v>
      </c>
      <c r="K397" s="5">
        <f t="shared" ca="1" si="256"/>
        <v>34.791736907902845</v>
      </c>
      <c r="L397" s="5">
        <f t="shared" ca="1" si="256"/>
        <v>31.312563217112558</v>
      </c>
      <c r="M397" s="5">
        <f t="shared" ca="1" si="256"/>
        <v>27.833389526322271</v>
      </c>
      <c r="N397" s="5">
        <f t="shared" ca="1" si="256"/>
        <v>24.354215835531988</v>
      </c>
      <c r="O397" s="5">
        <f t="shared" ca="1" si="256"/>
        <v>20.875042144741702</v>
      </c>
      <c r="P397" s="5">
        <f t="shared" ca="1" si="256"/>
        <v>17.395868453951422</v>
      </c>
      <c r="Q397" s="5">
        <f t="shared" ca="1" si="256"/>
        <v>13.916694763161136</v>
      </c>
      <c r="R397" s="5">
        <f t="shared" ca="1" si="256"/>
        <v>10.437521072370851</v>
      </c>
      <c r="S397" s="5">
        <f t="shared" ca="1" si="256"/>
        <v>6.9583473815805652</v>
      </c>
      <c r="T397" s="5">
        <f t="shared" ca="1" si="256"/>
        <v>3.4791736907902795</v>
      </c>
      <c r="U397" s="5">
        <f t="shared" ca="1" si="256"/>
        <v>0.86979342269756865</v>
      </c>
      <c r="V397" s="5">
        <f t="shared" ca="1" si="256"/>
        <v>0</v>
      </c>
      <c r="W397" s="5">
        <f t="shared" ca="1" si="256"/>
        <v>0</v>
      </c>
      <c r="X397" s="5">
        <f t="shared" ca="1" si="256"/>
        <v>0</v>
      </c>
      <c r="Y397" s="5">
        <f t="shared" ca="1" si="256"/>
        <v>0</v>
      </c>
      <c r="Z397" s="5">
        <f t="shared" ca="1" si="256"/>
        <v>0</v>
      </c>
      <c r="AA397" s="5">
        <f t="shared" ca="1" si="256"/>
        <v>0</v>
      </c>
      <c r="AB397" s="5">
        <f t="shared" ca="1" si="256"/>
        <v>0</v>
      </c>
      <c r="AC397" s="5">
        <f t="shared" ca="1" si="256"/>
        <v>0</v>
      </c>
      <c r="AD397" s="5">
        <f t="shared" ca="1" si="256"/>
        <v>0</v>
      </c>
      <c r="AE397" s="5">
        <f t="shared" ca="1" si="256"/>
        <v>0</v>
      </c>
      <c r="AF397" s="5">
        <f t="shared" ca="1" si="256"/>
        <v>0</v>
      </c>
      <c r="AG397" s="5">
        <f t="shared" ca="1" si="256"/>
        <v>0</v>
      </c>
      <c r="AH397" s="5">
        <f t="shared" ca="1" si="256"/>
        <v>0</v>
      </c>
      <c r="AI397" s="5">
        <f t="shared" ca="1" si="256"/>
        <v>0</v>
      </c>
    </row>
    <row r="398" spans="1:36" x14ac:dyDescent="0.3">
      <c r="A398" s="5"/>
      <c r="B398" s="677" t="s">
        <v>10</v>
      </c>
      <c r="C398" s="200" t="s">
        <v>11</v>
      </c>
      <c r="D398" s="230"/>
      <c r="E398" s="5">
        <f t="shared" ref="E398:AI398" ca="1" si="257">SUM(E395:E397)</f>
        <v>0</v>
      </c>
      <c r="F398" s="5">
        <f t="shared" ca="1" si="257"/>
        <v>76.056902262737367</v>
      </c>
      <c r="G398" s="5">
        <f t="shared" ca="1" si="257"/>
        <v>151.58828668614188</v>
      </c>
      <c r="H398" s="5">
        <f t="shared" ca="1" si="257"/>
        <v>148.57438283475688</v>
      </c>
      <c r="I398" s="5">
        <f t="shared" ca="1" si="257"/>
        <v>145.55281585472764</v>
      </c>
      <c r="J398" s="5">
        <f t="shared" ca="1" si="257"/>
        <v>142.52175165462589</v>
      </c>
      <c r="K398" s="5">
        <f t="shared" ca="1" si="257"/>
        <v>139.47927995625273</v>
      </c>
      <c r="L398" s="5">
        <f t="shared" ca="1" si="257"/>
        <v>136.42341012670454</v>
      </c>
      <c r="M398" s="5">
        <f t="shared" ca="1" si="257"/>
        <v>133.35206679685899</v>
      </c>
      <c r="N398" s="5">
        <f t="shared" ca="1" si="257"/>
        <v>130.26308525512113</v>
      </c>
      <c r="O398" s="5">
        <f t="shared" ca="1" si="257"/>
        <v>127.15420660468683</v>
      </c>
      <c r="P398" s="5">
        <f t="shared" ca="1" si="257"/>
        <v>124.02307267196959</v>
      </c>
      <c r="Q398" s="5">
        <f t="shared" ca="1" si="257"/>
        <v>120.86722065318992</v>
      </c>
      <c r="R398" s="5">
        <f t="shared" ca="1" si="257"/>
        <v>117.68407748545077</v>
      </c>
      <c r="S398" s="5">
        <f t="shared" ca="1" si="257"/>
        <v>114.47095392790682</v>
      </c>
      <c r="T398" s="5">
        <f t="shared" ca="1" si="257"/>
        <v>111.22503833788502</v>
      </c>
      <c r="U398" s="5">
        <f t="shared" ca="1" si="257"/>
        <v>102.39957536215593</v>
      </c>
      <c r="V398" s="5">
        <f t="shared" ca="1" si="257"/>
        <v>99.526887763801938</v>
      </c>
      <c r="W398" s="5">
        <f t="shared" ca="1" si="257"/>
        <v>96.761428190337398</v>
      </c>
      <c r="X398" s="5">
        <f t="shared" ca="1" si="257"/>
        <v>93.950569925247777</v>
      </c>
      <c r="Y398" s="5">
        <f t="shared" ca="1" si="257"/>
        <v>90.450186192364896</v>
      </c>
      <c r="Z398" s="5">
        <f t="shared" ca="1" si="257"/>
        <v>79.011158255387272</v>
      </c>
      <c r="AA398" s="5">
        <f t="shared" ca="1" si="257"/>
        <v>76.215714418905577</v>
      </c>
      <c r="AB398" s="5">
        <f t="shared" ca="1" si="257"/>
        <v>73.363255826774576</v>
      </c>
      <c r="AC398" s="5">
        <f t="shared" ca="1" si="257"/>
        <v>70.449778666330872</v>
      </c>
      <c r="AD398" s="5">
        <f t="shared" ca="1" si="257"/>
        <v>67.471085752012868</v>
      </c>
      <c r="AE398" s="5">
        <f t="shared" ca="1" si="257"/>
        <v>41.270013074602403</v>
      </c>
      <c r="AF398" s="5">
        <f t="shared" ca="1" si="257"/>
        <v>0</v>
      </c>
      <c r="AG398" s="5">
        <f t="shared" ca="1" si="257"/>
        <v>0</v>
      </c>
      <c r="AH398" s="5">
        <f t="shared" ca="1" si="257"/>
        <v>0</v>
      </c>
      <c r="AI398" s="5">
        <f t="shared" ca="1" si="257"/>
        <v>0</v>
      </c>
    </row>
    <row r="399" spans="1:36" x14ac:dyDescent="0.3">
      <c r="A399" s="5"/>
      <c r="B399" s="5"/>
      <c r="C399" s="198"/>
      <c r="D399" s="230"/>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row>
    <row r="400" spans="1:36" x14ac:dyDescent="0.3">
      <c r="A400" s="5"/>
      <c r="B400" s="229" t="s">
        <v>83</v>
      </c>
      <c r="C400" s="198" t="s">
        <v>11</v>
      </c>
      <c r="D400" s="230"/>
      <c r="E400" s="5">
        <f t="shared" ref="E400:AI400" ca="1" si="258">E324</f>
        <v>0</v>
      </c>
      <c r="F400" s="5">
        <f t="shared" ca="1" si="258"/>
        <v>18.672217381508435</v>
      </c>
      <c r="G400" s="5">
        <f t="shared" ca="1" si="258"/>
        <v>48.708431671063991</v>
      </c>
      <c r="H400" s="5">
        <f t="shared" ca="1" si="258"/>
        <v>45.229257980273701</v>
      </c>
      <c r="I400" s="5">
        <f t="shared" ca="1" si="258"/>
        <v>41.750084289483418</v>
      </c>
      <c r="J400" s="5">
        <f t="shared" ca="1" si="258"/>
        <v>38.270910598693128</v>
      </c>
      <c r="K400" s="5">
        <f t="shared" ca="1" si="258"/>
        <v>34.791736907902845</v>
      </c>
      <c r="L400" s="5">
        <f t="shared" ca="1" si="258"/>
        <v>31.312563217112558</v>
      </c>
      <c r="M400" s="5">
        <f t="shared" ca="1" si="258"/>
        <v>27.833389526322271</v>
      </c>
      <c r="N400" s="5">
        <f t="shared" ca="1" si="258"/>
        <v>24.354215835531988</v>
      </c>
      <c r="O400" s="5">
        <f t="shared" ca="1" si="258"/>
        <v>20.875042144741702</v>
      </c>
      <c r="P400" s="5">
        <f t="shared" ca="1" si="258"/>
        <v>17.395868453951422</v>
      </c>
      <c r="Q400" s="5">
        <f t="shared" ca="1" si="258"/>
        <v>13.916694763161136</v>
      </c>
      <c r="R400" s="5">
        <f t="shared" ca="1" si="258"/>
        <v>10.437521072370851</v>
      </c>
      <c r="S400" s="5">
        <f t="shared" ca="1" si="258"/>
        <v>6.9583473815805652</v>
      </c>
      <c r="T400" s="5">
        <f t="shared" ca="1" si="258"/>
        <v>3.4791736907902795</v>
      </c>
      <c r="U400" s="5">
        <f t="shared" ca="1" si="258"/>
        <v>0.86979342269756865</v>
      </c>
      <c r="V400" s="5">
        <f t="shared" ca="1" si="258"/>
        <v>0</v>
      </c>
      <c r="W400" s="5">
        <f t="shared" ca="1" si="258"/>
        <v>0</v>
      </c>
      <c r="X400" s="5">
        <f t="shared" ca="1" si="258"/>
        <v>0</v>
      </c>
      <c r="Y400" s="5">
        <f t="shared" ca="1" si="258"/>
        <v>0</v>
      </c>
      <c r="Z400" s="5">
        <f t="shared" ca="1" si="258"/>
        <v>0</v>
      </c>
      <c r="AA400" s="5">
        <f t="shared" ca="1" si="258"/>
        <v>0</v>
      </c>
      <c r="AB400" s="5">
        <f t="shared" ca="1" si="258"/>
        <v>0</v>
      </c>
      <c r="AC400" s="5">
        <f t="shared" ca="1" si="258"/>
        <v>0</v>
      </c>
      <c r="AD400" s="5">
        <f t="shared" ca="1" si="258"/>
        <v>0</v>
      </c>
      <c r="AE400" s="5">
        <f t="shared" ca="1" si="258"/>
        <v>0</v>
      </c>
      <c r="AF400" s="5">
        <f t="shared" ca="1" si="258"/>
        <v>0</v>
      </c>
      <c r="AG400" s="5">
        <f t="shared" ca="1" si="258"/>
        <v>0</v>
      </c>
      <c r="AH400" s="5">
        <f t="shared" ca="1" si="258"/>
        <v>0</v>
      </c>
      <c r="AI400" s="5">
        <f t="shared" ca="1" si="258"/>
        <v>0</v>
      </c>
    </row>
    <row r="401" spans="1:35" x14ac:dyDescent="0.3">
      <c r="A401" s="5"/>
      <c r="B401" s="5" t="s">
        <v>87</v>
      </c>
      <c r="C401" s="198" t="s">
        <v>11</v>
      </c>
      <c r="D401" s="230"/>
      <c r="E401" s="5">
        <f t="shared" ref="E401" si="259">-E352-E353</f>
        <v>0</v>
      </c>
      <c r="F401" s="5">
        <f t="shared" ref="F401:AI401" ca="1" si="260">-F352-F353</f>
        <v>28.993114089919043</v>
      </c>
      <c r="G401" s="5">
        <f t="shared" ca="1" si="260"/>
        <v>57.986228179838086</v>
      </c>
      <c r="H401" s="5">
        <f t="shared" ca="1" si="260"/>
        <v>57.986228179838086</v>
      </c>
      <c r="I401" s="5">
        <f t="shared" ca="1" si="260"/>
        <v>57.986228179838086</v>
      </c>
      <c r="J401" s="5">
        <f t="shared" ca="1" si="260"/>
        <v>57.986228179838086</v>
      </c>
      <c r="K401" s="5">
        <f t="shared" ca="1" si="260"/>
        <v>57.986228179838086</v>
      </c>
      <c r="L401" s="5">
        <f t="shared" ca="1" si="260"/>
        <v>57.986228179838086</v>
      </c>
      <c r="M401" s="5">
        <f t="shared" ca="1" si="260"/>
        <v>57.986228179838086</v>
      </c>
      <c r="N401" s="5">
        <f t="shared" ca="1" si="260"/>
        <v>57.986228179838086</v>
      </c>
      <c r="O401" s="5">
        <f t="shared" ca="1" si="260"/>
        <v>57.986228179838086</v>
      </c>
      <c r="P401" s="5">
        <f t="shared" ca="1" si="260"/>
        <v>57.986228179838086</v>
      </c>
      <c r="Q401" s="5">
        <f t="shared" ca="1" si="260"/>
        <v>57.986228179838086</v>
      </c>
      <c r="R401" s="5">
        <f t="shared" ca="1" si="260"/>
        <v>57.986228179838086</v>
      </c>
      <c r="S401" s="5">
        <f t="shared" ca="1" si="260"/>
        <v>57.986228179838086</v>
      </c>
      <c r="T401" s="5">
        <f t="shared" ca="1" si="260"/>
        <v>57.986228179838086</v>
      </c>
      <c r="U401" s="5">
        <f t="shared" ca="1" si="260"/>
        <v>28.993114089918954</v>
      </c>
      <c r="V401" s="5">
        <f t="shared" ca="1" si="260"/>
        <v>0</v>
      </c>
      <c r="W401" s="5">
        <f t="shared" ca="1" si="260"/>
        <v>0</v>
      </c>
      <c r="X401" s="5">
        <f t="shared" ca="1" si="260"/>
        <v>0</v>
      </c>
      <c r="Y401" s="5">
        <f t="shared" ca="1" si="260"/>
        <v>0</v>
      </c>
      <c r="Z401" s="5">
        <f t="shared" ca="1" si="260"/>
        <v>0</v>
      </c>
      <c r="AA401" s="5">
        <f t="shared" ca="1" si="260"/>
        <v>0</v>
      </c>
      <c r="AB401" s="5">
        <f t="shared" ca="1" si="260"/>
        <v>0</v>
      </c>
      <c r="AC401" s="5">
        <f t="shared" ca="1" si="260"/>
        <v>0</v>
      </c>
      <c r="AD401" s="5">
        <f t="shared" ca="1" si="260"/>
        <v>0</v>
      </c>
      <c r="AE401" s="5">
        <f t="shared" ca="1" si="260"/>
        <v>0</v>
      </c>
      <c r="AF401" s="5">
        <f t="shared" ca="1" si="260"/>
        <v>0</v>
      </c>
      <c r="AG401" s="5">
        <f t="shared" ca="1" si="260"/>
        <v>0</v>
      </c>
      <c r="AH401" s="5">
        <f t="shared" ca="1" si="260"/>
        <v>0</v>
      </c>
      <c r="AI401" s="5">
        <f t="shared" ca="1" si="260"/>
        <v>0</v>
      </c>
    </row>
    <row r="402" spans="1:35" x14ac:dyDescent="0.3">
      <c r="A402" s="5"/>
      <c r="B402" s="677" t="s">
        <v>10</v>
      </c>
      <c r="C402" s="200" t="s">
        <v>11</v>
      </c>
      <c r="D402" s="678"/>
      <c r="E402" s="5">
        <f t="shared" ref="E402:AI402" ca="1" si="261">ROUND(SUM(E400:E401),0)</f>
        <v>0</v>
      </c>
      <c r="F402" s="5">
        <f t="shared" ca="1" si="261"/>
        <v>48</v>
      </c>
      <c r="G402" s="5">
        <f t="shared" ca="1" si="261"/>
        <v>107</v>
      </c>
      <c r="H402" s="5">
        <f t="shared" ca="1" si="261"/>
        <v>103</v>
      </c>
      <c r="I402" s="5">
        <f t="shared" ca="1" si="261"/>
        <v>100</v>
      </c>
      <c r="J402" s="5">
        <f t="shared" ca="1" si="261"/>
        <v>96</v>
      </c>
      <c r="K402" s="5">
        <f t="shared" ca="1" si="261"/>
        <v>93</v>
      </c>
      <c r="L402" s="5">
        <f t="shared" ca="1" si="261"/>
        <v>89</v>
      </c>
      <c r="M402" s="5">
        <f t="shared" ca="1" si="261"/>
        <v>86</v>
      </c>
      <c r="N402" s="5">
        <f t="shared" ca="1" si="261"/>
        <v>82</v>
      </c>
      <c r="O402" s="5">
        <f t="shared" ca="1" si="261"/>
        <v>79</v>
      </c>
      <c r="P402" s="5">
        <f t="shared" ca="1" si="261"/>
        <v>75</v>
      </c>
      <c r="Q402" s="5">
        <f t="shared" ca="1" si="261"/>
        <v>72</v>
      </c>
      <c r="R402" s="5">
        <f t="shared" ca="1" si="261"/>
        <v>68</v>
      </c>
      <c r="S402" s="5">
        <f t="shared" ca="1" si="261"/>
        <v>65</v>
      </c>
      <c r="T402" s="5">
        <f t="shared" ca="1" si="261"/>
        <v>61</v>
      </c>
      <c r="U402" s="5">
        <f t="shared" ca="1" si="261"/>
        <v>30</v>
      </c>
      <c r="V402" s="5">
        <f t="shared" ca="1" si="261"/>
        <v>0</v>
      </c>
      <c r="W402" s="5">
        <f t="shared" ca="1" si="261"/>
        <v>0</v>
      </c>
      <c r="X402" s="5">
        <f t="shared" ca="1" si="261"/>
        <v>0</v>
      </c>
      <c r="Y402" s="5">
        <f t="shared" ca="1" si="261"/>
        <v>0</v>
      </c>
      <c r="Z402" s="5">
        <f t="shared" ca="1" si="261"/>
        <v>0</v>
      </c>
      <c r="AA402" s="5">
        <f t="shared" ca="1" si="261"/>
        <v>0</v>
      </c>
      <c r="AB402" s="5">
        <f t="shared" ca="1" si="261"/>
        <v>0</v>
      </c>
      <c r="AC402" s="5">
        <f t="shared" ca="1" si="261"/>
        <v>0</v>
      </c>
      <c r="AD402" s="5">
        <f t="shared" ca="1" si="261"/>
        <v>0</v>
      </c>
      <c r="AE402" s="5">
        <f t="shared" ca="1" si="261"/>
        <v>0</v>
      </c>
      <c r="AF402" s="5">
        <f t="shared" ca="1" si="261"/>
        <v>0</v>
      </c>
      <c r="AG402" s="5">
        <f t="shared" ca="1" si="261"/>
        <v>0</v>
      </c>
      <c r="AH402" s="5">
        <f t="shared" ca="1" si="261"/>
        <v>0</v>
      </c>
      <c r="AI402" s="5">
        <f t="shared" ca="1" si="261"/>
        <v>0</v>
      </c>
    </row>
    <row r="403" spans="1:35" x14ac:dyDescent="0.3">
      <c r="A403" s="5"/>
      <c r="B403" s="5"/>
      <c r="C403" s="174"/>
      <c r="D403" s="64"/>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row>
    <row r="404" spans="1:35" x14ac:dyDescent="0.3">
      <c r="A404" s="217"/>
      <c r="B404" s="679" t="s">
        <v>86</v>
      </c>
      <c r="C404" s="174" t="s">
        <v>28</v>
      </c>
      <c r="D404" s="64"/>
      <c r="E404" s="5">
        <f t="shared" ref="E404:AI404" ca="1" si="262">IF(E402,E398/E402,0)</f>
        <v>0</v>
      </c>
      <c r="F404" s="5">
        <f t="shared" ca="1" si="262"/>
        <v>1.5845187971403618</v>
      </c>
      <c r="G404" s="5">
        <f t="shared" ca="1" si="262"/>
        <v>1.416712959683569</v>
      </c>
      <c r="H404" s="5">
        <f t="shared" ca="1" si="262"/>
        <v>1.4424697362597756</v>
      </c>
      <c r="I404" s="5">
        <f t="shared" ca="1" si="262"/>
        <v>1.4555281585472764</v>
      </c>
      <c r="J404" s="5">
        <f t="shared" ca="1" si="262"/>
        <v>1.4846015797356864</v>
      </c>
      <c r="K404" s="5">
        <f t="shared" ca="1" si="262"/>
        <v>1.4997772038306745</v>
      </c>
      <c r="L404" s="5">
        <f t="shared" ca="1" si="262"/>
        <v>1.5328473047944331</v>
      </c>
      <c r="M404" s="5">
        <f t="shared" ca="1" si="262"/>
        <v>1.5506054278704533</v>
      </c>
      <c r="N404" s="5">
        <f t="shared" ca="1" si="262"/>
        <v>1.5885742104283065</v>
      </c>
      <c r="O404" s="5">
        <f t="shared" ca="1" si="262"/>
        <v>1.6095469190466687</v>
      </c>
      <c r="P404" s="5">
        <f t="shared" ca="1" si="262"/>
        <v>1.6536409689595946</v>
      </c>
      <c r="Q404" s="5">
        <f t="shared" ca="1" si="262"/>
        <v>1.6787113979609711</v>
      </c>
      <c r="R404" s="5">
        <f t="shared" ca="1" si="262"/>
        <v>1.7306481983154525</v>
      </c>
      <c r="S404" s="5">
        <f t="shared" ca="1" si="262"/>
        <v>1.7610915988908742</v>
      </c>
      <c r="T404" s="5">
        <f t="shared" ca="1" si="262"/>
        <v>1.8233612842276234</v>
      </c>
      <c r="U404" s="5">
        <f t="shared" ca="1" si="262"/>
        <v>3.4133191787385311</v>
      </c>
      <c r="V404" s="5">
        <f t="shared" ca="1" si="262"/>
        <v>0</v>
      </c>
      <c r="W404" s="5">
        <f t="shared" ca="1" si="262"/>
        <v>0</v>
      </c>
      <c r="X404" s="5">
        <f t="shared" ca="1" si="262"/>
        <v>0</v>
      </c>
      <c r="Y404" s="5">
        <f t="shared" ca="1" si="262"/>
        <v>0</v>
      </c>
      <c r="Z404" s="5">
        <f t="shared" ca="1" si="262"/>
        <v>0</v>
      </c>
      <c r="AA404" s="5">
        <f t="shared" ca="1" si="262"/>
        <v>0</v>
      </c>
      <c r="AB404" s="5">
        <f t="shared" ca="1" si="262"/>
        <v>0</v>
      </c>
      <c r="AC404" s="5">
        <f t="shared" ca="1" si="262"/>
        <v>0</v>
      </c>
      <c r="AD404" s="5">
        <f t="shared" ca="1" si="262"/>
        <v>0</v>
      </c>
      <c r="AE404" s="5">
        <f t="shared" ca="1" si="262"/>
        <v>0</v>
      </c>
      <c r="AF404" s="5">
        <f t="shared" ca="1" si="262"/>
        <v>0</v>
      </c>
      <c r="AG404" s="5">
        <f t="shared" ca="1" si="262"/>
        <v>0</v>
      </c>
      <c r="AH404" s="5">
        <f t="shared" ca="1" si="262"/>
        <v>0</v>
      </c>
      <c r="AI404" s="5">
        <f t="shared" ca="1" si="262"/>
        <v>0</v>
      </c>
    </row>
    <row r="405" spans="1:35" x14ac:dyDescent="0.3">
      <c r="A405" s="217"/>
      <c r="B405" s="679" t="s">
        <v>85</v>
      </c>
      <c r="C405" s="174" t="s">
        <v>28</v>
      </c>
      <c r="D405" s="271">
        <f ca="1">SUM(E398:AF398)/SUM(E402:AF402)</f>
        <v>2.2409140387056916</v>
      </c>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row>
    <row r="406" spans="1:35" x14ac:dyDescent="0.3">
      <c r="A406" s="5"/>
      <c r="B406" s="679" t="s">
        <v>84</v>
      </c>
      <c r="C406" s="174" t="s">
        <v>28</v>
      </c>
      <c r="D406" s="271">
        <v>0</v>
      </c>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row>
    <row r="407" spans="1:35" x14ac:dyDescent="0.3">
      <c r="A407" s="5"/>
      <c r="B407" s="5"/>
      <c r="C407" s="265"/>
      <c r="D407" s="230"/>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row>
    <row r="408" spans="1:35" x14ac:dyDescent="0.3">
      <c r="A408" s="266" t="s">
        <v>205</v>
      </c>
      <c r="B408" s="267"/>
      <c r="C408" s="268"/>
      <c r="D408" s="269"/>
      <c r="E408" s="270"/>
      <c r="F408" s="270"/>
      <c r="G408" s="270"/>
      <c r="H408" s="270"/>
      <c r="I408" s="270"/>
      <c r="J408" s="270"/>
      <c r="K408" s="270"/>
      <c r="L408" s="270"/>
      <c r="M408" s="270"/>
      <c r="N408" s="270"/>
      <c r="O408" s="270"/>
      <c r="P408" s="270"/>
      <c r="Q408" s="270"/>
      <c r="R408" s="270"/>
      <c r="S408" s="270"/>
      <c r="T408" s="270"/>
      <c r="U408" s="269"/>
      <c r="V408" s="269"/>
      <c r="W408" s="269"/>
      <c r="X408" s="269"/>
      <c r="Y408" s="269"/>
      <c r="Z408" s="269"/>
      <c r="AA408" s="269"/>
      <c r="AB408" s="269"/>
      <c r="AC408" s="269"/>
      <c r="AD408" s="269"/>
      <c r="AE408" s="269"/>
      <c r="AF408" s="269"/>
      <c r="AG408" s="269"/>
      <c r="AH408" s="269"/>
      <c r="AI408" s="269"/>
    </row>
    <row r="409" spans="1:35" x14ac:dyDescent="0.3">
      <c r="A409" s="5"/>
      <c r="B409" s="264" t="s">
        <v>80</v>
      </c>
      <c r="C409" s="198" t="s">
        <v>11</v>
      </c>
      <c r="D409" s="64"/>
      <c r="E409" s="5">
        <f t="shared" ref="E409:AI409" ca="1" si="263">E331</f>
        <v>0</v>
      </c>
      <c r="F409" s="5">
        <f t="shared" ca="1" si="263"/>
        <v>28.450351351382608</v>
      </c>
      <c r="G409" s="5">
        <f t="shared" ca="1" si="263"/>
        <v>44.852208100825635</v>
      </c>
      <c r="H409" s="5">
        <f t="shared" ca="1" si="263"/>
        <v>45.317477940230916</v>
      </c>
      <c r="I409" s="5">
        <f t="shared" ca="1" si="263"/>
        <v>45.775084650991964</v>
      </c>
      <c r="J409" s="5">
        <f t="shared" ca="1" si="263"/>
        <v>46.223194141680501</v>
      </c>
      <c r="K409" s="5">
        <f t="shared" ca="1" si="263"/>
        <v>46.659896134097636</v>
      </c>
      <c r="L409" s="5">
        <f t="shared" ca="1" si="263"/>
        <v>47.083199995339719</v>
      </c>
      <c r="M409" s="5">
        <f t="shared" ca="1" si="263"/>
        <v>47.491030356284476</v>
      </c>
      <c r="N409" s="5">
        <f t="shared" ca="1" si="263"/>
        <v>47.881222505336879</v>
      </c>
      <c r="O409" s="5">
        <f t="shared" ca="1" si="263"/>
        <v>48.251517545692884</v>
      </c>
      <c r="P409" s="5">
        <f t="shared" ca="1" si="263"/>
        <v>48.59955730376592</v>
      </c>
      <c r="Q409" s="5">
        <f t="shared" ca="1" si="263"/>
        <v>48.922878975776541</v>
      </c>
      <c r="R409" s="5">
        <f t="shared" ca="1" si="263"/>
        <v>49.218909498827664</v>
      </c>
      <c r="S409" s="5">
        <f t="shared" ca="1" si="263"/>
        <v>49.484959632074009</v>
      </c>
      <c r="T409" s="5">
        <f t="shared" ca="1" si="263"/>
        <v>49.71821773284249</v>
      </c>
      <c r="U409" s="5">
        <f t="shared" ca="1" si="263"/>
        <v>76.678541290956332</v>
      </c>
      <c r="V409" s="5">
        <f t="shared" ca="1" si="263"/>
        <v>74.675647115299896</v>
      </c>
      <c r="W409" s="5">
        <f t="shared" ca="1" si="263"/>
        <v>71.91018754183537</v>
      </c>
      <c r="X409" s="5">
        <f t="shared" ca="1" si="263"/>
        <v>69.099329276745735</v>
      </c>
      <c r="Y409" s="5">
        <f t="shared" ca="1" si="263"/>
        <v>65.598945543862868</v>
      </c>
      <c r="Z409" s="5">
        <f t="shared" ca="1" si="263"/>
        <v>54.159917606885244</v>
      </c>
      <c r="AA409" s="5">
        <f t="shared" ca="1" si="263"/>
        <v>51.364473770403535</v>
      </c>
      <c r="AB409" s="5">
        <f t="shared" ca="1" si="263"/>
        <v>48.512015178272534</v>
      </c>
      <c r="AC409" s="5">
        <f t="shared" ca="1" si="263"/>
        <v>45.598538017828837</v>
      </c>
      <c r="AD409" s="5">
        <f t="shared" ca="1" si="263"/>
        <v>42.619845103510826</v>
      </c>
      <c r="AE409" s="5">
        <f t="shared" ca="1" si="263"/>
        <v>28.844392750351386</v>
      </c>
      <c r="AF409" s="5">
        <f t="shared" ca="1" si="263"/>
        <v>0</v>
      </c>
      <c r="AG409" s="5">
        <f t="shared" ca="1" si="263"/>
        <v>0</v>
      </c>
      <c r="AH409" s="5">
        <f t="shared" ca="1" si="263"/>
        <v>0</v>
      </c>
      <c r="AI409" s="5">
        <f t="shared" ca="1" si="263"/>
        <v>0</v>
      </c>
    </row>
    <row r="410" spans="1:35" x14ac:dyDescent="0.3">
      <c r="A410" s="5"/>
      <c r="B410" s="264" t="s">
        <v>4</v>
      </c>
      <c r="C410" s="198" t="s">
        <v>11</v>
      </c>
      <c r="D410" s="64"/>
      <c r="E410" s="5">
        <f t="shared" ref="E410:AI410" si="264">E322</f>
        <v>0</v>
      </c>
      <c r="F410" s="5">
        <f t="shared" ref="F410:AE410" ca="1" si="265">F322</f>
        <v>28.934333529846327</v>
      </c>
      <c r="G410" s="5">
        <f t="shared" ca="1" si="265"/>
        <v>58.027646914252252</v>
      </c>
      <c r="H410" s="5">
        <f t="shared" ca="1" si="265"/>
        <v>58.027646914252252</v>
      </c>
      <c r="I410" s="5">
        <f t="shared" ca="1" si="265"/>
        <v>58.027646914252252</v>
      </c>
      <c r="J410" s="5">
        <f t="shared" ca="1" si="265"/>
        <v>58.027646914252252</v>
      </c>
      <c r="K410" s="5">
        <f t="shared" ca="1" si="265"/>
        <v>58.027646914252252</v>
      </c>
      <c r="L410" s="5">
        <f t="shared" ca="1" si="265"/>
        <v>58.027646914252252</v>
      </c>
      <c r="M410" s="5">
        <f t="shared" ca="1" si="265"/>
        <v>58.027646914252252</v>
      </c>
      <c r="N410" s="5">
        <f t="shared" ca="1" si="265"/>
        <v>58.027646914252252</v>
      </c>
      <c r="O410" s="5">
        <f t="shared" ca="1" si="265"/>
        <v>58.027646914252252</v>
      </c>
      <c r="P410" s="5">
        <f t="shared" ca="1" si="265"/>
        <v>58.027646914252252</v>
      </c>
      <c r="Q410" s="5">
        <f t="shared" ca="1" si="265"/>
        <v>58.027646914252252</v>
      </c>
      <c r="R410" s="5">
        <f t="shared" ca="1" si="265"/>
        <v>58.027646914252252</v>
      </c>
      <c r="S410" s="5">
        <f t="shared" ca="1" si="265"/>
        <v>58.027646914252252</v>
      </c>
      <c r="T410" s="5">
        <f t="shared" ca="1" si="265"/>
        <v>58.027646914252252</v>
      </c>
      <c r="U410" s="5">
        <f t="shared" ca="1" si="265"/>
        <v>24.851240648502035</v>
      </c>
      <c r="V410" s="5">
        <f t="shared" ca="1" si="265"/>
        <v>24.851240648502035</v>
      </c>
      <c r="W410" s="5">
        <f t="shared" ca="1" si="265"/>
        <v>24.851240648502035</v>
      </c>
      <c r="X410" s="5">
        <f t="shared" ca="1" si="265"/>
        <v>24.851240648502035</v>
      </c>
      <c r="Y410" s="5">
        <f t="shared" ca="1" si="265"/>
        <v>24.851240648502035</v>
      </c>
      <c r="Z410" s="5">
        <f t="shared" ca="1" si="265"/>
        <v>24.851240648502035</v>
      </c>
      <c r="AA410" s="5">
        <f t="shared" ca="1" si="265"/>
        <v>24.851240648502035</v>
      </c>
      <c r="AB410" s="5">
        <f t="shared" ca="1" si="265"/>
        <v>24.851240648502035</v>
      </c>
      <c r="AC410" s="5">
        <f t="shared" ca="1" si="265"/>
        <v>24.851240648502035</v>
      </c>
      <c r="AD410" s="5">
        <f t="shared" ca="1" si="265"/>
        <v>24.851240648502035</v>
      </c>
      <c r="AE410" s="5">
        <f t="shared" ca="1" si="265"/>
        <v>12.425620324251017</v>
      </c>
      <c r="AF410" s="5">
        <f t="shared" si="264"/>
        <v>0</v>
      </c>
      <c r="AG410" s="5">
        <f t="shared" si="264"/>
        <v>0</v>
      </c>
      <c r="AH410" s="5">
        <f t="shared" si="264"/>
        <v>0</v>
      </c>
      <c r="AI410" s="5">
        <f t="shared" si="264"/>
        <v>0</v>
      </c>
    </row>
    <row r="411" spans="1:35" x14ac:dyDescent="0.3">
      <c r="A411" s="5"/>
      <c r="B411" s="264" t="s">
        <v>208</v>
      </c>
      <c r="C411" s="198" t="s">
        <v>11</v>
      </c>
      <c r="D411" s="64"/>
      <c r="E411" s="5">
        <f t="shared" ref="E411:AI411" ca="1" si="266">-IF(E329,SUM(E324:E326)*E330/E329,0)</f>
        <v>0</v>
      </c>
      <c r="F411" s="5">
        <f t="shared" ca="1" si="266"/>
        <v>-3.3936623899294616</v>
      </c>
      <c r="G411" s="5">
        <f t="shared" ca="1" si="266"/>
        <v>-8.7355623441454071</v>
      </c>
      <c r="H411" s="5">
        <f t="shared" ca="1" si="266"/>
        <v>-8.1368901042636406</v>
      </c>
      <c r="I411" s="5">
        <f t="shared" ca="1" si="266"/>
        <v>-7.5383932152382309</v>
      </c>
      <c r="J411" s="5">
        <f t="shared" ca="1" si="266"/>
        <v>-6.9400773717889779</v>
      </c>
      <c r="K411" s="5">
        <f t="shared" ca="1" si="266"/>
        <v>-6.3419486024842406</v>
      </c>
      <c r="L411" s="5">
        <f t="shared" ca="1" si="266"/>
        <v>-5.7440132864922058</v>
      </c>
      <c r="M411" s="5">
        <f t="shared" ca="1" si="266"/>
        <v>-5.1462781712084755</v>
      </c>
      <c r="N411" s="5">
        <f t="shared" ca="1" si="266"/>
        <v>-4.5487503908055587</v>
      </c>
      <c r="O411" s="5">
        <f t="shared" ca="1" si="266"/>
        <v>-3.9514374857521721</v>
      </c>
      <c r="P411" s="5">
        <f t="shared" ca="1" si="266"/>
        <v>-3.3543474233528499</v>
      </c>
      <c r="Q411" s="5">
        <f t="shared" ca="1" si="266"/>
        <v>-2.7574886193608852</v>
      </c>
      <c r="R411" s="5">
        <f t="shared" ca="1" si="266"/>
        <v>-2.1608699607205035</v>
      </c>
      <c r="S411" s="5">
        <f t="shared" ca="1" si="266"/>
        <v>-1.5645008294970126</v>
      </c>
      <c r="T411" s="5">
        <f t="shared" ca="1" si="266"/>
        <v>-0.96839112805677463</v>
      </c>
      <c r="U411" s="5">
        <f t="shared" ca="1" si="266"/>
        <v>-0.52180785689698739</v>
      </c>
      <c r="V411" s="5">
        <f t="shared" ca="1" si="266"/>
        <v>-0.37401859118901404</v>
      </c>
      <c r="W411" s="5">
        <f t="shared" ca="1" si="266"/>
        <v>-0.37577840744223373</v>
      </c>
      <c r="X411" s="5">
        <f t="shared" ca="1" si="266"/>
        <v>-0.37784301703872952</v>
      </c>
      <c r="Y411" s="5">
        <f t="shared" ca="1" si="266"/>
        <v>-0.39797672808430268</v>
      </c>
      <c r="Z411" s="5">
        <f t="shared" ca="1" si="266"/>
        <v>-0.65054766204644032</v>
      </c>
      <c r="AA411" s="5">
        <f t="shared" ca="1" si="266"/>
        <v>-0.66365822147423081</v>
      </c>
      <c r="AB411" s="5">
        <f t="shared" ca="1" si="266"/>
        <v>-0.67853722466765976</v>
      </c>
      <c r="AC411" s="5">
        <f t="shared" ca="1" si="266"/>
        <v>-0.69548184925123735</v>
      </c>
      <c r="AD411" s="5">
        <f t="shared" ca="1" si="266"/>
        <v>-0.71487385305576501</v>
      </c>
      <c r="AE411" s="5">
        <f t="shared" ca="1" si="266"/>
        <v>-0.37268912840277557</v>
      </c>
      <c r="AF411" s="5">
        <f t="shared" ca="1" si="266"/>
        <v>0</v>
      </c>
      <c r="AG411" s="5">
        <f t="shared" ca="1" si="266"/>
        <v>0</v>
      </c>
      <c r="AH411" s="5">
        <f t="shared" ca="1" si="266"/>
        <v>0</v>
      </c>
      <c r="AI411" s="5">
        <f t="shared" ca="1" si="266"/>
        <v>0</v>
      </c>
    </row>
    <row r="412" spans="1:35" x14ac:dyDescent="0.3">
      <c r="A412" s="5"/>
      <c r="B412" s="264" t="s">
        <v>83</v>
      </c>
      <c r="C412" s="198" t="s">
        <v>11</v>
      </c>
      <c r="D412" s="64"/>
      <c r="E412" s="5">
        <f t="shared" ref="E412:AI412" ca="1" si="267">E324</f>
        <v>0</v>
      </c>
      <c r="F412" s="5">
        <f t="shared" ca="1" si="267"/>
        <v>18.672217381508435</v>
      </c>
      <c r="G412" s="5">
        <f t="shared" ca="1" si="267"/>
        <v>48.708431671063991</v>
      </c>
      <c r="H412" s="5">
        <f t="shared" ca="1" si="267"/>
        <v>45.229257980273701</v>
      </c>
      <c r="I412" s="5">
        <f t="shared" ca="1" si="267"/>
        <v>41.750084289483418</v>
      </c>
      <c r="J412" s="5">
        <f t="shared" ca="1" si="267"/>
        <v>38.270910598693128</v>
      </c>
      <c r="K412" s="5">
        <f t="shared" ca="1" si="267"/>
        <v>34.791736907902845</v>
      </c>
      <c r="L412" s="5">
        <f t="shared" ca="1" si="267"/>
        <v>31.312563217112558</v>
      </c>
      <c r="M412" s="5">
        <f t="shared" ca="1" si="267"/>
        <v>27.833389526322271</v>
      </c>
      <c r="N412" s="5">
        <f t="shared" ca="1" si="267"/>
        <v>24.354215835531988</v>
      </c>
      <c r="O412" s="5">
        <f t="shared" ca="1" si="267"/>
        <v>20.875042144741702</v>
      </c>
      <c r="P412" s="5">
        <f t="shared" ca="1" si="267"/>
        <v>17.395868453951422</v>
      </c>
      <c r="Q412" s="5">
        <f t="shared" ca="1" si="267"/>
        <v>13.916694763161136</v>
      </c>
      <c r="R412" s="5">
        <f t="shared" ca="1" si="267"/>
        <v>10.437521072370851</v>
      </c>
      <c r="S412" s="5">
        <f t="shared" ca="1" si="267"/>
        <v>6.9583473815805652</v>
      </c>
      <c r="T412" s="5">
        <f t="shared" ca="1" si="267"/>
        <v>3.4791736907902795</v>
      </c>
      <c r="U412" s="5">
        <f t="shared" ca="1" si="267"/>
        <v>0.86979342269756865</v>
      </c>
      <c r="V412" s="5">
        <f t="shared" ca="1" si="267"/>
        <v>0</v>
      </c>
      <c r="W412" s="5">
        <f t="shared" ca="1" si="267"/>
        <v>0</v>
      </c>
      <c r="X412" s="5">
        <f t="shared" ca="1" si="267"/>
        <v>0</v>
      </c>
      <c r="Y412" s="5">
        <f t="shared" ca="1" si="267"/>
        <v>0</v>
      </c>
      <c r="Z412" s="5">
        <f t="shared" ca="1" si="267"/>
        <v>0</v>
      </c>
      <c r="AA412" s="5">
        <f t="shared" ca="1" si="267"/>
        <v>0</v>
      </c>
      <c r="AB412" s="5">
        <f t="shared" ca="1" si="267"/>
        <v>0</v>
      </c>
      <c r="AC412" s="5">
        <f t="shared" ca="1" si="267"/>
        <v>0</v>
      </c>
      <c r="AD412" s="5">
        <f t="shared" ca="1" si="267"/>
        <v>0</v>
      </c>
      <c r="AE412" s="5">
        <f t="shared" ca="1" si="267"/>
        <v>0</v>
      </c>
      <c r="AF412" s="5">
        <f t="shared" ca="1" si="267"/>
        <v>0</v>
      </c>
      <c r="AG412" s="5">
        <f t="shared" ca="1" si="267"/>
        <v>0</v>
      </c>
      <c r="AH412" s="5">
        <f t="shared" ca="1" si="267"/>
        <v>0</v>
      </c>
      <c r="AI412" s="5">
        <f t="shared" ca="1" si="267"/>
        <v>0</v>
      </c>
    </row>
    <row r="413" spans="1:35" x14ac:dyDescent="0.3">
      <c r="A413" s="5"/>
      <c r="B413" s="264" t="s">
        <v>82</v>
      </c>
      <c r="C413" s="198" t="s">
        <v>11</v>
      </c>
      <c r="D413" s="64"/>
      <c r="E413" s="5">
        <f t="shared" ref="E413:AI413" si="268">E325</f>
        <v>0</v>
      </c>
      <c r="F413" s="5">
        <f t="shared" ca="1" si="268"/>
        <v>1.1043699723928568</v>
      </c>
      <c r="G413" s="5">
        <f t="shared" ca="1" si="268"/>
        <v>2.1981087959838259</v>
      </c>
      <c r="H413" s="5">
        <f t="shared" ca="1" si="268"/>
        <v>2.1885165200971599</v>
      </c>
      <c r="I413" s="5">
        <f t="shared" ca="1" si="268"/>
        <v>2.1799461023477655</v>
      </c>
      <c r="J413" s="5">
        <f t="shared" ca="1" si="268"/>
        <v>2.1724307287484645</v>
      </c>
      <c r="K413" s="5">
        <f t="shared" ca="1" si="268"/>
        <v>2.1660055308165065</v>
      </c>
      <c r="L413" s="5">
        <f t="shared" ca="1" si="268"/>
        <v>2.1607076831916685</v>
      </c>
      <c r="M413" s="5">
        <f t="shared" ca="1" si="268"/>
        <v>2.1565765063611546</v>
      </c>
      <c r="N413" s="5">
        <f t="shared" ca="1" si="268"/>
        <v>2.1536535747568122</v>
      </c>
      <c r="O413" s="5">
        <f t="shared" ca="1" si="268"/>
        <v>2.1519828305040556</v>
      </c>
      <c r="P413" s="5">
        <f t="shared" ca="1" si="268"/>
        <v>2.1516107031164693</v>
      </c>
      <c r="Q413" s="5">
        <f t="shared" ca="1" si="268"/>
        <v>2.1525862354454222</v>
      </c>
      <c r="R413" s="5">
        <f t="shared" ca="1" si="268"/>
        <v>2.1549612162101743</v>
      </c>
      <c r="S413" s="5">
        <f t="shared" ca="1" si="268"/>
        <v>2.1587903194509761</v>
      </c>
      <c r="T413" s="5">
        <f t="shared" ca="1" si="268"/>
        <v>2.1641312512655166</v>
      </c>
      <c r="U413" s="5">
        <f t="shared" ca="1" si="268"/>
        <v>2.1710449042079523</v>
      </c>
      <c r="V413" s="5">
        <f t="shared" ca="1" si="268"/>
        <v>2.1795955197494989</v>
      </c>
      <c r="W413" s="5">
        <f t="shared" ca="1" si="268"/>
        <v>2.1898508592204764</v>
      </c>
      <c r="X413" s="5">
        <f t="shared" ca="1" si="268"/>
        <v>2.2018823836755801</v>
      </c>
      <c r="Y413" s="5">
        <f t="shared" ca="1" si="268"/>
        <v>2.2157654431472769</v>
      </c>
      <c r="Z413" s="5">
        <f t="shared" ca="1" si="268"/>
        <v>2.2315794757764875</v>
      </c>
      <c r="AA413" s="5">
        <f t="shared" ca="1" si="268"/>
        <v>2.2494082173352976</v>
      </c>
      <c r="AB413" s="5">
        <f t="shared" ca="1" si="268"/>
        <v>2.269339921683327</v>
      </c>
      <c r="AC413" s="5">
        <f t="shared" ca="1" si="268"/>
        <v>2.2914675927277082</v>
      </c>
      <c r="AD413" s="5">
        <f t="shared" ca="1" si="268"/>
        <v>2.3158892284863919</v>
      </c>
      <c r="AE413" s="5">
        <f t="shared" ca="1" si="268"/>
        <v>1.2962072889046494</v>
      </c>
      <c r="AF413" s="5">
        <f t="shared" si="268"/>
        <v>0</v>
      </c>
      <c r="AG413" s="5">
        <f t="shared" si="268"/>
        <v>0</v>
      </c>
      <c r="AH413" s="5">
        <f t="shared" si="268"/>
        <v>0</v>
      </c>
      <c r="AI413" s="5">
        <f t="shared" si="268"/>
        <v>0</v>
      </c>
    </row>
    <row r="414" spans="1:35" x14ac:dyDescent="0.3">
      <c r="A414" s="5"/>
      <c r="B414" s="264" t="s">
        <v>81</v>
      </c>
      <c r="C414" s="198" t="s">
        <v>11</v>
      </c>
      <c r="D414" s="64"/>
      <c r="E414" s="5">
        <f t="shared" ref="E414:AI414" si="269">E326</f>
        <v>0</v>
      </c>
      <c r="F414" s="5">
        <f t="shared" si="269"/>
        <v>0</v>
      </c>
      <c r="G414" s="5">
        <f t="shared" si="269"/>
        <v>0</v>
      </c>
      <c r="H414" s="5">
        <f t="shared" si="269"/>
        <v>0</v>
      </c>
      <c r="I414" s="5">
        <f t="shared" si="269"/>
        <v>0</v>
      </c>
      <c r="J414" s="5">
        <f t="shared" si="269"/>
        <v>0</v>
      </c>
      <c r="K414" s="5">
        <f t="shared" si="269"/>
        <v>0</v>
      </c>
      <c r="L414" s="5">
        <f t="shared" si="269"/>
        <v>0</v>
      </c>
      <c r="M414" s="5">
        <f t="shared" si="269"/>
        <v>0</v>
      </c>
      <c r="N414" s="5">
        <f t="shared" si="269"/>
        <v>0</v>
      </c>
      <c r="O414" s="5">
        <f t="shared" si="269"/>
        <v>0</v>
      </c>
      <c r="P414" s="5">
        <f t="shared" si="269"/>
        <v>0</v>
      </c>
      <c r="Q414" s="5">
        <f t="shared" si="269"/>
        <v>0</v>
      </c>
      <c r="R414" s="5">
        <f t="shared" si="269"/>
        <v>0</v>
      </c>
      <c r="S414" s="5">
        <f t="shared" si="269"/>
        <v>0</v>
      </c>
      <c r="T414" s="5">
        <f t="shared" si="269"/>
        <v>0</v>
      </c>
      <c r="U414" s="5">
        <f t="shared" si="269"/>
        <v>0</v>
      </c>
      <c r="V414" s="5">
        <f t="shared" si="269"/>
        <v>0</v>
      </c>
      <c r="W414" s="5">
        <f t="shared" si="269"/>
        <v>0</v>
      </c>
      <c r="X414" s="5">
        <f t="shared" si="269"/>
        <v>0</v>
      </c>
      <c r="Y414" s="5">
        <f t="shared" si="269"/>
        <v>0</v>
      </c>
      <c r="Z414" s="5">
        <f t="shared" si="269"/>
        <v>0</v>
      </c>
      <c r="AA414" s="5">
        <f t="shared" si="269"/>
        <v>0</v>
      </c>
      <c r="AB414" s="5">
        <f t="shared" si="269"/>
        <v>0</v>
      </c>
      <c r="AC414" s="5">
        <f t="shared" si="269"/>
        <v>0</v>
      </c>
      <c r="AD414" s="5">
        <f t="shared" si="269"/>
        <v>0</v>
      </c>
      <c r="AE414" s="5">
        <f t="shared" si="269"/>
        <v>0</v>
      </c>
      <c r="AF414" s="5">
        <f t="shared" si="269"/>
        <v>0</v>
      </c>
      <c r="AG414" s="5">
        <f t="shared" si="269"/>
        <v>0</v>
      </c>
      <c r="AH414" s="5">
        <f t="shared" si="269"/>
        <v>0</v>
      </c>
      <c r="AI414" s="5">
        <f t="shared" si="269"/>
        <v>0</v>
      </c>
    </row>
    <row r="415" spans="1:35" x14ac:dyDescent="0.3">
      <c r="A415" s="205"/>
      <c r="B415" s="5" t="s">
        <v>78</v>
      </c>
      <c r="C415" s="198" t="s">
        <v>11</v>
      </c>
      <c r="D415" s="205"/>
      <c r="E415" s="254">
        <f t="shared" ref="E415:AI415" si="270">E341</f>
        <v>0</v>
      </c>
      <c r="F415" s="254">
        <f t="shared" ca="1" si="270"/>
        <v>-25.678932309182528</v>
      </c>
      <c r="G415" s="254">
        <f t="shared" ca="1" si="270"/>
        <v>0.1936129354570113</v>
      </c>
      <c r="H415" s="254">
        <f t="shared" ca="1" si="270"/>
        <v>0.11121479288888025</v>
      </c>
      <c r="I415" s="254">
        <f t="shared" ca="1" si="270"/>
        <v>9.9367162311818191E-2</v>
      </c>
      <c r="J415" s="254">
        <f t="shared" ca="1" si="270"/>
        <v>8.7134766368706096E-2</v>
      </c>
      <c r="K415" s="254">
        <f t="shared" ca="1" si="270"/>
        <v>7.4495048486472371E-2</v>
      </c>
      <c r="L415" s="254">
        <f t="shared" ca="1" si="270"/>
        <v>6.1424320287976286E-2</v>
      </c>
      <c r="M415" s="254">
        <f t="shared" ca="1" si="270"/>
        <v>4.789770238276958E-2</v>
      </c>
      <c r="N415" s="254">
        <f t="shared" ca="1" si="270"/>
        <v>3.3889062079332177E-2</v>
      </c>
      <c r="O415" s="254">
        <f t="shared" ca="1" si="270"/>
        <v>1.9370947858046605E-2</v>
      </c>
      <c r="P415" s="254">
        <f t="shared" ca="1" si="270"/>
        <v>4.3145204357841749E-3</v>
      </c>
      <c r="Q415" s="254">
        <f t="shared" ca="1" si="270"/>
        <v>-1.1310519755973303E-2</v>
      </c>
      <c r="R415" s="254">
        <f t="shared" ca="1" si="270"/>
        <v>-2.7536008866693606E-2</v>
      </c>
      <c r="S415" s="254">
        <f t="shared" ca="1" si="270"/>
        <v>-4.4395399893353726E-2</v>
      </c>
      <c r="T415" s="254">
        <f t="shared" ca="1" si="270"/>
        <v>-6.1923847125104459E-2</v>
      </c>
      <c r="U415" s="254">
        <f t="shared" ca="1" si="270"/>
        <v>-8.015829498476279E-2</v>
      </c>
      <c r="V415" s="254">
        <f t="shared" ca="1" si="270"/>
        <v>-9.9137571496193289E-2</v>
      </c>
      <c r="W415" s="254">
        <f t="shared" ca="1" si="270"/>
        <v>-0.11890248662002989</v>
      </c>
      <c r="X415" s="254">
        <f t="shared" ca="1" si="270"/>
        <v>-0.139495935711345</v>
      </c>
      <c r="Y415" s="254">
        <f t="shared" ca="1" si="270"/>
        <v>-0.16096300836749933</v>
      </c>
      <c r="Z415" s="254">
        <f t="shared" ca="1" si="270"/>
        <v>-0.18335110294737333</v>
      </c>
      <c r="AA415" s="254">
        <f t="shared" ca="1" si="270"/>
        <v>-0.20671004705866736</v>
      </c>
      <c r="AB415" s="254">
        <f t="shared" ca="1" si="270"/>
        <v>-0.23109222432497489</v>
      </c>
      <c r="AC415" s="254">
        <f t="shared" ca="1" si="270"/>
        <v>-0.25655270776094241</v>
      </c>
      <c r="AD415" s="254">
        <f t="shared" ca="1" si="270"/>
        <v>-0.28314940010067957</v>
      </c>
      <c r="AE415" s="254">
        <f t="shared" ca="1" si="270"/>
        <v>-3.2060910066423993</v>
      </c>
      <c r="AF415" s="254">
        <f t="shared" ca="1" si="270"/>
        <v>0</v>
      </c>
      <c r="AG415" s="254">
        <f t="shared" si="270"/>
        <v>0</v>
      </c>
      <c r="AH415" s="254">
        <f t="shared" si="270"/>
        <v>0</v>
      </c>
      <c r="AI415" s="254">
        <f t="shared" si="270"/>
        <v>0</v>
      </c>
    </row>
    <row r="416" spans="1:35" x14ac:dyDescent="0.3">
      <c r="A416" s="5"/>
      <c r="B416" s="67" t="s">
        <v>77</v>
      </c>
      <c r="C416" s="68" t="s">
        <v>11</v>
      </c>
      <c r="D416" s="64"/>
      <c r="E416" s="5">
        <f t="shared" ref="E416:AI416" ca="1" si="271">E344</f>
        <v>-582.04857646593382</v>
      </c>
      <c r="F416" s="5">
        <f t="shared" ca="1" si="271"/>
        <v>-660.51345595916791</v>
      </c>
      <c r="G416" s="5">
        <f t="shared" ca="1" si="271"/>
        <v>0</v>
      </c>
      <c r="H416" s="5">
        <f t="shared" ca="1" si="271"/>
        <v>0</v>
      </c>
      <c r="I416" s="5">
        <f t="shared" ca="1" si="271"/>
        <v>0</v>
      </c>
      <c r="J416" s="5">
        <f t="shared" ca="1" si="271"/>
        <v>0</v>
      </c>
      <c r="K416" s="5">
        <f t="shared" ca="1" si="271"/>
        <v>0</v>
      </c>
      <c r="L416" s="5">
        <f t="shared" ca="1" si="271"/>
        <v>0</v>
      </c>
      <c r="M416" s="5">
        <f t="shared" ca="1" si="271"/>
        <v>0</v>
      </c>
      <c r="N416" s="5">
        <f t="shared" ca="1" si="271"/>
        <v>0</v>
      </c>
      <c r="O416" s="5">
        <f t="shared" ca="1" si="271"/>
        <v>0</v>
      </c>
      <c r="P416" s="5">
        <f t="shared" ca="1" si="271"/>
        <v>0</v>
      </c>
      <c r="Q416" s="5">
        <f t="shared" ca="1" si="271"/>
        <v>0</v>
      </c>
      <c r="R416" s="5">
        <f t="shared" ca="1" si="271"/>
        <v>0</v>
      </c>
      <c r="S416" s="5">
        <f t="shared" ca="1" si="271"/>
        <v>0</v>
      </c>
      <c r="T416" s="5">
        <f t="shared" ca="1" si="271"/>
        <v>0</v>
      </c>
      <c r="U416" s="5">
        <f t="shared" ca="1" si="271"/>
        <v>0</v>
      </c>
      <c r="V416" s="5">
        <f t="shared" ca="1" si="271"/>
        <v>0</v>
      </c>
      <c r="W416" s="5">
        <f t="shared" ca="1" si="271"/>
        <v>0</v>
      </c>
      <c r="X416" s="5">
        <f t="shared" ca="1" si="271"/>
        <v>0</v>
      </c>
      <c r="Y416" s="5">
        <f t="shared" ca="1" si="271"/>
        <v>0</v>
      </c>
      <c r="Z416" s="5">
        <f t="shared" ca="1" si="271"/>
        <v>0</v>
      </c>
      <c r="AA416" s="5">
        <f t="shared" ca="1" si="271"/>
        <v>0</v>
      </c>
      <c r="AB416" s="5">
        <f t="shared" ca="1" si="271"/>
        <v>0</v>
      </c>
      <c r="AC416" s="5">
        <f t="shared" ca="1" si="271"/>
        <v>0</v>
      </c>
      <c r="AD416" s="5">
        <f t="shared" ca="1" si="271"/>
        <v>0</v>
      </c>
      <c r="AE416" s="5">
        <f t="shared" ca="1" si="271"/>
        <v>0</v>
      </c>
      <c r="AF416" s="5">
        <f t="shared" ca="1" si="271"/>
        <v>0</v>
      </c>
      <c r="AG416" s="5">
        <f t="shared" ca="1" si="271"/>
        <v>0</v>
      </c>
      <c r="AH416" s="5">
        <f t="shared" ca="1" si="271"/>
        <v>0</v>
      </c>
      <c r="AI416" s="5">
        <f t="shared" ca="1" si="271"/>
        <v>0</v>
      </c>
    </row>
    <row r="417" spans="1:35" x14ac:dyDescent="0.3">
      <c r="A417" s="5"/>
      <c r="B417" s="67" t="s">
        <v>209</v>
      </c>
      <c r="C417" s="68" t="s">
        <v>11</v>
      </c>
      <c r="D417" s="64"/>
      <c r="E417" s="5">
        <f>IF(E$2=Input!$E$182,E370+E371+E373,0)</f>
        <v>0</v>
      </c>
      <c r="F417" s="5">
        <f>IF(F$2=Input!$E$182,F370+F371+F373,0)</f>
        <v>0</v>
      </c>
      <c r="G417" s="5">
        <f>IF(G$2=Input!$E$182,G370+G371+G373,0)</f>
        <v>0</v>
      </c>
      <c r="H417" s="5">
        <f>IF(H$2=Input!$E$182,H370+H371+H373,0)</f>
        <v>0</v>
      </c>
      <c r="I417" s="5">
        <f>IF(I$2=Input!$E$182,I370+I371+I373,0)</f>
        <v>0</v>
      </c>
      <c r="J417" s="5">
        <f>IF(J$2=Input!$E$182,J370+J371+J373,0)</f>
        <v>0</v>
      </c>
      <c r="K417" s="5">
        <f>IF(K$2=Input!$E$182,K370+K371+K373,0)</f>
        <v>0</v>
      </c>
      <c r="L417" s="5">
        <f>IF(L$2=Input!$E$182,L370+L371+L373,0)</f>
        <v>0</v>
      </c>
      <c r="M417" s="5">
        <f>IF(M$2=Input!$E$182,M370+M371+M373,0)</f>
        <v>0</v>
      </c>
      <c r="N417" s="5">
        <f>IF(N$2=Input!$E$182,N370+N371+N373,0)</f>
        <v>0</v>
      </c>
      <c r="O417" s="5">
        <f>IF(O$2=Input!$E$182,O370+O371+O373,0)</f>
        <v>0</v>
      </c>
      <c r="P417" s="5">
        <f>IF(P$2=Input!$E$182,P370+P371+P373,0)</f>
        <v>0</v>
      </c>
      <c r="Q417" s="5">
        <f>IF(Q$2=Input!$E$182,Q370+Q371+Q373,0)</f>
        <v>0</v>
      </c>
      <c r="R417" s="5">
        <f>IF(R$2=Input!$E$182,R370+R371+R373,0)</f>
        <v>0</v>
      </c>
      <c r="S417" s="5">
        <f>IF(S$2=Input!$E$182,S370+S371+S373,0)</f>
        <v>0</v>
      </c>
      <c r="T417" s="5">
        <f>IF(T$2=Input!$E$182,T370+T371+T373,0)</f>
        <v>0</v>
      </c>
      <c r="U417" s="5">
        <f>IF(U$2=Input!$E$182,U370+U371+U373,0)</f>
        <v>0</v>
      </c>
      <c r="V417" s="5">
        <f>IF(V$2=Input!$E$182,V370+V371+V373,0)</f>
        <v>0</v>
      </c>
      <c r="W417" s="5">
        <f>IF(W$2=Input!$E$182,W370+W371+W373,0)</f>
        <v>0</v>
      </c>
      <c r="X417" s="5">
        <f>IF(X$2=Input!$E$182,X370+X371+X373,0)</f>
        <v>0</v>
      </c>
      <c r="Y417" s="5">
        <f>IF(Y$2=Input!$E$182,Y370+Y371+Y373,0)</f>
        <v>0</v>
      </c>
      <c r="Z417" s="5">
        <f>IF(Z$2=Input!$E$182,Z370+Z371+Z373,0)</f>
        <v>0</v>
      </c>
      <c r="AA417" s="5">
        <f>IF(AA$2=Input!$E$182,AA370+AA371+AA373,0)</f>
        <v>0</v>
      </c>
      <c r="AB417" s="5">
        <f>IF(AB$2=Input!$E$182,AB370+AB371+AB373,0)</f>
        <v>0</v>
      </c>
      <c r="AC417" s="5">
        <f>IF(AC$2=Input!$E$182,AC370+AC371+AC373,0)</f>
        <v>0</v>
      </c>
      <c r="AD417" s="5">
        <f>IF(AD$2=Input!$E$182,AD370+AD371+AD373,0)</f>
        <v>0</v>
      </c>
      <c r="AE417" s="5">
        <f ca="1">IF(AE$2=Input!$E$182,AE370+AE371+AE373,0)</f>
        <v>170.35959589873397</v>
      </c>
      <c r="AF417" s="5">
        <f>IF(AF$2=Input!$E$182,AF370+AF371+AF373,0)</f>
        <v>0</v>
      </c>
      <c r="AG417" s="5">
        <f>IF(AG$2=Input!$E$182,AG370+AG371+AG373,0)</f>
        <v>0</v>
      </c>
      <c r="AH417" s="5">
        <f>IF(AH$2=Input!$E$182,AH370+AH371+AH373,0)</f>
        <v>0</v>
      </c>
      <c r="AI417" s="5">
        <f>IF(AI$2=Input!$E$182,AI370+AI371+AI373,0)</f>
        <v>0</v>
      </c>
    </row>
    <row r="418" spans="1:35" x14ac:dyDescent="0.3">
      <c r="A418" s="5"/>
      <c r="B418" s="67" t="s">
        <v>262</v>
      </c>
      <c r="C418" s="68" t="s">
        <v>11</v>
      </c>
      <c r="D418" s="64"/>
      <c r="E418" s="5">
        <f>IF(E$2=Input!$E$182,-Input!$E$227*E368,0)</f>
        <v>0</v>
      </c>
      <c r="F418" s="5">
        <f>IF(F$2=Input!$E$182,-Input!$E$227*F368,0)</f>
        <v>0</v>
      </c>
      <c r="G418" s="5">
        <f>IF(G$2=Input!$E$182,-Input!$E$227*G368,0)</f>
        <v>0</v>
      </c>
      <c r="H418" s="5">
        <f>IF(H$2=Input!$E$182,-Input!$E$227*H368,0)</f>
        <v>0</v>
      </c>
      <c r="I418" s="5">
        <f>IF(I$2=Input!$E$182,-Input!$E$227*I368,0)</f>
        <v>0</v>
      </c>
      <c r="J418" s="5">
        <f>IF(J$2=Input!$E$182,-Input!$E$227*J368,0)</f>
        <v>0</v>
      </c>
      <c r="K418" s="5">
        <f>IF(K$2=Input!$E$182,-Input!$E$227*K368,0)</f>
        <v>0</v>
      </c>
      <c r="L418" s="5">
        <f>IF(L$2=Input!$E$182,-Input!$E$227*L368,0)</f>
        <v>0</v>
      </c>
      <c r="M418" s="5">
        <f>IF(M$2=Input!$E$182,-Input!$E$227*M368,0)</f>
        <v>0</v>
      </c>
      <c r="N418" s="5">
        <f>IF(N$2=Input!$E$182,-Input!$E$227*N368,0)</f>
        <v>0</v>
      </c>
      <c r="O418" s="5">
        <f>IF(O$2=Input!$E$182,-Input!$E$227*O368,0)</f>
        <v>0</v>
      </c>
      <c r="P418" s="5">
        <f>IF(P$2=Input!$E$182,-Input!$E$227*P368,0)</f>
        <v>0</v>
      </c>
      <c r="Q418" s="5">
        <f>IF(Q$2=Input!$E$182,-Input!$E$227*Q368,0)</f>
        <v>0</v>
      </c>
      <c r="R418" s="5">
        <f>IF(R$2=Input!$E$182,-Input!$E$227*R368,0)</f>
        <v>0</v>
      </c>
      <c r="S418" s="5">
        <f>IF(S$2=Input!$E$182,-Input!$E$227*S368,0)</f>
        <v>0</v>
      </c>
      <c r="T418" s="5">
        <f>IF(T$2=Input!$E$182,-Input!$E$227*T368,0)</f>
        <v>0</v>
      </c>
      <c r="U418" s="5">
        <f>IF(U$2=Input!$E$182,-Input!$E$227*U368,0)</f>
        <v>0</v>
      </c>
      <c r="V418" s="5">
        <f>IF(V$2=Input!$E$182,-Input!$E$227*V368,0)</f>
        <v>0</v>
      </c>
      <c r="W418" s="5">
        <f>IF(W$2=Input!$E$182,-Input!$E$227*W368,0)</f>
        <v>0</v>
      </c>
      <c r="X418" s="5">
        <f>IF(X$2=Input!$E$182,-Input!$E$227*X368,0)</f>
        <v>0</v>
      </c>
      <c r="Y418" s="5">
        <f>IF(Y$2=Input!$E$182,-Input!$E$227*Y368,0)</f>
        <v>0</v>
      </c>
      <c r="Z418" s="5">
        <f>IF(Z$2=Input!$E$182,-Input!$E$227*Z368,0)</f>
        <v>0</v>
      </c>
      <c r="AA418" s="5">
        <f>IF(AA$2=Input!$E$182,-Input!$E$227*AA368,0)</f>
        <v>0</v>
      </c>
      <c r="AB418" s="5">
        <f>IF(AB$2=Input!$E$182,-Input!$E$227*AB368,0)</f>
        <v>0</v>
      </c>
      <c r="AC418" s="5">
        <f>IF(AC$2=Input!$E$182,-Input!$E$227*AC368,0)</f>
        <v>0</v>
      </c>
      <c r="AD418" s="5">
        <f>IF(AD$2=Input!$E$182,-Input!$E$227*AD368,0)</f>
        <v>0</v>
      </c>
      <c r="AE418" s="5">
        <f ca="1">IF(AE$2=Input!$E$182,-Input!$E$227*AE368,0)</f>
        <v>-3.1064050810627544</v>
      </c>
      <c r="AF418" s="5">
        <f>IF(AF$2=Input!$E$182,-Input!$E$227*AF368,0)</f>
        <v>0</v>
      </c>
      <c r="AG418" s="5">
        <f>IF(AG$2=Input!$E$182,-Input!$E$227*AG368,0)</f>
        <v>0</v>
      </c>
      <c r="AH418" s="5">
        <f>IF(AH$2=Input!$E$182,-Input!$E$227*AH368,0)</f>
        <v>0</v>
      </c>
      <c r="AI418" s="5">
        <f>IF(AI$2=Input!$E$182,-Input!$E$227*AI368,0)</f>
        <v>0</v>
      </c>
    </row>
    <row r="419" spans="1:35" x14ac:dyDescent="0.3">
      <c r="A419" s="5"/>
      <c r="B419" s="683" t="s">
        <v>264</v>
      </c>
      <c r="C419" s="684" t="s">
        <v>11</v>
      </c>
      <c r="D419" s="678"/>
      <c r="E419" s="217">
        <f ca="1">IF(E2&lt;=Input!$E$182,SUM(E409:E418),0)</f>
        <v>-582.04857646593382</v>
      </c>
      <c r="F419" s="217">
        <f ca="1">IF(F2&lt;=Input!$E$182,SUM(F409:F418),0)</f>
        <v>-612.42477842314963</v>
      </c>
      <c r="G419" s="217">
        <f ca="1">IF(G2&lt;=Input!$E$182,SUM(G409:G418),0)</f>
        <v>145.2444460734373</v>
      </c>
      <c r="H419" s="217">
        <f ca="1">IF(H2&lt;=Input!$E$182,SUM(H409:H418),0)</f>
        <v>142.73722404347927</v>
      </c>
      <c r="I419" s="217">
        <f ca="1">IF(I2&lt;=Input!$E$182,SUM(I409:I418),0)</f>
        <v>140.29373590414897</v>
      </c>
      <c r="J419" s="217">
        <f ca="1">IF(J2&lt;=Input!$E$182,SUM(J409:J418),0)</f>
        <v>137.84123977795406</v>
      </c>
      <c r="K419" s="217">
        <f ca="1">IF(K2&lt;=Input!$E$182,SUM(K409:K418),0)</f>
        <v>135.37783193307149</v>
      </c>
      <c r="L419" s="217">
        <f ca="1">IF(L2&lt;=Input!$E$182,SUM(L409:L418),0)</f>
        <v>132.90152884369198</v>
      </c>
      <c r="M419" s="217">
        <f ca="1">IF(M2&lt;=Input!$E$182,SUM(M409:M418),0)</f>
        <v>130.41026283439442</v>
      </c>
      <c r="N419" s="217">
        <f ca="1">IF(N2&lt;=Input!$E$182,SUM(N409:N418),0)</f>
        <v>127.90187750115172</v>
      </c>
      <c r="O419" s="217">
        <f ca="1">IF(O2&lt;=Input!$E$182,SUM(O409:O418),0)</f>
        <v>125.37412289729677</v>
      </c>
      <c r="P419" s="217">
        <f ca="1">IF(P2&lt;=Input!$E$182,SUM(P409:P418),0)</f>
        <v>122.824650472169</v>
      </c>
      <c r="Q419" s="217">
        <f ca="1">IF(Q2&lt;=Input!$E$182,SUM(Q409:Q418),0)</f>
        <v>120.25100774951849</v>
      </c>
      <c r="R419" s="217">
        <f ca="1">IF(R2&lt;=Input!$E$182,SUM(R409:R418),0)</f>
        <v>117.65063273207375</v>
      </c>
      <c r="S419" s="217">
        <f ca="1">IF(S2&lt;=Input!$E$182,SUM(S409:S418),0)</f>
        <v>115.02084801796744</v>
      </c>
      <c r="T419" s="217">
        <f ca="1">IF(T2&lt;=Input!$E$182,SUM(T409:T418),0)</f>
        <v>112.35885461396866</v>
      </c>
      <c r="U419" s="217">
        <f ca="1">IF(U2&lt;=Input!$E$182,SUM(U409:U418),0)</f>
        <v>103.96865411448212</v>
      </c>
      <c r="V419" s="217">
        <f ca="1">IF(V2&lt;=Input!$E$182,SUM(V409:V418),0)</f>
        <v>101.23332712086622</v>
      </c>
      <c r="W419" s="217">
        <f ca="1">IF(W2&lt;=Input!$E$182,SUM(W409:W418),0)</f>
        <v>98.456598155495598</v>
      </c>
      <c r="X419" s="217">
        <f ca="1">IF(X2&lt;=Input!$E$182,SUM(X409:X418),0)</f>
        <v>95.635113356173292</v>
      </c>
      <c r="Y419" s="217">
        <f ca="1">IF(Y2&lt;=Input!$E$182,SUM(Y409:Y418),0)</f>
        <v>92.107011899060367</v>
      </c>
      <c r="Z419" s="217">
        <f ca="1">IF(Z2&lt;=Input!$E$182,SUM(Z409:Z418),0)</f>
        <v>80.408838966169952</v>
      </c>
      <c r="AA419" s="217">
        <f ca="1">IF(AA2&lt;=Input!$E$182,SUM(AA409:AA418),0)</f>
        <v>77.594754367707978</v>
      </c>
      <c r="AB419" s="217">
        <f ca="1">IF(AB2&lt;=Input!$E$182,SUM(AB409:AB418),0)</f>
        <v>74.72296629946527</v>
      </c>
      <c r="AC419" s="217">
        <f ca="1">IF(AC2&lt;=Input!$E$182,SUM(AC409:AC418),0)</f>
        <v>71.789211702046401</v>
      </c>
      <c r="AD419" s="217">
        <f ca="1">IF(AD2&lt;=Input!$E$182,SUM(AD409:AD418),0)</f>
        <v>68.78895172734282</v>
      </c>
      <c r="AE419" s="217">
        <f ca="1">IF(AE2&lt;=Input!$E$182,SUM(AE409:AE418),0)</f>
        <v>206.2406310461331</v>
      </c>
      <c r="AF419" s="217">
        <f>IF(AF2&lt;=Input!$E$182,SUM(AF409:AF418),0)</f>
        <v>0</v>
      </c>
      <c r="AG419" s="217">
        <f>IF(AG2&lt;=Input!$E$182,SUM(AG409:AG418),0)</f>
        <v>0</v>
      </c>
      <c r="AH419" s="217">
        <f>IF(AH2&lt;=Input!$E$182,SUM(AH409:AH418),0)</f>
        <v>0</v>
      </c>
      <c r="AI419" s="217">
        <f>IF(AI2&lt;=Input!$E$182,SUM(AI409:AI418),0)</f>
        <v>0</v>
      </c>
    </row>
    <row r="420" spans="1:35" x14ac:dyDescent="0.3">
      <c r="A420" s="5"/>
      <c r="B420" s="264"/>
      <c r="C420" s="198"/>
      <c r="D420" s="64"/>
      <c r="E420" s="5">
        <f t="shared" ref="E420:AI420" ca="1" si="272">E419*E254</f>
        <v>0</v>
      </c>
      <c r="F420" s="5">
        <f t="shared" ca="1" si="272"/>
        <v>-612.42477842314963</v>
      </c>
      <c r="G420" s="5">
        <f t="shared" ca="1" si="272"/>
        <v>135.14128370374533</v>
      </c>
      <c r="H420" s="5">
        <f t="shared" ca="1" si="272"/>
        <v>123.57034437947195</v>
      </c>
      <c r="I420" s="5">
        <f t="shared" ca="1" si="272"/>
        <v>113.00659679472254</v>
      </c>
      <c r="J420" s="5">
        <f t="shared" ca="1" si="272"/>
        <v>103.30781876489901</v>
      </c>
      <c r="K420" s="5">
        <f t="shared" ca="1" si="272"/>
        <v>94.403931551321378</v>
      </c>
      <c r="L420" s="5">
        <f t="shared" ca="1" si="272"/>
        <v>86.230520775694146</v>
      </c>
      <c r="M420" s="5">
        <f t="shared" ca="1" si="272"/>
        <v>78.728378653778989</v>
      </c>
      <c r="N420" s="5">
        <f t="shared" ca="1" si="272"/>
        <v>71.843083238248326</v>
      </c>
      <c r="O420" s="5">
        <f t="shared" ca="1" si="272"/>
        <v>65.524611677105185</v>
      </c>
      <c r="P420" s="5">
        <f t="shared" ca="1" si="272"/>
        <v>59.726984736322798</v>
      </c>
      <c r="Q420" s="5">
        <f t="shared" ca="1" si="272"/>
        <v>54.407940058009004</v>
      </c>
      <c r="R420" s="5">
        <f t="shared" ca="1" si="272"/>
        <v>49.528631830029383</v>
      </c>
      <c r="S420" s="5">
        <f t="shared" ca="1" si="272"/>
        <v>45.053354731082209</v>
      </c>
      <c r="T420" s="5">
        <f t="shared" ca="1" si="272"/>
        <v>40.949290188054754</v>
      </c>
      <c r="U420" s="5">
        <f t="shared" ca="1" si="272"/>
        <v>35.255753590318129</v>
      </c>
      <c r="V420" s="5">
        <f t="shared" ca="1" si="272"/>
        <v>31.940344499760101</v>
      </c>
      <c r="W420" s="5">
        <f t="shared" ca="1" si="272"/>
        <v>28.903432188758011</v>
      </c>
      <c r="X420" s="5">
        <f t="shared" ca="1" si="272"/>
        <v>26.122243480630356</v>
      </c>
      <c r="Y420" s="5">
        <f t="shared" ca="1" si="272"/>
        <v>23.408538241745802</v>
      </c>
      <c r="Z420" s="5">
        <f t="shared" ca="1" si="272"/>
        <v>19.014017888149816</v>
      </c>
      <c r="AA420" s="5">
        <f t="shared" ca="1" si="272"/>
        <v>17.072258375451565</v>
      </c>
      <c r="AB420" s="5">
        <f t="shared" ca="1" si="272"/>
        <v>15.296822292290779</v>
      </c>
      <c r="AC420" s="5">
        <f t="shared" ca="1" si="272"/>
        <v>13.6739758120584</v>
      </c>
      <c r="AD420" s="5">
        <f t="shared" ca="1" si="272"/>
        <v>12.191097917694378</v>
      </c>
      <c r="AE420" s="5">
        <f t="shared" ca="1" si="272"/>
        <v>34.008451863424007</v>
      </c>
      <c r="AF420" s="5">
        <f t="shared" si="272"/>
        <v>0</v>
      </c>
      <c r="AG420" s="5">
        <f t="shared" si="272"/>
        <v>0</v>
      </c>
      <c r="AH420" s="5">
        <f t="shared" si="272"/>
        <v>0</v>
      </c>
      <c r="AI420" s="5">
        <f t="shared" si="272"/>
        <v>0</v>
      </c>
    </row>
    <row r="421" spans="1:35" x14ac:dyDescent="0.3">
      <c r="A421" s="5"/>
      <c r="B421" s="253" t="s">
        <v>205</v>
      </c>
      <c r="C421" s="198" t="s">
        <v>28</v>
      </c>
      <c r="D421" s="272">
        <f ca="1">IRR(E419:AF419)</f>
        <v>8.7955956594178986E-2</v>
      </c>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row>
    <row r="422" spans="1:35" x14ac:dyDescent="0.3">
      <c r="A422" s="5"/>
      <c r="B422" s="253" t="s">
        <v>871</v>
      </c>
      <c r="C422" s="198" t="s">
        <v>11</v>
      </c>
      <c r="D422" s="714">
        <f ca="1">NPV(8.65%,E419:AF419)</f>
        <v>12.193785200066358</v>
      </c>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row>
    <row r="423" spans="1:35" x14ac:dyDescent="0.3">
      <c r="A423" s="5"/>
      <c r="B423" s="273"/>
      <c r="C423" s="198"/>
      <c r="D423" s="272"/>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row>
    <row r="424" spans="1:35" x14ac:dyDescent="0.3">
      <c r="A424" s="266" t="s">
        <v>206</v>
      </c>
      <c r="B424" s="267"/>
      <c r="C424" s="268"/>
      <c r="D424" s="269"/>
      <c r="E424" s="270"/>
      <c r="F424" s="270"/>
      <c r="G424" s="270"/>
      <c r="H424" s="270"/>
      <c r="I424" s="270"/>
      <c r="J424" s="270"/>
      <c r="K424" s="270"/>
      <c r="L424" s="270"/>
      <c r="M424" s="270"/>
      <c r="N424" s="270"/>
      <c r="O424" s="270"/>
      <c r="P424" s="270"/>
      <c r="Q424" s="270"/>
      <c r="R424" s="270"/>
      <c r="S424" s="270"/>
      <c r="T424" s="270"/>
      <c r="U424" s="269"/>
      <c r="V424" s="269"/>
      <c r="W424" s="269"/>
      <c r="X424" s="269"/>
      <c r="Y424" s="269"/>
      <c r="Z424" s="269"/>
      <c r="AA424" s="269"/>
      <c r="AB424" s="269"/>
      <c r="AC424" s="269"/>
      <c r="AD424" s="269"/>
      <c r="AE424" s="269"/>
      <c r="AF424" s="269"/>
      <c r="AG424" s="269"/>
      <c r="AH424" s="269"/>
      <c r="AI424" s="269"/>
    </row>
    <row r="425" spans="1:35" x14ac:dyDescent="0.3">
      <c r="A425" s="5"/>
      <c r="B425" s="264" t="s">
        <v>80</v>
      </c>
      <c r="C425" s="198" t="s">
        <v>11</v>
      </c>
      <c r="D425" s="65"/>
      <c r="E425" s="5">
        <f t="shared" ref="E425:AI425" ca="1" si="273">E409</f>
        <v>0</v>
      </c>
      <c r="F425" s="5">
        <f t="shared" ca="1" si="273"/>
        <v>28.450351351382608</v>
      </c>
      <c r="G425" s="5">
        <f t="shared" ca="1" si="273"/>
        <v>44.852208100825635</v>
      </c>
      <c r="H425" s="5">
        <f t="shared" ca="1" si="273"/>
        <v>45.317477940230916</v>
      </c>
      <c r="I425" s="5">
        <f t="shared" ca="1" si="273"/>
        <v>45.775084650991964</v>
      </c>
      <c r="J425" s="5">
        <f t="shared" ca="1" si="273"/>
        <v>46.223194141680501</v>
      </c>
      <c r="K425" s="5">
        <f t="shared" ca="1" si="273"/>
        <v>46.659896134097636</v>
      </c>
      <c r="L425" s="5">
        <f t="shared" ca="1" si="273"/>
        <v>47.083199995339719</v>
      </c>
      <c r="M425" s="5">
        <f t="shared" ca="1" si="273"/>
        <v>47.491030356284476</v>
      </c>
      <c r="N425" s="5">
        <f t="shared" ca="1" si="273"/>
        <v>47.881222505336879</v>
      </c>
      <c r="O425" s="5">
        <f t="shared" ca="1" si="273"/>
        <v>48.251517545692884</v>
      </c>
      <c r="P425" s="5">
        <f t="shared" ca="1" si="273"/>
        <v>48.59955730376592</v>
      </c>
      <c r="Q425" s="5">
        <f t="shared" ca="1" si="273"/>
        <v>48.922878975776541</v>
      </c>
      <c r="R425" s="5">
        <f t="shared" ca="1" si="273"/>
        <v>49.218909498827664</v>
      </c>
      <c r="S425" s="5">
        <f t="shared" ca="1" si="273"/>
        <v>49.484959632074009</v>
      </c>
      <c r="T425" s="5">
        <f t="shared" ca="1" si="273"/>
        <v>49.71821773284249</v>
      </c>
      <c r="U425" s="5">
        <f t="shared" ca="1" si="273"/>
        <v>76.678541290956332</v>
      </c>
      <c r="V425" s="5">
        <f t="shared" ca="1" si="273"/>
        <v>74.675647115299896</v>
      </c>
      <c r="W425" s="5">
        <f t="shared" ca="1" si="273"/>
        <v>71.91018754183537</v>
      </c>
      <c r="X425" s="5">
        <f t="shared" ca="1" si="273"/>
        <v>69.099329276745735</v>
      </c>
      <c r="Y425" s="5">
        <f t="shared" ca="1" si="273"/>
        <v>65.598945543862868</v>
      </c>
      <c r="Z425" s="5">
        <f t="shared" ca="1" si="273"/>
        <v>54.159917606885244</v>
      </c>
      <c r="AA425" s="5">
        <f t="shared" ca="1" si="273"/>
        <v>51.364473770403535</v>
      </c>
      <c r="AB425" s="5">
        <f t="shared" ca="1" si="273"/>
        <v>48.512015178272534</v>
      </c>
      <c r="AC425" s="5">
        <f t="shared" ca="1" si="273"/>
        <v>45.598538017828837</v>
      </c>
      <c r="AD425" s="5">
        <f t="shared" ca="1" si="273"/>
        <v>42.619845103510826</v>
      </c>
      <c r="AE425" s="5">
        <f t="shared" ca="1" si="273"/>
        <v>28.844392750351386</v>
      </c>
      <c r="AF425" s="5">
        <f t="shared" ca="1" si="273"/>
        <v>0</v>
      </c>
      <c r="AG425" s="5">
        <f t="shared" ca="1" si="273"/>
        <v>0</v>
      </c>
      <c r="AH425" s="5">
        <f t="shared" ca="1" si="273"/>
        <v>0</v>
      </c>
      <c r="AI425" s="5">
        <f t="shared" ca="1" si="273"/>
        <v>0</v>
      </c>
    </row>
    <row r="426" spans="1:35" x14ac:dyDescent="0.3">
      <c r="A426" s="5"/>
      <c r="B426" s="264" t="s">
        <v>4</v>
      </c>
      <c r="C426" s="198" t="s">
        <v>11</v>
      </c>
      <c r="D426" s="65"/>
      <c r="E426" s="5">
        <f t="shared" ref="E426:AI426" si="274">E410</f>
        <v>0</v>
      </c>
      <c r="F426" s="5">
        <f t="shared" ca="1" si="274"/>
        <v>28.934333529846327</v>
      </c>
      <c r="G426" s="5">
        <f t="shared" ca="1" si="274"/>
        <v>58.027646914252252</v>
      </c>
      <c r="H426" s="5">
        <f t="shared" ca="1" si="274"/>
        <v>58.027646914252252</v>
      </c>
      <c r="I426" s="5">
        <f t="shared" ca="1" si="274"/>
        <v>58.027646914252252</v>
      </c>
      <c r="J426" s="5">
        <f t="shared" ca="1" si="274"/>
        <v>58.027646914252252</v>
      </c>
      <c r="K426" s="5">
        <f t="shared" ca="1" si="274"/>
        <v>58.027646914252252</v>
      </c>
      <c r="L426" s="5">
        <f t="shared" ca="1" si="274"/>
        <v>58.027646914252252</v>
      </c>
      <c r="M426" s="5">
        <f t="shared" ca="1" si="274"/>
        <v>58.027646914252252</v>
      </c>
      <c r="N426" s="5">
        <f t="shared" ca="1" si="274"/>
        <v>58.027646914252252</v>
      </c>
      <c r="O426" s="5">
        <f t="shared" ca="1" si="274"/>
        <v>58.027646914252252</v>
      </c>
      <c r="P426" s="5">
        <f t="shared" ca="1" si="274"/>
        <v>58.027646914252252</v>
      </c>
      <c r="Q426" s="5">
        <f t="shared" ca="1" si="274"/>
        <v>58.027646914252252</v>
      </c>
      <c r="R426" s="5">
        <f t="shared" ca="1" si="274"/>
        <v>58.027646914252252</v>
      </c>
      <c r="S426" s="5">
        <f t="shared" ca="1" si="274"/>
        <v>58.027646914252252</v>
      </c>
      <c r="T426" s="5">
        <f t="shared" ca="1" si="274"/>
        <v>58.027646914252252</v>
      </c>
      <c r="U426" s="5">
        <f t="shared" ca="1" si="274"/>
        <v>24.851240648502035</v>
      </c>
      <c r="V426" s="5">
        <f t="shared" ca="1" si="274"/>
        <v>24.851240648502035</v>
      </c>
      <c r="W426" s="5">
        <f t="shared" ca="1" si="274"/>
        <v>24.851240648502035</v>
      </c>
      <c r="X426" s="5">
        <f t="shared" ca="1" si="274"/>
        <v>24.851240648502035</v>
      </c>
      <c r="Y426" s="5">
        <f t="shared" ca="1" si="274"/>
        <v>24.851240648502035</v>
      </c>
      <c r="Z426" s="5">
        <f t="shared" ca="1" si="274"/>
        <v>24.851240648502035</v>
      </c>
      <c r="AA426" s="5">
        <f t="shared" ca="1" si="274"/>
        <v>24.851240648502035</v>
      </c>
      <c r="AB426" s="5">
        <f t="shared" ca="1" si="274"/>
        <v>24.851240648502035</v>
      </c>
      <c r="AC426" s="5">
        <f t="shared" ca="1" si="274"/>
        <v>24.851240648502035</v>
      </c>
      <c r="AD426" s="5">
        <f t="shared" ca="1" si="274"/>
        <v>24.851240648502035</v>
      </c>
      <c r="AE426" s="5">
        <f t="shared" ca="1" si="274"/>
        <v>12.425620324251017</v>
      </c>
      <c r="AF426" s="5">
        <f t="shared" si="274"/>
        <v>0</v>
      </c>
      <c r="AG426" s="5">
        <f t="shared" si="274"/>
        <v>0</v>
      </c>
      <c r="AH426" s="5">
        <f t="shared" si="274"/>
        <v>0</v>
      </c>
      <c r="AI426" s="5">
        <f t="shared" si="274"/>
        <v>0</v>
      </c>
    </row>
    <row r="427" spans="1:35" x14ac:dyDescent="0.3">
      <c r="A427" s="5"/>
      <c r="B427" s="264" t="s">
        <v>79</v>
      </c>
      <c r="C427" s="198" t="s">
        <v>11</v>
      </c>
      <c r="D427" s="65"/>
      <c r="E427" s="5">
        <f t="shared" ref="E427:AI427" si="275">E352+E353</f>
        <v>0</v>
      </c>
      <c r="F427" s="5">
        <f t="shared" ca="1" si="275"/>
        <v>-28.993114089919043</v>
      </c>
      <c r="G427" s="5">
        <f t="shared" ca="1" si="275"/>
        <v>-57.986228179838086</v>
      </c>
      <c r="H427" s="5">
        <f t="shared" ca="1" si="275"/>
        <v>-57.986228179838086</v>
      </c>
      <c r="I427" s="5">
        <f t="shared" ca="1" si="275"/>
        <v>-57.986228179838086</v>
      </c>
      <c r="J427" s="5">
        <f t="shared" ca="1" si="275"/>
        <v>-57.986228179838086</v>
      </c>
      <c r="K427" s="5">
        <f t="shared" ca="1" si="275"/>
        <v>-57.986228179838086</v>
      </c>
      <c r="L427" s="5">
        <f t="shared" ca="1" si="275"/>
        <v>-57.986228179838086</v>
      </c>
      <c r="M427" s="5">
        <f t="shared" ca="1" si="275"/>
        <v>-57.986228179838086</v>
      </c>
      <c r="N427" s="5">
        <f t="shared" ca="1" si="275"/>
        <v>-57.986228179838086</v>
      </c>
      <c r="O427" s="5">
        <f t="shared" ca="1" si="275"/>
        <v>-57.986228179838086</v>
      </c>
      <c r="P427" s="5">
        <f t="shared" ca="1" si="275"/>
        <v>-57.986228179838086</v>
      </c>
      <c r="Q427" s="5">
        <f t="shared" ca="1" si="275"/>
        <v>-57.986228179838086</v>
      </c>
      <c r="R427" s="5">
        <f t="shared" ca="1" si="275"/>
        <v>-57.986228179838086</v>
      </c>
      <c r="S427" s="5">
        <f t="shared" ca="1" si="275"/>
        <v>-57.986228179838086</v>
      </c>
      <c r="T427" s="5">
        <f t="shared" ca="1" si="275"/>
        <v>-57.986228179838086</v>
      </c>
      <c r="U427" s="5">
        <f t="shared" ca="1" si="275"/>
        <v>-28.993114089918954</v>
      </c>
      <c r="V427" s="5">
        <f t="shared" ca="1" si="275"/>
        <v>0</v>
      </c>
      <c r="W427" s="5">
        <f t="shared" ca="1" si="275"/>
        <v>0</v>
      </c>
      <c r="X427" s="5">
        <f t="shared" ca="1" si="275"/>
        <v>0</v>
      </c>
      <c r="Y427" s="5">
        <f t="shared" ca="1" si="275"/>
        <v>0</v>
      </c>
      <c r="Z427" s="5">
        <f t="shared" ca="1" si="275"/>
        <v>0</v>
      </c>
      <c r="AA427" s="5">
        <f t="shared" ca="1" si="275"/>
        <v>0</v>
      </c>
      <c r="AB427" s="5">
        <f t="shared" ca="1" si="275"/>
        <v>0</v>
      </c>
      <c r="AC427" s="5">
        <f t="shared" ca="1" si="275"/>
        <v>0</v>
      </c>
      <c r="AD427" s="5">
        <f t="shared" ca="1" si="275"/>
        <v>0</v>
      </c>
      <c r="AE427" s="5">
        <f t="shared" ca="1" si="275"/>
        <v>0</v>
      </c>
      <c r="AF427" s="5">
        <f t="shared" ca="1" si="275"/>
        <v>0</v>
      </c>
      <c r="AG427" s="5">
        <f t="shared" ca="1" si="275"/>
        <v>0</v>
      </c>
      <c r="AH427" s="5">
        <f t="shared" ca="1" si="275"/>
        <v>0</v>
      </c>
      <c r="AI427" s="5">
        <f t="shared" ca="1" si="275"/>
        <v>0</v>
      </c>
    </row>
    <row r="428" spans="1:35" x14ac:dyDescent="0.3">
      <c r="A428" s="205"/>
      <c r="B428" s="5" t="s">
        <v>78</v>
      </c>
      <c r="C428" s="198" t="s">
        <v>11</v>
      </c>
      <c r="D428" s="65"/>
      <c r="E428" s="254">
        <f t="shared" ref="E428:AF428" si="276">E415</f>
        <v>0</v>
      </c>
      <c r="F428" s="254">
        <f t="shared" ca="1" si="276"/>
        <v>-25.678932309182528</v>
      </c>
      <c r="G428" s="254">
        <f t="shared" ca="1" si="276"/>
        <v>0.1936129354570113</v>
      </c>
      <c r="H428" s="254">
        <f t="shared" ca="1" si="276"/>
        <v>0.11121479288888025</v>
      </c>
      <c r="I428" s="254">
        <f t="shared" ca="1" si="276"/>
        <v>9.9367162311818191E-2</v>
      </c>
      <c r="J428" s="254">
        <f t="shared" ca="1" si="276"/>
        <v>8.7134766368706096E-2</v>
      </c>
      <c r="K428" s="254">
        <f t="shared" ca="1" si="276"/>
        <v>7.4495048486472371E-2</v>
      </c>
      <c r="L428" s="254">
        <f t="shared" ca="1" si="276"/>
        <v>6.1424320287976286E-2</v>
      </c>
      <c r="M428" s="254">
        <f t="shared" ca="1" si="276"/>
        <v>4.789770238276958E-2</v>
      </c>
      <c r="N428" s="254">
        <f t="shared" ca="1" si="276"/>
        <v>3.3889062079332177E-2</v>
      </c>
      <c r="O428" s="254">
        <f t="shared" ca="1" si="276"/>
        <v>1.9370947858046605E-2</v>
      </c>
      <c r="P428" s="254">
        <f t="shared" ca="1" si="276"/>
        <v>4.3145204357841749E-3</v>
      </c>
      <c r="Q428" s="254">
        <f t="shared" ca="1" si="276"/>
        <v>-1.1310519755973303E-2</v>
      </c>
      <c r="R428" s="254">
        <f t="shared" ca="1" si="276"/>
        <v>-2.7536008866693606E-2</v>
      </c>
      <c r="S428" s="254">
        <f t="shared" ca="1" si="276"/>
        <v>-4.4395399893353726E-2</v>
      </c>
      <c r="T428" s="254">
        <f t="shared" ca="1" si="276"/>
        <v>-6.1923847125104459E-2</v>
      </c>
      <c r="U428" s="254">
        <f t="shared" ca="1" si="276"/>
        <v>-8.015829498476279E-2</v>
      </c>
      <c r="V428" s="254">
        <f t="shared" ca="1" si="276"/>
        <v>-9.9137571496193289E-2</v>
      </c>
      <c r="W428" s="254">
        <f t="shared" ca="1" si="276"/>
        <v>-0.11890248662002989</v>
      </c>
      <c r="X428" s="254">
        <f t="shared" ca="1" si="276"/>
        <v>-0.139495935711345</v>
      </c>
      <c r="Y428" s="254">
        <f t="shared" ca="1" si="276"/>
        <v>-0.16096300836749933</v>
      </c>
      <c r="Z428" s="254">
        <f t="shared" ca="1" si="276"/>
        <v>-0.18335110294737333</v>
      </c>
      <c r="AA428" s="254">
        <f t="shared" ca="1" si="276"/>
        <v>-0.20671004705866736</v>
      </c>
      <c r="AB428" s="254">
        <f t="shared" ca="1" si="276"/>
        <v>-0.23109222432497489</v>
      </c>
      <c r="AC428" s="254">
        <f t="shared" ca="1" si="276"/>
        <v>-0.25655270776094241</v>
      </c>
      <c r="AD428" s="254">
        <f t="shared" ca="1" si="276"/>
        <v>-0.28314940010067957</v>
      </c>
      <c r="AE428" s="254">
        <f t="shared" ca="1" si="276"/>
        <v>-3.2060910066423993</v>
      </c>
      <c r="AF428" s="254">
        <f t="shared" ca="1" si="276"/>
        <v>0</v>
      </c>
      <c r="AG428" s="254">
        <f t="shared" ref="AG428:AI428" si="277">AG415</f>
        <v>0</v>
      </c>
      <c r="AH428" s="254">
        <f t="shared" si="277"/>
        <v>0</v>
      </c>
      <c r="AI428" s="254">
        <f t="shared" si="277"/>
        <v>0</v>
      </c>
    </row>
    <row r="429" spans="1:35" x14ac:dyDescent="0.3">
      <c r="A429" s="5"/>
      <c r="B429" s="264" t="s">
        <v>77</v>
      </c>
      <c r="C429" s="198" t="s">
        <v>11</v>
      </c>
      <c r="D429" s="65"/>
      <c r="E429" s="254">
        <f t="shared" ref="E429:AF429" ca="1" si="278">E416</f>
        <v>-582.04857646593382</v>
      </c>
      <c r="F429" s="254">
        <f t="shared" ca="1" si="278"/>
        <v>-660.51345595916791</v>
      </c>
      <c r="G429" s="254">
        <f t="shared" ca="1" si="278"/>
        <v>0</v>
      </c>
      <c r="H429" s="254">
        <f t="shared" ca="1" si="278"/>
        <v>0</v>
      </c>
      <c r="I429" s="254">
        <f t="shared" ca="1" si="278"/>
        <v>0</v>
      </c>
      <c r="J429" s="254">
        <f t="shared" ca="1" si="278"/>
        <v>0</v>
      </c>
      <c r="K429" s="254">
        <f t="shared" ca="1" si="278"/>
        <v>0</v>
      </c>
      <c r="L429" s="254">
        <f t="shared" ca="1" si="278"/>
        <v>0</v>
      </c>
      <c r="M429" s="254">
        <f t="shared" ca="1" si="278"/>
        <v>0</v>
      </c>
      <c r="N429" s="254">
        <f t="shared" ca="1" si="278"/>
        <v>0</v>
      </c>
      <c r="O429" s="254">
        <f t="shared" ca="1" si="278"/>
        <v>0</v>
      </c>
      <c r="P429" s="254">
        <f t="shared" ca="1" si="278"/>
        <v>0</v>
      </c>
      <c r="Q429" s="254">
        <f t="shared" ca="1" si="278"/>
        <v>0</v>
      </c>
      <c r="R429" s="254">
        <f t="shared" ca="1" si="278"/>
        <v>0</v>
      </c>
      <c r="S429" s="254">
        <f t="shared" ca="1" si="278"/>
        <v>0</v>
      </c>
      <c r="T429" s="254">
        <f t="shared" ca="1" si="278"/>
        <v>0</v>
      </c>
      <c r="U429" s="254">
        <f t="shared" ca="1" si="278"/>
        <v>0</v>
      </c>
      <c r="V429" s="254">
        <f t="shared" ca="1" si="278"/>
        <v>0</v>
      </c>
      <c r="W429" s="254">
        <f t="shared" ca="1" si="278"/>
        <v>0</v>
      </c>
      <c r="X429" s="254">
        <f t="shared" ca="1" si="278"/>
        <v>0</v>
      </c>
      <c r="Y429" s="254">
        <f t="shared" ca="1" si="278"/>
        <v>0</v>
      </c>
      <c r="Z429" s="254">
        <f t="shared" ca="1" si="278"/>
        <v>0</v>
      </c>
      <c r="AA429" s="254">
        <f t="shared" ca="1" si="278"/>
        <v>0</v>
      </c>
      <c r="AB429" s="254">
        <f t="shared" ca="1" si="278"/>
        <v>0</v>
      </c>
      <c r="AC429" s="254">
        <f t="shared" ca="1" si="278"/>
        <v>0</v>
      </c>
      <c r="AD429" s="254">
        <f t="shared" ca="1" si="278"/>
        <v>0</v>
      </c>
      <c r="AE429" s="254">
        <f t="shared" ca="1" si="278"/>
        <v>0</v>
      </c>
      <c r="AF429" s="254">
        <f t="shared" ca="1" si="278"/>
        <v>0</v>
      </c>
      <c r="AG429" s="254">
        <f ca="1">AG416</f>
        <v>0</v>
      </c>
      <c r="AH429" s="254">
        <f ca="1">AH416</f>
        <v>0</v>
      </c>
      <c r="AI429" s="254">
        <f ca="1">AI416</f>
        <v>0</v>
      </c>
    </row>
    <row r="430" spans="1:35" x14ac:dyDescent="0.3">
      <c r="A430" s="5"/>
      <c r="B430" s="264" t="s">
        <v>211</v>
      </c>
      <c r="C430" s="198" t="s">
        <v>11</v>
      </c>
      <c r="D430" s="65"/>
      <c r="E430" s="5">
        <f t="shared" ref="E430:AI430" ca="1" si="279">E347+E348+E349</f>
        <v>407.43400352615367</v>
      </c>
      <c r="F430" s="5">
        <f t="shared" ca="1" si="279"/>
        <v>462.35941917141758</v>
      </c>
      <c r="G430" s="5">
        <f t="shared" ca="1" si="279"/>
        <v>0</v>
      </c>
      <c r="H430" s="5">
        <f t="shared" ca="1" si="279"/>
        <v>0</v>
      </c>
      <c r="I430" s="5">
        <f t="shared" ca="1" si="279"/>
        <v>0</v>
      </c>
      <c r="J430" s="5">
        <f t="shared" ca="1" si="279"/>
        <v>0</v>
      </c>
      <c r="K430" s="5">
        <f t="shared" ca="1" si="279"/>
        <v>0</v>
      </c>
      <c r="L430" s="5">
        <f t="shared" ca="1" si="279"/>
        <v>0</v>
      </c>
      <c r="M430" s="5">
        <f t="shared" ca="1" si="279"/>
        <v>0</v>
      </c>
      <c r="N430" s="5">
        <f t="shared" ca="1" si="279"/>
        <v>0</v>
      </c>
      <c r="O430" s="5">
        <f t="shared" ca="1" si="279"/>
        <v>0</v>
      </c>
      <c r="P430" s="5">
        <f t="shared" ca="1" si="279"/>
        <v>0</v>
      </c>
      <c r="Q430" s="5">
        <f t="shared" ca="1" si="279"/>
        <v>0</v>
      </c>
      <c r="R430" s="5">
        <f t="shared" ca="1" si="279"/>
        <v>0</v>
      </c>
      <c r="S430" s="5">
        <f t="shared" ca="1" si="279"/>
        <v>0</v>
      </c>
      <c r="T430" s="5">
        <f t="shared" ca="1" si="279"/>
        <v>0</v>
      </c>
      <c r="U430" s="5">
        <f t="shared" ca="1" si="279"/>
        <v>0</v>
      </c>
      <c r="V430" s="5">
        <f t="shared" ca="1" si="279"/>
        <v>0</v>
      </c>
      <c r="W430" s="5">
        <f t="shared" ca="1" si="279"/>
        <v>0</v>
      </c>
      <c r="X430" s="5">
        <f t="shared" ca="1" si="279"/>
        <v>0</v>
      </c>
      <c r="Y430" s="5">
        <f t="shared" ca="1" si="279"/>
        <v>0</v>
      </c>
      <c r="Z430" s="5">
        <f t="shared" ca="1" si="279"/>
        <v>0</v>
      </c>
      <c r="AA430" s="5">
        <f t="shared" ca="1" si="279"/>
        <v>0</v>
      </c>
      <c r="AB430" s="5">
        <f t="shared" ca="1" si="279"/>
        <v>0</v>
      </c>
      <c r="AC430" s="5">
        <f t="shared" ca="1" si="279"/>
        <v>0</v>
      </c>
      <c r="AD430" s="5">
        <f t="shared" ca="1" si="279"/>
        <v>0</v>
      </c>
      <c r="AE430" s="5">
        <f t="shared" ca="1" si="279"/>
        <v>0</v>
      </c>
      <c r="AF430" s="5">
        <f t="shared" ca="1" si="279"/>
        <v>0</v>
      </c>
      <c r="AG430" s="5">
        <f t="shared" ca="1" si="279"/>
        <v>0</v>
      </c>
      <c r="AH430" s="5">
        <f t="shared" ca="1" si="279"/>
        <v>0</v>
      </c>
      <c r="AI430" s="5">
        <f t="shared" ca="1" si="279"/>
        <v>0</v>
      </c>
    </row>
    <row r="431" spans="1:35" x14ac:dyDescent="0.3">
      <c r="A431" s="5"/>
      <c r="B431" s="264" t="str">
        <f>B338</f>
        <v>Change in DSRA</v>
      </c>
      <c r="C431" s="198" t="s">
        <v>11</v>
      </c>
      <c r="D431" s="65"/>
      <c r="E431" s="264">
        <f t="shared" ref="E431:AI431" ca="1" si="280">E338</f>
        <v>0</v>
      </c>
      <c r="F431" s="264">
        <f t="shared" ca="1" si="280"/>
        <v>0</v>
      </c>
      <c r="G431" s="264">
        <f t="shared" ca="1" si="280"/>
        <v>0</v>
      </c>
      <c r="H431" s="264">
        <f t="shared" ca="1" si="280"/>
        <v>0</v>
      </c>
      <c r="I431" s="264">
        <f t="shared" ca="1" si="280"/>
        <v>0</v>
      </c>
      <c r="J431" s="264">
        <f t="shared" ca="1" si="280"/>
        <v>0</v>
      </c>
      <c r="K431" s="264">
        <f t="shared" ca="1" si="280"/>
        <v>0</v>
      </c>
      <c r="L431" s="264">
        <f t="shared" ca="1" si="280"/>
        <v>0</v>
      </c>
      <c r="M431" s="264">
        <f t="shared" ca="1" si="280"/>
        <v>0</v>
      </c>
      <c r="N431" s="264">
        <f t="shared" ca="1" si="280"/>
        <v>0</v>
      </c>
      <c r="O431" s="264">
        <f t="shared" ca="1" si="280"/>
        <v>0</v>
      </c>
      <c r="P431" s="264">
        <f t="shared" ca="1" si="280"/>
        <v>0</v>
      </c>
      <c r="Q431" s="264">
        <f t="shared" ca="1" si="280"/>
        <v>0</v>
      </c>
      <c r="R431" s="264">
        <f t="shared" ca="1" si="280"/>
        <v>0</v>
      </c>
      <c r="S431" s="264">
        <f t="shared" ca="1" si="280"/>
        <v>0</v>
      </c>
      <c r="T431" s="264">
        <f t="shared" ca="1" si="280"/>
        <v>0</v>
      </c>
      <c r="U431" s="264">
        <f t="shared" ca="1" si="280"/>
        <v>0</v>
      </c>
      <c r="V431" s="264">
        <f t="shared" ca="1" si="280"/>
        <v>0</v>
      </c>
      <c r="W431" s="264">
        <f t="shared" ca="1" si="280"/>
        <v>0</v>
      </c>
      <c r="X431" s="264">
        <f t="shared" ca="1" si="280"/>
        <v>0</v>
      </c>
      <c r="Y431" s="264">
        <f t="shared" ca="1" si="280"/>
        <v>0</v>
      </c>
      <c r="Z431" s="264">
        <f t="shared" ca="1" si="280"/>
        <v>0</v>
      </c>
      <c r="AA431" s="264">
        <f t="shared" ca="1" si="280"/>
        <v>0</v>
      </c>
      <c r="AB431" s="264">
        <f t="shared" ca="1" si="280"/>
        <v>0</v>
      </c>
      <c r="AC431" s="264">
        <f t="shared" ca="1" si="280"/>
        <v>0</v>
      </c>
      <c r="AD431" s="264">
        <f t="shared" ca="1" si="280"/>
        <v>0</v>
      </c>
      <c r="AE431" s="264">
        <f t="shared" ca="1" si="280"/>
        <v>0</v>
      </c>
      <c r="AF431" s="264">
        <f t="shared" ca="1" si="280"/>
        <v>0</v>
      </c>
      <c r="AG431" s="264">
        <f t="shared" ca="1" si="280"/>
        <v>0</v>
      </c>
      <c r="AH431" s="264">
        <f t="shared" ca="1" si="280"/>
        <v>0</v>
      </c>
      <c r="AI431" s="264">
        <f t="shared" ca="1" si="280"/>
        <v>0</v>
      </c>
    </row>
    <row r="432" spans="1:35" x14ac:dyDescent="0.3">
      <c r="A432" s="5"/>
      <c r="B432" s="67" t="s">
        <v>212</v>
      </c>
      <c r="C432" s="68" t="s">
        <v>11</v>
      </c>
      <c r="D432" s="65"/>
      <c r="E432" s="5">
        <f t="shared" ref="E432:AI432" si="281">E351+E354</f>
        <v>0</v>
      </c>
      <c r="F432" s="5">
        <f t="shared" si="281"/>
        <v>0</v>
      </c>
      <c r="G432" s="5">
        <f t="shared" si="281"/>
        <v>0</v>
      </c>
      <c r="H432" s="5">
        <f t="shared" si="281"/>
        <v>0</v>
      </c>
      <c r="I432" s="5">
        <f t="shared" si="281"/>
        <v>0</v>
      </c>
      <c r="J432" s="5">
        <f t="shared" si="281"/>
        <v>0</v>
      </c>
      <c r="K432" s="5">
        <f t="shared" si="281"/>
        <v>0</v>
      </c>
      <c r="L432" s="5">
        <f t="shared" si="281"/>
        <v>0</v>
      </c>
      <c r="M432" s="5">
        <f t="shared" si="281"/>
        <v>0</v>
      </c>
      <c r="N432" s="5">
        <f t="shared" si="281"/>
        <v>0</v>
      </c>
      <c r="O432" s="5">
        <f t="shared" si="281"/>
        <v>0</v>
      </c>
      <c r="P432" s="5">
        <f t="shared" si="281"/>
        <v>0</v>
      </c>
      <c r="Q432" s="5">
        <f t="shared" si="281"/>
        <v>0</v>
      </c>
      <c r="R432" s="5">
        <f t="shared" si="281"/>
        <v>0</v>
      </c>
      <c r="S432" s="5">
        <f t="shared" si="281"/>
        <v>0</v>
      </c>
      <c r="T432" s="5">
        <f t="shared" si="281"/>
        <v>0</v>
      </c>
      <c r="U432" s="5">
        <f t="shared" si="281"/>
        <v>0</v>
      </c>
      <c r="V432" s="5">
        <f t="shared" si="281"/>
        <v>0</v>
      </c>
      <c r="W432" s="5">
        <f t="shared" si="281"/>
        <v>0</v>
      </c>
      <c r="X432" s="5">
        <f t="shared" si="281"/>
        <v>0</v>
      </c>
      <c r="Y432" s="5">
        <f t="shared" si="281"/>
        <v>0</v>
      </c>
      <c r="Z432" s="5">
        <f t="shared" si="281"/>
        <v>0</v>
      </c>
      <c r="AA432" s="5">
        <f t="shared" si="281"/>
        <v>0</v>
      </c>
      <c r="AB432" s="5">
        <f t="shared" si="281"/>
        <v>0</v>
      </c>
      <c r="AC432" s="5">
        <f t="shared" si="281"/>
        <v>0</v>
      </c>
      <c r="AD432" s="5">
        <f t="shared" si="281"/>
        <v>0</v>
      </c>
      <c r="AE432" s="5">
        <f t="shared" si="281"/>
        <v>0</v>
      </c>
      <c r="AF432" s="5">
        <f t="shared" si="281"/>
        <v>0</v>
      </c>
      <c r="AG432" s="5">
        <f t="shared" si="281"/>
        <v>0</v>
      </c>
      <c r="AH432" s="5">
        <f t="shared" si="281"/>
        <v>0</v>
      </c>
      <c r="AI432" s="5">
        <f t="shared" si="281"/>
        <v>0</v>
      </c>
    </row>
    <row r="433" spans="1:36" x14ac:dyDescent="0.3">
      <c r="A433" s="5"/>
      <c r="B433" s="67" t="s">
        <v>213</v>
      </c>
      <c r="C433" s="68" t="s">
        <v>11</v>
      </c>
      <c r="D433" s="65"/>
      <c r="E433" s="5">
        <f t="shared" ref="E433:AI433" si="282">E355</f>
        <v>0</v>
      </c>
      <c r="F433" s="5">
        <f t="shared" ca="1" si="282"/>
        <v>19.259199231886896</v>
      </c>
      <c r="G433" s="5">
        <f t="shared" ca="1" si="282"/>
        <v>-0.14520970159275848</v>
      </c>
      <c r="H433" s="5">
        <f t="shared" ca="1" si="282"/>
        <v>-8.3411094666661967E-2</v>
      </c>
      <c r="I433" s="5">
        <f t="shared" ca="1" si="282"/>
        <v>-7.4525371733862755E-2</v>
      </c>
      <c r="J433" s="5">
        <f t="shared" ca="1" si="282"/>
        <v>-6.5351074776529572E-2</v>
      </c>
      <c r="K433" s="5">
        <f t="shared" ca="1" si="282"/>
        <v>-5.5871286364855166E-2</v>
      </c>
      <c r="L433" s="5">
        <f t="shared" ca="1" si="282"/>
        <v>-4.6068240215980438E-2</v>
      </c>
      <c r="M433" s="5">
        <f t="shared" ca="1" si="282"/>
        <v>-3.5923276787077185E-2</v>
      </c>
      <c r="N433" s="5">
        <f t="shared" ca="1" si="282"/>
        <v>-2.5416796559500909E-2</v>
      </c>
      <c r="O433" s="5">
        <f t="shared" ca="1" si="282"/>
        <v>-1.4528210893534066E-2</v>
      </c>
      <c r="P433" s="5">
        <f t="shared" ca="1" si="282"/>
        <v>-3.2358903268381312E-3</v>
      </c>
      <c r="Q433" s="5">
        <f t="shared" ca="1" si="282"/>
        <v>8.4828898169817535E-3</v>
      </c>
      <c r="R433" s="5">
        <f t="shared" ca="1" si="282"/>
        <v>2.065200665001754E-2</v>
      </c>
      <c r="S433" s="5">
        <f t="shared" ca="1" si="282"/>
        <v>3.3296549920017071E-2</v>
      </c>
      <c r="T433" s="5">
        <f t="shared" ca="1" si="282"/>
        <v>4.6442885343829232E-2</v>
      </c>
      <c r="U433" s="5">
        <f t="shared" ca="1" si="282"/>
        <v>6.0118721238570316E-2</v>
      </c>
      <c r="V433" s="5">
        <f t="shared" ca="1" si="282"/>
        <v>7.4353178622146743E-2</v>
      </c>
      <c r="W433" s="5">
        <f t="shared" ca="1" si="282"/>
        <v>8.9176864965022418E-2</v>
      </c>
      <c r="X433" s="5">
        <f t="shared" ca="1" si="282"/>
        <v>0.10462195178350697</v>
      </c>
      <c r="Y433" s="5">
        <f t="shared" ca="1" si="282"/>
        <v>0.12072225627562716</v>
      </c>
      <c r="Z433" s="5">
        <f t="shared" ca="1" si="282"/>
        <v>0.13751332721052734</v>
      </c>
      <c r="AA433" s="5">
        <f t="shared" ca="1" si="282"/>
        <v>0.15503253529400141</v>
      </c>
      <c r="AB433" s="5">
        <f t="shared" ca="1" si="282"/>
        <v>0.17331916824373295</v>
      </c>
      <c r="AC433" s="5">
        <f t="shared" ca="1" si="282"/>
        <v>0.19241453082070592</v>
      </c>
      <c r="AD433" s="5">
        <f t="shared" ca="1" si="282"/>
        <v>0.21236205007550879</v>
      </c>
      <c r="AE433" s="5">
        <f t="shared" ca="1" si="282"/>
        <v>2.4045682549818004</v>
      </c>
      <c r="AF433" s="5">
        <f t="shared" ca="1" si="282"/>
        <v>0</v>
      </c>
      <c r="AG433" s="5">
        <f t="shared" si="282"/>
        <v>0</v>
      </c>
      <c r="AH433" s="5">
        <f t="shared" si="282"/>
        <v>0</v>
      </c>
      <c r="AI433" s="5">
        <f t="shared" si="282"/>
        <v>0</v>
      </c>
    </row>
    <row r="434" spans="1:36" x14ac:dyDescent="0.3">
      <c r="A434" s="5"/>
      <c r="B434" s="67" t="s">
        <v>209</v>
      </c>
      <c r="C434" s="68" t="s">
        <v>11</v>
      </c>
      <c r="D434" s="65"/>
      <c r="E434" s="5">
        <f>IF(E$2=Input!$E$182,E370+E371+E373-SUM(E384:E388),0)</f>
        <v>0</v>
      </c>
      <c r="F434" s="5">
        <f>IF(F$2=Input!$E$182,F370+F371+F373-SUM(F384:F388),0)</f>
        <v>0</v>
      </c>
      <c r="G434" s="5">
        <f>IF(G$2=Input!$E$182,G370+G371+G373-SUM(G384:G388),0)</f>
        <v>0</v>
      </c>
      <c r="H434" s="5">
        <f>IF(H$2=Input!$E$182,H370+H371+H373-SUM(H384:H388),0)</f>
        <v>0</v>
      </c>
      <c r="I434" s="5">
        <f>IF(I$2=Input!$E$182,I370+I371+I373-SUM(I384:I388),0)</f>
        <v>0</v>
      </c>
      <c r="J434" s="5">
        <f>IF(J$2=Input!$E$182,J370+J371+J373-SUM(J384:J388),0)</f>
        <v>0</v>
      </c>
      <c r="K434" s="5">
        <f>IF(K$2=Input!$E$182,K370+K371+K373-SUM(K384:K388),0)</f>
        <v>0</v>
      </c>
      <c r="L434" s="5">
        <f>IF(L$2=Input!$E$182,L370+L371+L373-SUM(L384:L388),0)</f>
        <v>0</v>
      </c>
      <c r="M434" s="5">
        <f>IF(M$2=Input!$E$182,M370+M371+M373-SUM(M384:M388),0)</f>
        <v>0</v>
      </c>
      <c r="N434" s="5">
        <f>IF(N$2=Input!$E$182,N370+N371+N373-SUM(N384:N388),0)</f>
        <v>0</v>
      </c>
      <c r="O434" s="5">
        <f>IF(O$2=Input!$E$182,O370+O371+O373-SUM(O384:O388),0)</f>
        <v>0</v>
      </c>
      <c r="P434" s="5">
        <f>IF(P$2=Input!$E$182,P370+P371+P373-SUM(P384:P388),0)</f>
        <v>0</v>
      </c>
      <c r="Q434" s="5">
        <f>IF(Q$2=Input!$E$182,Q370+Q371+Q373-SUM(Q384:Q388),0)</f>
        <v>0</v>
      </c>
      <c r="R434" s="5">
        <f>IF(R$2=Input!$E$182,R370+R371+R373-SUM(R384:R388),0)</f>
        <v>0</v>
      </c>
      <c r="S434" s="5">
        <f>IF(S$2=Input!$E$182,S370+S371+S373-SUM(S384:S388),0)</f>
        <v>0</v>
      </c>
      <c r="T434" s="5">
        <f>IF(T$2=Input!$E$182,T370+T371+T373-SUM(T384:T388),0)</f>
        <v>0</v>
      </c>
      <c r="U434" s="5">
        <f>IF(U$2=Input!$E$182,U370+U371+U373-SUM(U384:U388),0)</f>
        <v>0</v>
      </c>
      <c r="V434" s="5">
        <f>IF(V$2=Input!$E$182,V370+V371+V373-SUM(V384:V388),0)</f>
        <v>0</v>
      </c>
      <c r="W434" s="5">
        <f>IF(W$2=Input!$E$182,W370+W371+W373-SUM(W384:W388),0)</f>
        <v>0</v>
      </c>
      <c r="X434" s="5">
        <f>IF(X$2=Input!$E$182,X370+X371+X373-SUM(X384:X388),0)</f>
        <v>0</v>
      </c>
      <c r="Y434" s="5">
        <f>IF(Y$2=Input!$E$182,Y370+Y371+Y373-SUM(Y384:Y388),0)</f>
        <v>0</v>
      </c>
      <c r="Z434" s="5">
        <f>IF(Z$2=Input!$E$182,Z370+Z371+Z373-SUM(Z384:Z388),0)</f>
        <v>0</v>
      </c>
      <c r="AA434" s="5">
        <f>IF(AA$2=Input!$E$182,AA370+AA371+AA373-SUM(AA384:AA388),0)</f>
        <v>0</v>
      </c>
      <c r="AB434" s="5">
        <f>IF(AB$2=Input!$E$182,AB370+AB371+AB373-SUM(AB384:AB388),0)</f>
        <v>0</v>
      </c>
      <c r="AC434" s="5">
        <f>IF(AC$2=Input!$E$182,AC370+AC371+AC373-SUM(AC384:AC388),0)</f>
        <v>0</v>
      </c>
      <c r="AD434" s="5">
        <f>IF(AD$2=Input!$E$182,AD370+AD371+AD373-SUM(AD384:AD388),0)</f>
        <v>0</v>
      </c>
      <c r="AE434" s="5">
        <f ca="1">IF(AE$2=Input!$E$182,AE370+AE371+AE373-SUM(AE384:AE388),0)</f>
        <v>147.81686043952269</v>
      </c>
      <c r="AF434" s="5">
        <f>IF(AF$2=Input!$E$182,AF370+AF371+AF373-SUM(AF384:AF388),0)</f>
        <v>0</v>
      </c>
      <c r="AG434" s="5">
        <f>IF(AG$2=Input!$E$182,AG370+AG371+AG373-SUM(AG384:AG388),0)</f>
        <v>0</v>
      </c>
      <c r="AH434" s="5">
        <f>IF(AH$2=Input!$E$182,AH370+AH371+AH373-SUM(AH384:AH388),0)</f>
        <v>0</v>
      </c>
      <c r="AI434" s="5">
        <f>IF(AI$2=Input!$E$182,AI370+AI371+AI373-SUM(AI384:AI388),0)</f>
        <v>0</v>
      </c>
    </row>
    <row r="435" spans="1:36" x14ac:dyDescent="0.3">
      <c r="A435" s="5"/>
      <c r="B435" s="67" t="s">
        <v>262</v>
      </c>
      <c r="C435" s="68" t="s">
        <v>11</v>
      </c>
      <c r="D435" s="65"/>
      <c r="E435" s="5">
        <f>IF(E$2=Input!$E$182,-Input!$E$227*E368,0)</f>
        <v>0</v>
      </c>
      <c r="F435" s="5">
        <f>IF(F$2=Input!$E$182,-Input!$E$227*F368,0)</f>
        <v>0</v>
      </c>
      <c r="G435" s="5">
        <f>IF(G$2=Input!$E$182,-Input!$E$227*G368,0)</f>
        <v>0</v>
      </c>
      <c r="H435" s="5">
        <f>IF(H$2=Input!$E$182,-Input!$E$227*H368,0)</f>
        <v>0</v>
      </c>
      <c r="I435" s="5">
        <f>IF(I$2=Input!$E$182,-Input!$E$227*I368,0)</f>
        <v>0</v>
      </c>
      <c r="J435" s="5">
        <f>IF(J$2=Input!$E$182,-Input!$E$227*J368,0)</f>
        <v>0</v>
      </c>
      <c r="K435" s="5">
        <f>IF(K$2=Input!$E$182,-Input!$E$227*K368,0)</f>
        <v>0</v>
      </c>
      <c r="L435" s="5">
        <f>IF(L$2=Input!$E$182,-Input!$E$227*L368,0)</f>
        <v>0</v>
      </c>
      <c r="M435" s="5">
        <f>IF(M$2=Input!$E$182,-Input!$E$227*M368,0)</f>
        <v>0</v>
      </c>
      <c r="N435" s="5">
        <f>IF(N$2=Input!$E$182,-Input!$E$227*N368,0)</f>
        <v>0</v>
      </c>
      <c r="O435" s="5">
        <f>IF(O$2=Input!$E$182,-Input!$E$227*O368,0)</f>
        <v>0</v>
      </c>
      <c r="P435" s="5">
        <f>IF(P$2=Input!$E$182,-Input!$E$227*P368,0)</f>
        <v>0</v>
      </c>
      <c r="Q435" s="5">
        <f>IF(Q$2=Input!$E$182,-Input!$E$227*Q368,0)</f>
        <v>0</v>
      </c>
      <c r="R435" s="5">
        <f>IF(R$2=Input!$E$182,-Input!$E$227*R368,0)</f>
        <v>0</v>
      </c>
      <c r="S435" s="5">
        <f>IF(S$2=Input!$E$182,-Input!$E$227*S368,0)</f>
        <v>0</v>
      </c>
      <c r="T435" s="5">
        <f>IF(T$2=Input!$E$182,-Input!$E$227*T368,0)</f>
        <v>0</v>
      </c>
      <c r="U435" s="5">
        <f>IF(U$2=Input!$E$182,-Input!$E$227*U368,0)</f>
        <v>0</v>
      </c>
      <c r="V435" s="5">
        <f>IF(V$2=Input!$E$182,-Input!$E$227*V368,0)</f>
        <v>0</v>
      </c>
      <c r="W435" s="5">
        <f>IF(W$2=Input!$E$182,-Input!$E$227*W368,0)</f>
        <v>0</v>
      </c>
      <c r="X435" s="5">
        <f>IF(X$2=Input!$E$182,-Input!$E$227*X368,0)</f>
        <v>0</v>
      </c>
      <c r="Y435" s="5">
        <f>IF(Y$2=Input!$E$182,-Input!$E$227*Y368,0)</f>
        <v>0</v>
      </c>
      <c r="Z435" s="5">
        <f>IF(Z$2=Input!$E$182,-Input!$E$227*Z368,0)</f>
        <v>0</v>
      </c>
      <c r="AA435" s="5">
        <f>IF(AA$2=Input!$E$182,-Input!$E$227*AA368,0)</f>
        <v>0</v>
      </c>
      <c r="AB435" s="5">
        <f>IF(AB$2=Input!$E$182,-Input!$E$227*AB368,0)</f>
        <v>0</v>
      </c>
      <c r="AC435" s="5">
        <f>IF(AC$2=Input!$E$182,-Input!$E$227*AC368,0)</f>
        <v>0</v>
      </c>
      <c r="AD435" s="5">
        <f>IF(AD$2=Input!$E$182,-Input!$E$227*AD368,0)</f>
        <v>0</v>
      </c>
      <c r="AE435" s="5">
        <f ca="1">IF(AE$2=Input!$E$182,-Input!$E$227*AE368,0)</f>
        <v>-3.1064050810627544</v>
      </c>
      <c r="AF435" s="5">
        <f>IF(AF$2=Input!$E$182,-Input!$E$227*AF368,0)</f>
        <v>0</v>
      </c>
      <c r="AG435" s="5">
        <f>IF(AG$2=Input!$E$182,-Input!$E$227*AG368,0)</f>
        <v>0</v>
      </c>
      <c r="AH435" s="5">
        <f>IF(AH$2=Input!$E$182,-Input!$E$227*AH368,0)</f>
        <v>0</v>
      </c>
      <c r="AI435" s="5">
        <f>IF(AI$2=Input!$E$182,-Input!$E$227*AI368,0)</f>
        <v>0</v>
      </c>
    </row>
    <row r="436" spans="1:36" x14ac:dyDescent="0.3">
      <c r="A436" s="5"/>
      <c r="B436" s="683" t="s">
        <v>263</v>
      </c>
      <c r="C436" s="684" t="s">
        <v>11</v>
      </c>
      <c r="D436" s="685"/>
      <c r="E436" s="217">
        <f ca="1">IF(E2&lt;=Input!$E$182,SUM(E425:E435),0)</f>
        <v>-174.61457293978015</v>
      </c>
      <c r="F436" s="217">
        <f ca="1">IF(F2&lt;=Input!$E$182,SUM(F425:F435),0)</f>
        <v>-176.18219907373611</v>
      </c>
      <c r="G436" s="217">
        <f ca="1">IF(G2&lt;=Input!$E$182,SUM(G425:G435),0)</f>
        <v>44.94203006910405</v>
      </c>
      <c r="H436" s="217">
        <f ca="1">IF(H2&lt;=Input!$E$182,SUM(H425:H435),0)</f>
        <v>45.38670037286731</v>
      </c>
      <c r="I436" s="217">
        <f ca="1">IF(I2&lt;=Input!$E$182,SUM(I425:I435),0)</f>
        <v>45.841345175984081</v>
      </c>
      <c r="J436" s="217">
        <f ca="1">IF(J2&lt;=Input!$E$182,SUM(J425:J435),0)</f>
        <v>46.286396567686843</v>
      </c>
      <c r="K436" s="217">
        <f ca="1">IF(K2&lt;=Input!$E$182,SUM(K425:K435),0)</f>
        <v>46.719938630633415</v>
      </c>
      <c r="L436" s="217">
        <f ca="1">IF(L2&lt;=Input!$E$182,SUM(L425:L435),0)</f>
        <v>47.13997480982588</v>
      </c>
      <c r="M436" s="217">
        <f ca="1">IF(M2&lt;=Input!$E$182,SUM(M425:M435),0)</f>
        <v>47.54442351629433</v>
      </c>
      <c r="N436" s="217">
        <f ca="1">IF(N2&lt;=Input!$E$182,SUM(N425:N435),0)</f>
        <v>47.931113505270886</v>
      </c>
      <c r="O436" s="217">
        <f ca="1">IF(O2&lt;=Input!$E$182,SUM(O425:O435),0)</f>
        <v>48.297779017071562</v>
      </c>
      <c r="P436" s="217">
        <f ca="1">IF(P2&lt;=Input!$E$182,SUM(P425:P435),0)</f>
        <v>48.64205466828902</v>
      </c>
      <c r="Q436" s="217">
        <f ca="1">IF(Q2&lt;=Input!$E$182,SUM(Q425:Q435),0)</f>
        <v>48.961470080251708</v>
      </c>
      <c r="R436" s="217">
        <f ca="1">IF(R2&lt;=Input!$E$182,SUM(R425:R435),0)</f>
        <v>49.253444231025149</v>
      </c>
      <c r="S436" s="217">
        <f ca="1">IF(S2&lt;=Input!$E$182,SUM(S425:S435),0)</f>
        <v>49.515279516514831</v>
      </c>
      <c r="T436" s="217">
        <f ca="1">IF(T2&lt;=Input!$E$182,SUM(T425:T435),0)</f>
        <v>49.744155505475383</v>
      </c>
      <c r="U436" s="217">
        <f ca="1">IF(U2&lt;=Input!$E$182,SUM(U425:U435),0)</f>
        <v>72.516628275793224</v>
      </c>
      <c r="V436" s="217">
        <f ca="1">IF(V2&lt;=Input!$E$182,SUM(V425:V435),0)</f>
        <v>99.502103370927898</v>
      </c>
      <c r="W436" s="217">
        <f ca="1">IF(W2&lt;=Input!$E$182,SUM(W425:W435),0)</f>
        <v>96.731702568682394</v>
      </c>
      <c r="X436" s="217">
        <f ca="1">IF(X2&lt;=Input!$E$182,SUM(X425:X435),0)</f>
        <v>93.915695941319939</v>
      </c>
      <c r="Y436" s="217">
        <f ca="1">IF(Y2&lt;=Input!$E$182,SUM(Y425:Y435),0)</f>
        <v>90.40994544027302</v>
      </c>
      <c r="Z436" s="217">
        <f ca="1">IF(Z2&lt;=Input!$E$182,SUM(Z425:Z435),0)</f>
        <v>78.96532047965043</v>
      </c>
      <c r="AA436" s="217">
        <f ca="1">IF(AA2&lt;=Input!$E$182,SUM(AA425:AA435),0)</f>
        <v>76.164036907140911</v>
      </c>
      <c r="AB436" s="217">
        <f ca="1">IF(AB2&lt;=Input!$E$182,SUM(AB425:AB435),0)</f>
        <v>73.305482770693331</v>
      </c>
      <c r="AC436" s="217">
        <f ca="1">IF(AC2&lt;=Input!$E$182,SUM(AC425:AC435),0)</f>
        <v>70.385640489390624</v>
      </c>
      <c r="AD436" s="217">
        <f ca="1">IF(AD2&lt;=Input!$E$182,SUM(AD425:AD435),0)</f>
        <v>67.400298401987698</v>
      </c>
      <c r="AE436" s="217">
        <f ca="1">IF(AE2&lt;=Input!$E$182,SUM(AE425:AE435),0)</f>
        <v>185.17894568140173</v>
      </c>
      <c r="AF436" s="217">
        <f>IF(AF2&lt;=Input!$E$182,SUM(AF425:AF435),0)</f>
        <v>0</v>
      </c>
      <c r="AG436" s="217">
        <f>IF(AG2&lt;=Input!$E$182,SUM(AG425:AG435),0)</f>
        <v>0</v>
      </c>
      <c r="AH436" s="217">
        <f>IF(AH2&lt;=Input!$E$182,SUM(AH425:AH435),0)</f>
        <v>0</v>
      </c>
      <c r="AI436" s="217">
        <f>IF(AI2&lt;=Input!$E$182,SUM(AI425:AI435),0)</f>
        <v>0</v>
      </c>
    </row>
    <row r="437" spans="1:36" x14ac:dyDescent="0.3">
      <c r="A437" s="5"/>
      <c r="B437" s="67"/>
      <c r="C437" s="68"/>
      <c r="D437" s="64"/>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row>
    <row r="438" spans="1:36" x14ac:dyDescent="0.3">
      <c r="A438" s="5"/>
      <c r="B438" s="253" t="s">
        <v>206</v>
      </c>
      <c r="C438" s="198" t="s">
        <v>28</v>
      </c>
      <c r="D438" s="272">
        <f ca="1">IRR(E436:AF436)</f>
        <v>0.13420900493681032</v>
      </c>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row>
    <row r="439" spans="1:36" x14ac:dyDescent="0.3">
      <c r="A439" s="5"/>
      <c r="B439" s="253" t="s">
        <v>210</v>
      </c>
      <c r="C439" s="198" t="s">
        <v>11</v>
      </c>
      <c r="D439" s="5">
        <f ca="1">NPV(10%,E436:AF436)</f>
        <v>108.04080815674072</v>
      </c>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row>
    <row r="440" spans="1:36" x14ac:dyDescent="0.3">
      <c r="A440" s="274"/>
      <c r="B440" s="3"/>
      <c r="C440" s="241"/>
      <c r="D440" s="274"/>
      <c r="E440" s="274"/>
      <c r="F440" s="274"/>
      <c r="G440" s="274"/>
      <c r="H440" s="274"/>
      <c r="I440" s="274"/>
      <c r="J440" s="274"/>
      <c r="K440" s="274"/>
      <c r="L440" s="274"/>
      <c r="M440" s="274"/>
      <c r="N440" s="274"/>
      <c r="O440" s="274"/>
      <c r="P440" s="274"/>
      <c r="Q440" s="274"/>
      <c r="R440" s="274"/>
      <c r="S440" s="274"/>
      <c r="T440" s="274"/>
      <c r="U440" s="274"/>
      <c r="V440" s="274"/>
      <c r="W440" s="274"/>
      <c r="X440" s="274"/>
      <c r="Y440" s="274"/>
      <c r="Z440" s="274"/>
      <c r="AA440" s="274"/>
      <c r="AB440" s="274"/>
      <c r="AC440" s="274"/>
      <c r="AD440" s="274"/>
      <c r="AE440" s="274"/>
      <c r="AF440" s="274"/>
      <c r="AG440" s="274"/>
      <c r="AH440" s="274"/>
      <c r="AI440" s="274"/>
    </row>
    <row r="441" spans="1:36" hidden="1" x14ac:dyDescent="0.3">
      <c r="A441" s="266" t="s">
        <v>489</v>
      </c>
      <c r="B441" s="267"/>
      <c r="C441" s="268"/>
      <c r="D441" s="269"/>
      <c r="E441" s="270"/>
      <c r="F441" s="270"/>
      <c r="G441" s="270"/>
      <c r="H441" s="270"/>
      <c r="I441" s="270"/>
      <c r="J441" s="270"/>
      <c r="K441" s="270"/>
      <c r="L441" s="270"/>
      <c r="M441" s="270"/>
      <c r="N441" s="270"/>
      <c r="O441" s="270"/>
      <c r="P441" s="270"/>
      <c r="Q441" s="270"/>
      <c r="R441" s="270"/>
      <c r="S441" s="270"/>
      <c r="T441" s="270"/>
      <c r="U441" s="269"/>
      <c r="V441" s="269"/>
      <c r="W441" s="269"/>
      <c r="X441" s="269"/>
      <c r="Y441" s="269"/>
      <c r="Z441" s="269"/>
      <c r="AA441" s="269"/>
      <c r="AB441" s="269"/>
      <c r="AC441" s="269"/>
      <c r="AD441" s="269"/>
      <c r="AE441" s="269"/>
      <c r="AF441" s="269"/>
      <c r="AG441" s="269"/>
      <c r="AH441" s="269"/>
      <c r="AI441" s="269"/>
    </row>
    <row r="442" spans="1:36" hidden="1" x14ac:dyDescent="0.3">
      <c r="A442" s="375"/>
      <c r="B442" s="493" t="s">
        <v>486</v>
      </c>
      <c r="C442" s="624"/>
      <c r="D442" s="702"/>
      <c r="E442" s="702"/>
      <c r="F442" s="702"/>
      <c r="G442" s="702"/>
      <c r="H442" s="702"/>
      <c r="I442" s="702"/>
      <c r="J442" s="702"/>
      <c r="K442" s="702"/>
      <c r="L442" s="702"/>
      <c r="M442" s="702"/>
      <c r="N442" s="702"/>
      <c r="O442" s="702"/>
      <c r="P442" s="702"/>
      <c r="Q442" s="702"/>
      <c r="R442" s="702"/>
      <c r="S442" s="702"/>
      <c r="T442" s="702"/>
      <c r="U442" s="702"/>
      <c r="V442" s="702"/>
      <c r="W442" s="702"/>
      <c r="X442" s="702"/>
      <c r="Y442" s="702"/>
      <c r="Z442" s="702"/>
      <c r="AA442" s="702"/>
      <c r="AB442" s="702"/>
      <c r="AC442" s="702"/>
      <c r="AD442" s="702"/>
      <c r="AE442" s="702"/>
      <c r="AF442" s="702"/>
      <c r="AG442" s="702"/>
      <c r="AH442" s="702"/>
      <c r="AI442" s="702"/>
      <c r="AJ442" s="375"/>
    </row>
    <row r="443" spans="1:36" hidden="1" x14ac:dyDescent="0.3">
      <c r="B443" s="80" t="s">
        <v>492</v>
      </c>
      <c r="C443" s="228" t="s">
        <v>516</v>
      </c>
      <c r="D443" s="765">
        <f>Input!$D$339</f>
        <v>4</v>
      </c>
      <c r="E443" s="275"/>
      <c r="F443" s="275"/>
      <c r="G443" s="275"/>
      <c r="H443" s="275"/>
      <c r="I443" s="275"/>
      <c r="J443" s="275"/>
      <c r="K443" s="275"/>
      <c r="L443" s="275"/>
      <c r="M443" s="275"/>
      <c r="N443" s="275"/>
      <c r="O443" s="275"/>
      <c r="P443" s="275"/>
      <c r="Q443" s="275"/>
      <c r="R443" s="275"/>
      <c r="S443" s="275"/>
      <c r="T443" s="275"/>
      <c r="U443" s="275"/>
      <c r="V443" s="275"/>
      <c r="W443" s="275"/>
      <c r="X443" s="275"/>
      <c r="Y443" s="275"/>
      <c r="Z443" s="275"/>
      <c r="AA443" s="275"/>
      <c r="AB443" s="275"/>
      <c r="AC443" s="275"/>
      <c r="AD443" s="275"/>
      <c r="AE443" s="275"/>
      <c r="AF443" s="275"/>
      <c r="AG443" s="275"/>
      <c r="AH443" s="275"/>
      <c r="AI443" s="275"/>
    </row>
    <row r="444" spans="1:36" hidden="1" x14ac:dyDescent="0.3">
      <c r="B444" s="80" t="s">
        <v>494</v>
      </c>
      <c r="C444" s="228" t="s">
        <v>0</v>
      </c>
      <c r="D444" s="276">
        <f>Input!$D$343</f>
        <v>0.02</v>
      </c>
      <c r="E444" s="275"/>
      <c r="F444" s="275"/>
      <c r="G444" s="275"/>
      <c r="H444" s="275"/>
      <c r="I444" s="275"/>
      <c r="J444" s="275"/>
      <c r="K444" s="275"/>
      <c r="L444" s="275"/>
      <c r="M444" s="275"/>
      <c r="N444" s="275"/>
      <c r="O444" s="275"/>
      <c r="P444" s="275"/>
      <c r="Q444" s="275"/>
      <c r="R444" s="275"/>
      <c r="S444" s="275"/>
      <c r="T444" s="275"/>
      <c r="U444" s="275"/>
      <c r="V444" s="275"/>
      <c r="W444" s="275"/>
      <c r="X444" s="275"/>
      <c r="Y444" s="275"/>
      <c r="Z444" s="275"/>
      <c r="AA444" s="275"/>
      <c r="AB444" s="275"/>
      <c r="AC444" s="275"/>
      <c r="AD444" s="275"/>
      <c r="AE444" s="275"/>
      <c r="AF444" s="275"/>
      <c r="AG444" s="275"/>
      <c r="AH444" s="275"/>
      <c r="AI444" s="275"/>
    </row>
    <row r="445" spans="1:36" hidden="1" x14ac:dyDescent="0.3">
      <c r="B445" s="240" t="s">
        <v>848</v>
      </c>
      <c r="C445" s="228" t="s">
        <v>516</v>
      </c>
      <c r="D445" s="305"/>
      <c r="E445" s="304">
        <f t="shared" ref="E445:AI445" si="283">IF(E$4=1,$D$443*(1+$D$444)^E10,0)</f>
        <v>0</v>
      </c>
      <c r="F445" s="304">
        <f t="shared" si="283"/>
        <v>4.0396923895806935</v>
      </c>
      <c r="G445" s="304">
        <f t="shared" si="283"/>
        <v>4.1204862373723081</v>
      </c>
      <c r="H445" s="304">
        <f t="shared" si="283"/>
        <v>4.2028959621197544</v>
      </c>
      <c r="I445" s="304">
        <f t="shared" si="283"/>
        <v>4.2869538813621491</v>
      </c>
      <c r="J445" s="304">
        <f t="shared" si="283"/>
        <v>4.3726929589893926</v>
      </c>
      <c r="K445" s="304">
        <f t="shared" si="283"/>
        <v>4.4601468181691803</v>
      </c>
      <c r="L445" s="304">
        <f t="shared" si="283"/>
        <v>4.5493497545325638</v>
      </c>
      <c r="M445" s="304">
        <f t="shared" si="283"/>
        <v>4.6403367496232155</v>
      </c>
      <c r="N445" s="304">
        <f t="shared" si="283"/>
        <v>4.7331434846156801</v>
      </c>
      <c r="O445" s="304">
        <f t="shared" si="283"/>
        <v>4.8278063543079934</v>
      </c>
      <c r="P445" s="304">
        <f t="shared" si="283"/>
        <v>4.9243624813941533</v>
      </c>
      <c r="Q445" s="304">
        <f t="shared" si="283"/>
        <v>5.0228497310220366</v>
      </c>
      <c r="R445" s="304">
        <f t="shared" si="283"/>
        <v>5.1233067256424771</v>
      </c>
      <c r="S445" s="304">
        <f t="shared" si="283"/>
        <v>5.2257728601553275</v>
      </c>
      <c r="T445" s="304">
        <f t="shared" si="283"/>
        <v>5.3302883173584332</v>
      </c>
      <c r="U445" s="304">
        <f t="shared" si="283"/>
        <v>5.4368940837056021</v>
      </c>
      <c r="V445" s="304">
        <f t="shared" si="283"/>
        <v>5.5456319653797141</v>
      </c>
      <c r="W445" s="304">
        <f t="shared" si="283"/>
        <v>5.6565446046873085</v>
      </c>
      <c r="X445" s="304">
        <f t="shared" si="283"/>
        <v>5.7696754967810548</v>
      </c>
      <c r="Y445" s="304">
        <f t="shared" si="283"/>
        <v>5.8850690067166758</v>
      </c>
      <c r="Z445" s="304">
        <f t="shared" si="283"/>
        <v>6.0027703868510098</v>
      </c>
      <c r="AA445" s="304">
        <f t="shared" si="283"/>
        <v>6.1228257945880298</v>
      </c>
      <c r="AB445" s="304">
        <f t="shared" si="283"/>
        <v>6.2452823104797908</v>
      </c>
      <c r="AC445" s="304">
        <f t="shared" si="283"/>
        <v>6.3701879566893869</v>
      </c>
      <c r="AD445" s="304">
        <f t="shared" si="283"/>
        <v>6.4975917158231749</v>
      </c>
      <c r="AE445" s="304">
        <f t="shared" si="283"/>
        <v>6.5622459621416684</v>
      </c>
      <c r="AF445" s="304">
        <f t="shared" si="283"/>
        <v>0</v>
      </c>
      <c r="AG445" s="304">
        <f t="shared" si="283"/>
        <v>0</v>
      </c>
      <c r="AH445" s="304">
        <f t="shared" si="283"/>
        <v>0</v>
      </c>
      <c r="AI445" s="304">
        <f t="shared" si="283"/>
        <v>0</v>
      </c>
    </row>
    <row r="446" spans="1:36" hidden="1" x14ac:dyDescent="0.3">
      <c r="E446" s="275"/>
      <c r="F446" s="275"/>
      <c r="G446" s="275"/>
      <c r="H446" s="275"/>
      <c r="I446" s="275"/>
      <c r="J446" s="275"/>
      <c r="K446" s="275"/>
      <c r="L446" s="275"/>
      <c r="M446" s="275"/>
      <c r="N446" s="275"/>
      <c r="O446" s="275"/>
      <c r="P446" s="275"/>
      <c r="Q446" s="275"/>
      <c r="R446" s="275"/>
      <c r="S446" s="275"/>
      <c r="T446" s="275"/>
      <c r="U446" s="275"/>
      <c r="V446" s="275"/>
      <c r="W446" s="275"/>
      <c r="X446" s="275"/>
      <c r="Y446" s="275"/>
      <c r="Z446" s="275"/>
      <c r="AA446" s="275"/>
      <c r="AB446" s="275"/>
      <c r="AC446" s="275"/>
      <c r="AD446" s="275"/>
      <c r="AE446" s="275"/>
      <c r="AF446" s="275"/>
      <c r="AG446" s="275"/>
      <c r="AH446" s="275"/>
      <c r="AI446" s="275"/>
    </row>
    <row r="447" spans="1:36" hidden="1" x14ac:dyDescent="0.3">
      <c r="B447" s="80" t="s">
        <v>495</v>
      </c>
      <c r="C447" s="228" t="s">
        <v>516</v>
      </c>
      <c r="D447" s="304">
        <f t="shared" ref="D447:AI447" ca="1" si="284">D277</f>
        <v>5.2535517329743424</v>
      </c>
      <c r="E447" s="304">
        <f t="shared" si="284"/>
        <v>0</v>
      </c>
      <c r="F447" s="304">
        <f t="shared" ca="1" si="284"/>
        <v>5.2535517329743424</v>
      </c>
      <c r="G447" s="304">
        <f t="shared" ca="1" si="284"/>
        <v>5.2535517329743424</v>
      </c>
      <c r="H447" s="304">
        <f t="shared" ca="1" si="284"/>
        <v>5.2535517329743424</v>
      </c>
      <c r="I447" s="304">
        <f t="shared" ca="1" si="284"/>
        <v>5.2535517329743424</v>
      </c>
      <c r="J447" s="304">
        <f t="shared" ca="1" si="284"/>
        <v>5.2535517329743424</v>
      </c>
      <c r="K447" s="304">
        <f t="shared" ca="1" si="284"/>
        <v>5.2535517329743424</v>
      </c>
      <c r="L447" s="304">
        <f t="shared" ca="1" si="284"/>
        <v>5.2535517329743424</v>
      </c>
      <c r="M447" s="304">
        <f t="shared" ca="1" si="284"/>
        <v>5.2535517329743424</v>
      </c>
      <c r="N447" s="304">
        <f t="shared" ca="1" si="284"/>
        <v>5.2535517329743424</v>
      </c>
      <c r="O447" s="304">
        <f t="shared" ca="1" si="284"/>
        <v>5.2535517329743424</v>
      </c>
      <c r="P447" s="304">
        <f t="shared" ca="1" si="284"/>
        <v>5.2535517329743424</v>
      </c>
      <c r="Q447" s="304">
        <f t="shared" ca="1" si="284"/>
        <v>5.2535517329743424</v>
      </c>
      <c r="R447" s="304">
        <f t="shared" ca="1" si="284"/>
        <v>5.2535517329743424</v>
      </c>
      <c r="S447" s="304">
        <f t="shared" ca="1" si="284"/>
        <v>5.2535517329743424</v>
      </c>
      <c r="T447" s="304">
        <f t="shared" ca="1" si="284"/>
        <v>5.2535517329743424</v>
      </c>
      <c r="U447" s="304">
        <f t="shared" ca="1" si="284"/>
        <v>5.2535517329743424</v>
      </c>
      <c r="V447" s="304">
        <f t="shared" ca="1" si="284"/>
        <v>5.2535517329743424</v>
      </c>
      <c r="W447" s="304">
        <f t="shared" ca="1" si="284"/>
        <v>5.2535517329743424</v>
      </c>
      <c r="X447" s="304">
        <f t="shared" ca="1" si="284"/>
        <v>5.2535517329743424</v>
      </c>
      <c r="Y447" s="304">
        <f t="shared" ca="1" si="284"/>
        <v>5.2535517329743424</v>
      </c>
      <c r="Z447" s="304">
        <f t="shared" ca="1" si="284"/>
        <v>5.2535517329743424</v>
      </c>
      <c r="AA447" s="304">
        <f t="shared" ca="1" si="284"/>
        <v>5.2535517329743424</v>
      </c>
      <c r="AB447" s="304">
        <f t="shared" ca="1" si="284"/>
        <v>5.2535517329743424</v>
      </c>
      <c r="AC447" s="304">
        <f t="shared" ca="1" si="284"/>
        <v>5.2535517329743424</v>
      </c>
      <c r="AD447" s="304">
        <f t="shared" ca="1" si="284"/>
        <v>5.2535517329743424</v>
      </c>
      <c r="AE447" s="304">
        <f t="shared" ca="1" si="284"/>
        <v>5.2535517329743424</v>
      </c>
      <c r="AF447" s="304">
        <f t="shared" si="284"/>
        <v>0</v>
      </c>
      <c r="AG447" s="304">
        <f t="shared" si="284"/>
        <v>0</v>
      </c>
      <c r="AH447" s="304">
        <f t="shared" si="284"/>
        <v>0</v>
      </c>
      <c r="AI447" s="304">
        <f t="shared" si="284"/>
        <v>0</v>
      </c>
    </row>
    <row r="448" spans="1:36" hidden="1" x14ac:dyDescent="0.3">
      <c r="B448" s="80"/>
      <c r="C448" s="228"/>
      <c r="D448" s="275"/>
      <c r="E448" s="275"/>
      <c r="F448" s="275"/>
      <c r="G448" s="275"/>
      <c r="H448" s="275"/>
      <c r="I448" s="275"/>
      <c r="J448" s="275"/>
      <c r="K448" s="275"/>
      <c r="L448" s="275"/>
      <c r="M448" s="275"/>
      <c r="N448" s="275"/>
      <c r="O448" s="275"/>
      <c r="P448" s="275"/>
      <c r="Q448" s="275"/>
      <c r="R448" s="275"/>
      <c r="S448" s="275"/>
      <c r="T448" s="275"/>
      <c r="U448" s="275"/>
      <c r="V448" s="275"/>
      <c r="W448" s="275"/>
      <c r="X448" s="275"/>
      <c r="Y448" s="275"/>
      <c r="Z448" s="275"/>
      <c r="AA448" s="275"/>
      <c r="AB448" s="275"/>
      <c r="AC448" s="275"/>
      <c r="AD448" s="275"/>
      <c r="AE448" s="275"/>
      <c r="AF448" s="275"/>
      <c r="AG448" s="275"/>
      <c r="AH448" s="275"/>
      <c r="AI448" s="275"/>
    </row>
    <row r="449" spans="1:36" hidden="1" x14ac:dyDescent="0.3">
      <c r="B449" s="80" t="s">
        <v>496</v>
      </c>
      <c r="C449" s="228" t="s">
        <v>497</v>
      </c>
      <c r="E449" s="81">
        <f t="shared" ref="E449:AI449" si="285">E158</f>
        <v>0</v>
      </c>
      <c r="F449" s="81">
        <f t="shared" si="285"/>
        <v>170.96053889396021</v>
      </c>
      <c r="G449" s="81">
        <f t="shared" si="285"/>
        <v>337.50830376468201</v>
      </c>
      <c r="H449" s="81">
        <f t="shared" si="285"/>
        <v>333.28944996762351</v>
      </c>
      <c r="I449" s="81">
        <f t="shared" si="285"/>
        <v>329.12333184302821</v>
      </c>
      <c r="J449" s="81">
        <f t="shared" si="285"/>
        <v>325.0092901949904</v>
      </c>
      <c r="K449" s="81">
        <f t="shared" si="285"/>
        <v>320.94667406755303</v>
      </c>
      <c r="L449" s="81">
        <f t="shared" si="285"/>
        <v>316.9348406417086</v>
      </c>
      <c r="M449" s="81">
        <f t="shared" si="285"/>
        <v>312.97315513368727</v>
      </c>
      <c r="N449" s="81">
        <f t="shared" si="285"/>
        <v>309.06099069451619</v>
      </c>
      <c r="O449" s="81">
        <f t="shared" si="285"/>
        <v>305.19772831083475</v>
      </c>
      <c r="P449" s="81">
        <f t="shared" si="285"/>
        <v>301.38275670694935</v>
      </c>
      <c r="Q449" s="81">
        <f t="shared" si="285"/>
        <v>297.6154722481125</v>
      </c>
      <c r="R449" s="81">
        <f t="shared" si="285"/>
        <v>293.89527884501109</v>
      </c>
      <c r="S449" s="81">
        <f t="shared" si="285"/>
        <v>290.2215878594485</v>
      </c>
      <c r="T449" s="81">
        <f t="shared" si="285"/>
        <v>286.59381801120537</v>
      </c>
      <c r="U449" s="81">
        <f t="shared" si="285"/>
        <v>283.01139528606535</v>
      </c>
      <c r="V449" s="81">
        <f t="shared" si="285"/>
        <v>279.47375284498952</v>
      </c>
      <c r="W449" s="81">
        <f t="shared" si="285"/>
        <v>275.98033093442717</v>
      </c>
      <c r="X449" s="81">
        <f t="shared" si="285"/>
        <v>272.53057679774685</v>
      </c>
      <c r="Y449" s="81">
        <f t="shared" si="285"/>
        <v>269.12394458777499</v>
      </c>
      <c r="Z449" s="81">
        <f t="shared" si="285"/>
        <v>265.75989528042783</v>
      </c>
      <c r="AA449" s="81">
        <f t="shared" si="285"/>
        <v>262.43789658942251</v>
      </c>
      <c r="AB449" s="81">
        <f t="shared" si="285"/>
        <v>259.15742288205473</v>
      </c>
      <c r="AC449" s="81">
        <f t="shared" si="285"/>
        <v>255.91795509602909</v>
      </c>
      <c r="AD449" s="81">
        <f t="shared" si="285"/>
        <v>252.71898065732873</v>
      </c>
      <c r="AE449" s="81">
        <f t="shared" si="285"/>
        <v>147.01904533227525</v>
      </c>
      <c r="AF449" s="81">
        <f t="shared" si="285"/>
        <v>0</v>
      </c>
      <c r="AG449" s="81">
        <f t="shared" si="285"/>
        <v>0</v>
      </c>
      <c r="AH449" s="81">
        <f t="shared" si="285"/>
        <v>0</v>
      </c>
      <c r="AI449" s="81">
        <f t="shared" si="285"/>
        <v>0</v>
      </c>
    </row>
    <row r="450" spans="1:36" hidden="1" x14ac:dyDescent="0.3">
      <c r="B450" s="80" t="s">
        <v>486</v>
      </c>
      <c r="C450" s="228" t="s">
        <v>522</v>
      </c>
      <c r="D450" s="275"/>
      <c r="E450" s="304">
        <f t="shared" ref="E450:AI450" si="286">E445-E447</f>
        <v>0</v>
      </c>
      <c r="F450" s="304">
        <f t="shared" ca="1" si="286"/>
        <v>-1.2138593433936489</v>
      </c>
      <c r="G450" s="304">
        <f t="shared" ca="1" si="286"/>
        <v>-1.1330654956020343</v>
      </c>
      <c r="H450" s="304">
        <f t="shared" ca="1" si="286"/>
        <v>-1.0506557708545881</v>
      </c>
      <c r="I450" s="304">
        <f t="shared" ca="1" si="286"/>
        <v>-0.96659785161219336</v>
      </c>
      <c r="J450" s="304">
        <f t="shared" ca="1" si="286"/>
        <v>-0.88085877398494983</v>
      </c>
      <c r="K450" s="304">
        <f t="shared" ca="1" si="286"/>
        <v>-0.79340491480516206</v>
      </c>
      <c r="L450" s="304">
        <f t="shared" ca="1" si="286"/>
        <v>-0.70420197844177856</v>
      </c>
      <c r="M450" s="304">
        <f t="shared" ca="1" si="286"/>
        <v>-0.6132149833511269</v>
      </c>
      <c r="N450" s="304">
        <f t="shared" ca="1" si="286"/>
        <v>-0.52040824835866228</v>
      </c>
      <c r="O450" s="304">
        <f t="shared" ca="1" si="286"/>
        <v>-0.42574537866634898</v>
      </c>
      <c r="P450" s="304">
        <f t="shared" ca="1" si="286"/>
        <v>-0.32918925158018908</v>
      </c>
      <c r="Q450" s="304">
        <f t="shared" ca="1" si="286"/>
        <v>-0.23070200195230584</v>
      </c>
      <c r="R450" s="304">
        <f t="shared" ca="1" si="286"/>
        <v>-0.13024500733186528</v>
      </c>
      <c r="S450" s="304">
        <f t="shared" ca="1" si="286"/>
        <v>-2.7778872819014921E-2</v>
      </c>
      <c r="T450" s="304">
        <f t="shared" ca="1" si="286"/>
        <v>7.6736584384090811E-2</v>
      </c>
      <c r="U450" s="304">
        <f t="shared" ca="1" si="286"/>
        <v>0.18334235073125971</v>
      </c>
      <c r="V450" s="304">
        <f t="shared" ca="1" si="286"/>
        <v>0.29208023240537173</v>
      </c>
      <c r="W450" s="304">
        <f t="shared" ca="1" si="286"/>
        <v>0.40299287171296605</v>
      </c>
      <c r="X450" s="304">
        <f t="shared" ca="1" si="286"/>
        <v>0.51612376380671243</v>
      </c>
      <c r="Y450" s="304">
        <f t="shared" ca="1" si="286"/>
        <v>0.63151727374233335</v>
      </c>
      <c r="Z450" s="304">
        <f t="shared" ca="1" si="286"/>
        <v>0.74921865387666742</v>
      </c>
      <c r="AA450" s="304">
        <f t="shared" ca="1" si="286"/>
        <v>0.86927406161368737</v>
      </c>
      <c r="AB450" s="304">
        <f t="shared" ca="1" si="286"/>
        <v>0.99173057750544835</v>
      </c>
      <c r="AC450" s="304">
        <f t="shared" ca="1" si="286"/>
        <v>1.1166362237150445</v>
      </c>
      <c r="AD450" s="304">
        <f t="shared" ca="1" si="286"/>
        <v>1.2440399828488324</v>
      </c>
      <c r="AE450" s="304">
        <f t="shared" ca="1" si="286"/>
        <v>1.308694229167326</v>
      </c>
      <c r="AF450" s="304">
        <f t="shared" si="286"/>
        <v>0</v>
      </c>
      <c r="AG450" s="304">
        <f t="shared" si="286"/>
        <v>0</v>
      </c>
      <c r="AH450" s="304">
        <f t="shared" si="286"/>
        <v>0</v>
      </c>
      <c r="AI450" s="304">
        <f t="shared" si="286"/>
        <v>0</v>
      </c>
    </row>
    <row r="451" spans="1:36" hidden="1" x14ac:dyDescent="0.3">
      <c r="B451" s="80" t="s">
        <v>524</v>
      </c>
      <c r="C451" s="228" t="s">
        <v>11</v>
      </c>
      <c r="D451" s="307">
        <f ca="1">SUM(E451:AI451)</f>
        <v>-66.510183946753244</v>
      </c>
      <c r="E451" s="304">
        <f t="shared" ref="E451:AI451" si="287">E449*E450/10</f>
        <v>0</v>
      </c>
      <c r="F451" s="304">
        <f t="shared" ca="1" si="287"/>
        <v>-20.75220474880469</v>
      </c>
      <c r="G451" s="304">
        <f t="shared" ca="1" si="287"/>
        <v>-38.24190134749314</v>
      </c>
      <c r="H451" s="304">
        <f t="shared" ca="1" si="287"/>
        <v>-35.017248397343515</v>
      </c>
      <c r="I451" s="304">
        <f t="shared" ca="1" si="287"/>
        <v>-31.812990547491808</v>
      </c>
      <c r="J451" s="304">
        <f t="shared" ca="1" si="287"/>
        <v>-28.628728489487806</v>
      </c>
      <c r="K451" s="304">
        <f t="shared" ca="1" si="287"/>
        <v>-25.464066859556702</v>
      </c>
      <c r="L451" s="304">
        <f t="shared" ca="1" si="287"/>
        <v>-22.318614181702099</v>
      </c>
      <c r="M451" s="304">
        <f t="shared" ca="1" si="287"/>
        <v>-19.191982811465369</v>
      </c>
      <c r="N451" s="304">
        <f t="shared" ca="1" si="287"/>
        <v>-16.083788880332598</v>
      </c>
      <c r="O451" s="304">
        <f t="shared" ca="1" si="287"/>
        <v>-12.993652240780582</v>
      </c>
      <c r="P451" s="304">
        <f t="shared" ca="1" si="287"/>
        <v>-9.9211964119534866</v>
      </c>
      <c r="Q451" s="304">
        <f t="shared" ca="1" si="287"/>
        <v>-6.8660485259620474</v>
      </c>
      <c r="R451" s="304">
        <f t="shared" ca="1" si="287"/>
        <v>-3.8278392747969057</v>
      </c>
      <c r="S451" s="304">
        <f t="shared" ca="1" si="287"/>
        <v>-0.80620285784801848</v>
      </c>
      <c r="T451" s="304">
        <f t="shared" ca="1" si="287"/>
        <v>2.1992230699775623</v>
      </c>
      <c r="U451" s="304">
        <f t="shared" ca="1" si="287"/>
        <v>5.1887974495480975</v>
      </c>
      <c r="V451" s="304">
        <f t="shared" ca="1" si="287"/>
        <v>8.1628758682165952</v>
      </c>
      <c r="W451" s="304">
        <f t="shared" ca="1" si="287"/>
        <v>11.121810609955952</v>
      </c>
      <c r="X451" s="304">
        <f t="shared" ca="1" si="287"/>
        <v>14.06595070492674</v>
      </c>
      <c r="Y451" s="304">
        <f t="shared" ca="1" si="287"/>
        <v>16.995641978485445</v>
      </c>
      <c r="Z451" s="304">
        <f t="shared" ca="1" si="287"/>
        <v>19.911227099640623</v>
      </c>
      <c r="AA451" s="304">
        <f t="shared" ca="1" si="287"/>
        <v>22.813045628964016</v>
      </c>
      <c r="AB451" s="304">
        <f t="shared" ca="1" si="287"/>
        <v>25.701434065964385</v>
      </c>
      <c r="AC451" s="304">
        <f t="shared" ca="1" si="287"/>
        <v>28.576725895930622</v>
      </c>
      <c r="AD451" s="304">
        <f t="shared" ca="1" si="287"/>
        <v>31.439251636251765</v>
      </c>
      <c r="AE451" s="304">
        <f t="shared" ca="1" si="287"/>
        <v>19.240297620403815</v>
      </c>
      <c r="AF451" s="304">
        <f t="shared" si="287"/>
        <v>0</v>
      </c>
      <c r="AG451" s="304">
        <f t="shared" si="287"/>
        <v>0</v>
      </c>
      <c r="AH451" s="304">
        <f t="shared" si="287"/>
        <v>0</v>
      </c>
      <c r="AI451" s="304">
        <f t="shared" si="287"/>
        <v>0</v>
      </c>
    </row>
    <row r="452" spans="1:36" hidden="1" x14ac:dyDescent="0.3">
      <c r="B452" s="80" t="s">
        <v>874</v>
      </c>
      <c r="C452" s="228"/>
      <c r="D452" s="280">
        <f ca="1">SUM(G452:AI452)</f>
        <v>-136.74675621433653</v>
      </c>
      <c r="E452" s="716">
        <f t="shared" ref="E452:F452" si="288">E451*E254</f>
        <v>0</v>
      </c>
      <c r="F452" s="716">
        <f t="shared" ca="1" si="288"/>
        <v>-20.75220474880469</v>
      </c>
      <c r="G452" s="716">
        <f t="shared" ref="G452:AI452" ca="1" si="289">G451*G254</f>
        <v>-35.581805563561304</v>
      </c>
      <c r="H452" s="716">
        <f t="shared" ca="1" si="289"/>
        <v>-30.315101562877331</v>
      </c>
      <c r="I452" s="716">
        <f t="shared" ca="1" si="289"/>
        <v>-25.625362190732048</v>
      </c>
      <c r="J452" s="716">
        <f t="shared" ca="1" si="289"/>
        <v>-21.456361673950447</v>
      </c>
      <c r="K452" s="716">
        <f t="shared" ca="1" si="289"/>
        <v>-17.757028536373024</v>
      </c>
      <c r="L452" s="716">
        <f t="shared" ca="1" si="289"/>
        <v>-14.4809901031572</v>
      </c>
      <c r="M452" s="716">
        <f t="shared" ca="1" si="289"/>
        <v>-11.586156312073351</v>
      </c>
      <c r="N452" s="716">
        <f t="shared" ca="1" si="289"/>
        <v>-9.0343394943967308</v>
      </c>
      <c r="O452" s="716">
        <f t="shared" ca="1" si="289"/>
        <v>-6.790907068135132</v>
      </c>
      <c r="P452" s="716">
        <f t="shared" ca="1" si="289"/>
        <v>-4.8244643431497174</v>
      </c>
      <c r="Q452" s="716">
        <f t="shared" ca="1" si="289"/>
        <v>-3.1065648731531734</v>
      </c>
      <c r="R452" s="716">
        <f t="shared" ca="1" si="289"/>
        <v>-1.6114460053750097</v>
      </c>
      <c r="S452" s="716">
        <f t="shared" ca="1" si="289"/>
        <v>-0.31578747649439282</v>
      </c>
      <c r="T452" s="716">
        <f t="shared" ca="1" si="289"/>
        <v>0.80150891525357226</v>
      </c>
      <c r="U452" s="716">
        <f t="shared" ca="1" si="289"/>
        <v>1.7595203657239349</v>
      </c>
      <c r="V452" s="716">
        <f t="shared" ca="1" si="289"/>
        <v>2.5754864998986653</v>
      </c>
      <c r="W452" s="716">
        <f t="shared" ca="1" si="289"/>
        <v>3.2649766983964015</v>
      </c>
      <c r="X452" s="716">
        <f t="shared" ca="1" si="289"/>
        <v>3.8420426996537089</v>
      </c>
      <c r="Y452" s="716">
        <f t="shared" ca="1" si="289"/>
        <v>4.3193577447978795</v>
      </c>
      <c r="Z452" s="716">
        <f t="shared" ca="1" si="289"/>
        <v>4.7083434248673051</v>
      </c>
      <c r="AA452" s="716">
        <f t="shared" ca="1" si="289"/>
        <v>5.0192852916707276</v>
      </c>
      <c r="AB452" s="716">
        <f t="shared" ca="1" si="289"/>
        <v>5.2614382034630109</v>
      </c>
      <c r="AC452" s="716">
        <f t="shared" ca="1" si="289"/>
        <v>5.4431222940652431</v>
      </c>
      <c r="AD452" s="716">
        <f t="shared" ca="1" si="289"/>
        <v>5.5718103784423487</v>
      </c>
      <c r="AE452" s="716">
        <f t="shared" ca="1" si="289"/>
        <v>3.1726664728595098</v>
      </c>
      <c r="AF452" s="716">
        <f t="shared" si="289"/>
        <v>0</v>
      </c>
      <c r="AG452" s="716">
        <f t="shared" si="289"/>
        <v>0</v>
      </c>
      <c r="AH452" s="716">
        <f t="shared" si="289"/>
        <v>0</v>
      </c>
      <c r="AI452" s="716">
        <f t="shared" si="289"/>
        <v>0</v>
      </c>
    </row>
    <row r="453" spans="1:36" hidden="1" x14ac:dyDescent="0.3">
      <c r="B453" s="80" t="s">
        <v>872</v>
      </c>
      <c r="C453" s="228"/>
      <c r="D453" s="280"/>
      <c r="E453" s="716">
        <f>E445*E449/10</f>
        <v>0</v>
      </c>
      <c r="F453" s="716">
        <f>F445*F449/10</f>
        <v>69.062798788854522</v>
      </c>
      <c r="G453" s="716">
        <f>G445*G449/10</f>
        <v>139.06983206612446</v>
      </c>
      <c r="H453" s="716">
        <f t="shared" ref="H453:AI453" si="290">H445*H449/10</f>
        <v>140.07808834860387</v>
      </c>
      <c r="I453" s="716">
        <f t="shared" si="290"/>
        <v>141.09365448913124</v>
      </c>
      <c r="J453" s="716">
        <f t="shared" si="290"/>
        <v>142.11658348417748</v>
      </c>
      <c r="K453" s="716">
        <f t="shared" si="290"/>
        <v>143.14692871443776</v>
      </c>
      <c r="L453" s="716">
        <f t="shared" si="290"/>
        <v>144.18474394761742</v>
      </c>
      <c r="M453" s="716">
        <f t="shared" si="290"/>
        <v>145.23008334123767</v>
      </c>
      <c r="N453" s="716">
        <f t="shared" si="290"/>
        <v>146.28300144546168</v>
      </c>
      <c r="O453" s="716">
        <f t="shared" si="290"/>
        <v>147.34355320594125</v>
      </c>
      <c r="P453" s="716">
        <f t="shared" si="290"/>
        <v>148.41179396668434</v>
      </c>
      <c r="Q453" s="716">
        <f t="shared" si="290"/>
        <v>149.4877794729428</v>
      </c>
      <c r="R453" s="716">
        <f t="shared" si="290"/>
        <v>150.57156587412166</v>
      </c>
      <c r="S453" s="716">
        <f t="shared" si="290"/>
        <v>151.66320972670908</v>
      </c>
      <c r="T453" s="716">
        <f t="shared" si="290"/>
        <v>152.76276799722768</v>
      </c>
      <c r="U453" s="716">
        <f t="shared" si="290"/>
        <v>153.87029806520763</v>
      </c>
      <c r="V453" s="716">
        <f t="shared" si="290"/>
        <v>154.98585772618037</v>
      </c>
      <c r="W453" s="716">
        <f t="shared" si="290"/>
        <v>156.1095051946952</v>
      </c>
      <c r="X453" s="716">
        <f t="shared" si="290"/>
        <v>157.24129910735672</v>
      </c>
      <c r="Y453" s="716">
        <f t="shared" si="290"/>
        <v>158.38129852588506</v>
      </c>
      <c r="Z453" s="716">
        <f t="shared" si="290"/>
        <v>159.52956294019776</v>
      </c>
      <c r="AA453" s="716">
        <f t="shared" si="290"/>
        <v>160.6861522715142</v>
      </c>
      <c r="AB453" s="716">
        <f t="shared" si="290"/>
        <v>161.85112687548269</v>
      </c>
      <c r="AC453" s="716">
        <f t="shared" si="290"/>
        <v>163.02454754532999</v>
      </c>
      <c r="AD453" s="716">
        <f t="shared" si="290"/>
        <v>164.20647551503365</v>
      </c>
      <c r="AE453" s="716">
        <f t="shared" si="290"/>
        <v>96.477513658964625</v>
      </c>
      <c r="AF453" s="716">
        <f t="shared" si="290"/>
        <v>0</v>
      </c>
      <c r="AG453" s="716">
        <f t="shared" si="290"/>
        <v>0</v>
      </c>
      <c r="AH453" s="716">
        <f t="shared" si="290"/>
        <v>0</v>
      </c>
      <c r="AI453" s="716">
        <f t="shared" si="290"/>
        <v>0</v>
      </c>
    </row>
    <row r="454" spans="1:36" hidden="1" x14ac:dyDescent="0.3">
      <c r="B454" s="80" t="s">
        <v>873</v>
      </c>
      <c r="C454" s="228"/>
      <c r="D454" s="280"/>
      <c r="E454" s="716">
        <f t="shared" ref="E454:F454" si="291">E447*E449/10</f>
        <v>0</v>
      </c>
      <c r="F454" s="716">
        <f t="shared" ca="1" si="291"/>
        <v>89.815003537659209</v>
      </c>
      <c r="G454" s="716">
        <f t="shared" ref="G454:AI454" ca="1" si="292">G447*G449/10</f>
        <v>177.31173341361759</v>
      </c>
      <c r="H454" s="716">
        <f t="shared" ca="1" si="292"/>
        <v>175.09533674594738</v>
      </c>
      <c r="I454" s="716">
        <f t="shared" ca="1" si="292"/>
        <v>172.90664503662305</v>
      </c>
      <c r="J454" s="716">
        <f t="shared" ca="1" si="292"/>
        <v>170.74531197366528</v>
      </c>
      <c r="K454" s="716">
        <f t="shared" ca="1" si="292"/>
        <v>168.61099557399447</v>
      </c>
      <c r="L454" s="716">
        <f t="shared" ca="1" si="292"/>
        <v>166.50335812931954</v>
      </c>
      <c r="M454" s="716">
        <f t="shared" ca="1" si="292"/>
        <v>164.42206615270305</v>
      </c>
      <c r="N454" s="716">
        <f t="shared" ca="1" si="292"/>
        <v>162.36679032579428</v>
      </c>
      <c r="O454" s="716">
        <f t="shared" ca="1" si="292"/>
        <v>160.33720544672184</v>
      </c>
      <c r="P454" s="716">
        <f t="shared" ca="1" si="292"/>
        <v>158.33299037863782</v>
      </c>
      <c r="Q454" s="716">
        <f t="shared" ca="1" si="292"/>
        <v>156.35382799890488</v>
      </c>
      <c r="R454" s="716">
        <f t="shared" ca="1" si="292"/>
        <v>154.39940514891856</v>
      </c>
      <c r="S454" s="716">
        <f t="shared" ca="1" si="292"/>
        <v>152.46941258455712</v>
      </c>
      <c r="T454" s="716">
        <f t="shared" ca="1" si="292"/>
        <v>150.56354492725012</v>
      </c>
      <c r="U454" s="716">
        <f t="shared" ca="1" si="292"/>
        <v>148.68150061565953</v>
      </c>
      <c r="V454" s="716">
        <f t="shared" ca="1" si="292"/>
        <v>146.82298185796378</v>
      </c>
      <c r="W454" s="716">
        <f t="shared" ca="1" si="292"/>
        <v>144.98769458473924</v>
      </c>
      <c r="X454" s="716">
        <f t="shared" ca="1" si="292"/>
        <v>143.17534840242999</v>
      </c>
      <c r="Y454" s="716">
        <f t="shared" ca="1" si="292"/>
        <v>141.38565654739961</v>
      </c>
      <c r="Z454" s="716">
        <f t="shared" ca="1" si="292"/>
        <v>139.61833584055714</v>
      </c>
      <c r="AA454" s="716">
        <f t="shared" ca="1" si="292"/>
        <v>137.8731066425502</v>
      </c>
      <c r="AB454" s="716">
        <f t="shared" ca="1" si="292"/>
        <v>136.14969280951831</v>
      </c>
      <c r="AC454" s="716">
        <f t="shared" ca="1" si="292"/>
        <v>134.44782164939937</v>
      </c>
      <c r="AD454" s="716">
        <f t="shared" ca="1" si="292"/>
        <v>132.76722387878186</v>
      </c>
      <c r="AE454" s="716">
        <f t="shared" ca="1" si="292"/>
        <v>77.237216038560803</v>
      </c>
      <c r="AF454" s="716">
        <f t="shared" si="292"/>
        <v>0</v>
      </c>
      <c r="AG454" s="716">
        <f t="shared" si="292"/>
        <v>0</v>
      </c>
      <c r="AH454" s="716">
        <f t="shared" si="292"/>
        <v>0</v>
      </c>
      <c r="AI454" s="716">
        <f t="shared" si="292"/>
        <v>0</v>
      </c>
    </row>
    <row r="455" spans="1:36" hidden="1" x14ac:dyDescent="0.3">
      <c r="A455" s="375"/>
      <c r="B455" s="493" t="s">
        <v>847</v>
      </c>
      <c r="C455" s="624"/>
      <c r="D455" s="702"/>
      <c r="E455" s="702"/>
      <c r="F455" s="1207">
        <f ca="1">F453-F454</f>
        <v>-20.752204748804687</v>
      </c>
      <c r="G455" s="702"/>
      <c r="H455" s="702"/>
      <c r="I455" s="702"/>
      <c r="J455" s="702"/>
      <c r="K455" s="702"/>
      <c r="L455" s="702"/>
      <c r="M455" s="702"/>
      <c r="N455" s="702"/>
      <c r="O455" s="702"/>
      <c r="P455" s="702"/>
      <c r="Q455" s="702"/>
      <c r="R455" s="702"/>
      <c r="S455" s="702"/>
      <c r="T455" s="702"/>
      <c r="U455" s="702"/>
      <c r="V455" s="702"/>
      <c r="W455" s="702"/>
      <c r="X455" s="702"/>
      <c r="Y455" s="702"/>
      <c r="Z455" s="702"/>
      <c r="AA455" s="702"/>
      <c r="AB455" s="702"/>
      <c r="AC455" s="702"/>
      <c r="AD455" s="702"/>
      <c r="AE455" s="702"/>
      <c r="AF455" s="702"/>
      <c r="AG455" s="702"/>
      <c r="AH455" s="702"/>
      <c r="AI455" s="702"/>
      <c r="AJ455" s="375"/>
    </row>
    <row r="456" spans="1:36" hidden="1" x14ac:dyDescent="0.3">
      <c r="B456" s="80" t="s">
        <v>535</v>
      </c>
      <c r="C456" s="228" t="s">
        <v>497</v>
      </c>
      <c r="D456" s="277">
        <v>0</v>
      </c>
      <c r="E456" s="308">
        <f>IF(E$4=1,Input!$D$337,0)</f>
        <v>0</v>
      </c>
      <c r="F456" s="308">
        <f>IF(F$4=1,Input!$D$337,0)</f>
        <v>26494</v>
      </c>
      <c r="G456" s="308">
        <f>IF(G$4=1,Input!$D$337,0)</f>
        <v>26494</v>
      </c>
      <c r="H456" s="308">
        <f>IF(H$4=1,Input!$D$337,0)</f>
        <v>26494</v>
      </c>
      <c r="I456" s="308">
        <f>IF(I$4=1,Input!$D$337,0)</f>
        <v>26494</v>
      </c>
      <c r="J456" s="308">
        <f>IF(J$4=1,Input!$D$337,0)</f>
        <v>26494</v>
      </c>
      <c r="K456" s="308">
        <f>IF(K$4=1,Input!$D$337,0)</f>
        <v>26494</v>
      </c>
      <c r="L456" s="308">
        <f>IF(L$4=1,Input!$D$337,0)</f>
        <v>26494</v>
      </c>
      <c r="M456" s="308">
        <f>IF(M$4=1,Input!$D$337,0)</f>
        <v>26494</v>
      </c>
      <c r="N456" s="308">
        <f>IF(N$4=1,Input!$D$337,0)</f>
        <v>26494</v>
      </c>
      <c r="O456" s="308">
        <f>IF(O$4=1,Input!$D$337,0)</f>
        <v>26494</v>
      </c>
      <c r="P456" s="308">
        <f>IF(P$4=1,Input!$D$337,0)</f>
        <v>26494</v>
      </c>
      <c r="Q456" s="308">
        <f>IF(Q$4=1,Input!$D$337,0)</f>
        <v>26494</v>
      </c>
      <c r="R456" s="308">
        <f>IF(R$4=1,Input!$D$337,0)</f>
        <v>26494</v>
      </c>
      <c r="S456" s="308">
        <f>IF(S$4=1,Input!$D$337,0)</f>
        <v>26494</v>
      </c>
      <c r="T456" s="308">
        <f>IF(T$4=1,Input!$D$337,0)</f>
        <v>26494</v>
      </c>
      <c r="U456" s="308">
        <f>IF(U$4=1,Input!$D$337,0)</f>
        <v>26494</v>
      </c>
      <c r="V456" s="308">
        <f>IF(V$4=1,Input!$D$337,0)</f>
        <v>26494</v>
      </c>
      <c r="W456" s="308">
        <f>IF(W$4=1,Input!$D$337,0)</f>
        <v>26494</v>
      </c>
      <c r="X456" s="308">
        <f>IF(X$4=1,Input!$D$337,0)</f>
        <v>26494</v>
      </c>
      <c r="Y456" s="308">
        <f>IF(Y$4=1,Input!$D$337,0)</f>
        <v>26494</v>
      </c>
      <c r="Z456" s="308">
        <f>IF(Z$4=1,Input!$D$337,0)</f>
        <v>26494</v>
      </c>
      <c r="AA456" s="308">
        <f>IF(AA$4=1,Input!$D$337,0)</f>
        <v>26494</v>
      </c>
      <c r="AB456" s="308">
        <f>IF(AB$4=1,Input!$D$337,0)</f>
        <v>26494</v>
      </c>
      <c r="AC456" s="308">
        <f>IF(AC$4=1,Input!$D$337,0)</f>
        <v>26494</v>
      </c>
      <c r="AD456" s="308">
        <f>IF(AD$4=1,Input!$D$337,0)</f>
        <v>26494</v>
      </c>
      <c r="AE456" s="308">
        <f>IF(AE$4=1,Input!$D$337,0)</f>
        <v>26494</v>
      </c>
      <c r="AF456" s="308">
        <f>IF(AF$4=1,Input!$D$337,0)</f>
        <v>0</v>
      </c>
      <c r="AG456" s="308">
        <f>IF(AG$4=1,Input!$D$337,0)</f>
        <v>0</v>
      </c>
      <c r="AH456" s="308">
        <f>IF(AH$4=1,Input!$D$337,0)</f>
        <v>0</v>
      </c>
      <c r="AI456" s="308">
        <f>IF(AI$4=1,Input!$D$337,0)</f>
        <v>0</v>
      </c>
    </row>
    <row r="457" spans="1:36" hidden="1" x14ac:dyDescent="0.3">
      <c r="B457" s="80" t="s">
        <v>496</v>
      </c>
      <c r="C457" s="228" t="s">
        <v>497</v>
      </c>
      <c r="D457" s="275"/>
      <c r="E457" s="307">
        <f>E449</f>
        <v>0</v>
      </c>
      <c r="F457" s="307">
        <f t="shared" ref="F457:AI457" si="293">F449</f>
        <v>170.96053889396021</v>
      </c>
      <c r="G457" s="307">
        <f t="shared" si="293"/>
        <v>337.50830376468201</v>
      </c>
      <c r="H457" s="309">
        <f t="shared" si="293"/>
        <v>333.28944996762351</v>
      </c>
      <c r="I457" s="309">
        <f t="shared" si="293"/>
        <v>329.12333184302821</v>
      </c>
      <c r="J457" s="309">
        <f t="shared" si="293"/>
        <v>325.0092901949904</v>
      </c>
      <c r="K457" s="309">
        <f t="shared" si="293"/>
        <v>320.94667406755303</v>
      </c>
      <c r="L457" s="309">
        <f t="shared" si="293"/>
        <v>316.9348406417086</v>
      </c>
      <c r="M457" s="309">
        <f t="shared" si="293"/>
        <v>312.97315513368727</v>
      </c>
      <c r="N457" s="309">
        <f t="shared" si="293"/>
        <v>309.06099069451619</v>
      </c>
      <c r="O457" s="309">
        <f t="shared" si="293"/>
        <v>305.19772831083475</v>
      </c>
      <c r="P457" s="309">
        <f t="shared" si="293"/>
        <v>301.38275670694935</v>
      </c>
      <c r="Q457" s="309">
        <f t="shared" si="293"/>
        <v>297.6154722481125</v>
      </c>
      <c r="R457" s="309">
        <f t="shared" si="293"/>
        <v>293.89527884501109</v>
      </c>
      <c r="S457" s="309">
        <f t="shared" si="293"/>
        <v>290.2215878594485</v>
      </c>
      <c r="T457" s="309">
        <f t="shared" si="293"/>
        <v>286.59381801120537</v>
      </c>
      <c r="U457" s="309">
        <f t="shared" si="293"/>
        <v>283.01139528606535</v>
      </c>
      <c r="V457" s="309">
        <f t="shared" si="293"/>
        <v>279.47375284498952</v>
      </c>
      <c r="W457" s="309">
        <f t="shared" si="293"/>
        <v>275.98033093442717</v>
      </c>
      <c r="X457" s="309">
        <f t="shared" si="293"/>
        <v>272.53057679774685</v>
      </c>
      <c r="Y457" s="309">
        <f t="shared" si="293"/>
        <v>269.12394458777499</v>
      </c>
      <c r="Z457" s="309">
        <f t="shared" si="293"/>
        <v>265.75989528042783</v>
      </c>
      <c r="AA457" s="309">
        <f t="shared" si="293"/>
        <v>262.43789658942251</v>
      </c>
      <c r="AB457" s="309">
        <f t="shared" si="293"/>
        <v>259.15742288205473</v>
      </c>
      <c r="AC457" s="309">
        <f t="shared" si="293"/>
        <v>255.91795509602909</v>
      </c>
      <c r="AD457" s="309">
        <f t="shared" si="293"/>
        <v>252.71898065732873</v>
      </c>
      <c r="AE457" s="309">
        <f t="shared" si="293"/>
        <v>147.01904533227525</v>
      </c>
      <c r="AF457" s="309">
        <f t="shared" si="293"/>
        <v>0</v>
      </c>
      <c r="AG457" s="309">
        <f t="shared" si="293"/>
        <v>0</v>
      </c>
      <c r="AH457" s="309">
        <f t="shared" si="293"/>
        <v>0</v>
      </c>
      <c r="AI457" s="309">
        <f t="shared" si="293"/>
        <v>0</v>
      </c>
    </row>
    <row r="458" spans="1:36" hidden="1" x14ac:dyDescent="0.3">
      <c r="B458" s="80"/>
      <c r="C458" s="228"/>
      <c r="D458" s="275"/>
      <c r="E458" s="275"/>
      <c r="F458" s="275"/>
      <c r="G458" s="275"/>
      <c r="H458" s="275"/>
      <c r="I458" s="275"/>
      <c r="J458" s="275"/>
      <c r="K458" s="275"/>
      <c r="L458" s="275"/>
      <c r="M458" s="275"/>
      <c r="N458" s="275"/>
      <c r="O458" s="275"/>
      <c r="P458" s="275"/>
      <c r="Q458" s="275"/>
      <c r="R458" s="275"/>
      <c r="S458" s="275"/>
      <c r="T458" s="275"/>
      <c r="U458" s="275"/>
      <c r="V458" s="275"/>
      <c r="W458" s="275"/>
      <c r="X458" s="275"/>
      <c r="Y458" s="275"/>
      <c r="Z458" s="275"/>
      <c r="AA458" s="275"/>
      <c r="AB458" s="275"/>
      <c r="AC458" s="275"/>
      <c r="AD458" s="275"/>
      <c r="AE458" s="275"/>
      <c r="AF458" s="275"/>
      <c r="AG458" s="275"/>
      <c r="AH458" s="275"/>
      <c r="AI458" s="275"/>
    </row>
    <row r="459" spans="1:36" hidden="1" x14ac:dyDescent="0.3">
      <c r="B459" s="80" t="s">
        <v>536</v>
      </c>
      <c r="C459" s="228" t="s">
        <v>839</v>
      </c>
      <c r="D459" s="277"/>
      <c r="E459" s="308">
        <f>IF(E$4=1,Input!$D$345,0)/10^6</f>
        <v>0</v>
      </c>
      <c r="F459" s="308">
        <f>IF(F$4=1,Input!$D$345,0)/10^6</f>
        <v>29.868594833153747</v>
      </c>
      <c r="G459" s="308">
        <f>IF(G$4=1,Input!$D$345,0)/10^6</f>
        <v>29.868594833153747</v>
      </c>
      <c r="H459" s="308">
        <f>IF(H$4=1,Input!$D$345,0)/10^6</f>
        <v>29.868594833153747</v>
      </c>
      <c r="I459" s="308">
        <f>IF(I$4=1,Input!$D$345,0)/10^6</f>
        <v>29.868594833153747</v>
      </c>
      <c r="J459" s="308">
        <f>IF(J$4=1,Input!$D$345,0)/10^6</f>
        <v>29.868594833153747</v>
      </c>
      <c r="K459" s="308">
        <f>IF(K$4=1,Input!$D$345,0)/10^6</f>
        <v>29.868594833153747</v>
      </c>
      <c r="L459" s="308">
        <f>IF(L$4=1,Input!$D$345,0)/10^6</f>
        <v>29.868594833153747</v>
      </c>
      <c r="M459" s="308">
        <f>IF(M$4=1,Input!$D$345,0)/10^6</f>
        <v>29.868594833153747</v>
      </c>
      <c r="N459" s="308">
        <f>IF(N$4=1,Input!$D$345,0)/10^6</f>
        <v>29.868594833153747</v>
      </c>
      <c r="O459" s="308">
        <f>IF(O$4=1,Input!$D$345,0)/10^6</f>
        <v>29.868594833153747</v>
      </c>
      <c r="P459" s="308">
        <f>IF(P$4=1,Input!$D$345,0)/10^6</f>
        <v>29.868594833153747</v>
      </c>
      <c r="Q459" s="308">
        <f>IF(Q$4=1,Input!$D$345,0)/10^6</f>
        <v>29.868594833153747</v>
      </c>
      <c r="R459" s="308">
        <f>IF(R$4=1,Input!$D$345,0)/10^6</f>
        <v>29.868594833153747</v>
      </c>
      <c r="S459" s="308">
        <f>IF(S$4=1,Input!$D$345,0)/10^6</f>
        <v>29.868594833153747</v>
      </c>
      <c r="T459" s="308">
        <f>IF(T$4=1,Input!$D$345,0)/10^6</f>
        <v>29.868594833153747</v>
      </c>
      <c r="U459" s="308">
        <f>IF(U$4=1,Input!$D$345,0)/10^6</f>
        <v>29.868594833153747</v>
      </c>
      <c r="V459" s="308">
        <f>IF(V$4=1,Input!$D$345,0)/10^6</f>
        <v>29.868594833153747</v>
      </c>
      <c r="W459" s="308">
        <f>IF(W$4=1,Input!$D$345,0)/10^6</f>
        <v>29.868594833153747</v>
      </c>
      <c r="X459" s="308">
        <f>IF(X$4=1,Input!$D$345,0)/10^6</f>
        <v>29.868594833153747</v>
      </c>
      <c r="Y459" s="308">
        <f>IF(Y$4=1,Input!$D$345,0)/10^6</f>
        <v>29.868594833153747</v>
      </c>
      <c r="Z459" s="308">
        <f>IF(Z$4=1,Input!$D$345,0)/10^6</f>
        <v>29.868594833153747</v>
      </c>
      <c r="AA459" s="308">
        <f>IF(AA$4=1,Input!$D$345,0)/10^6</f>
        <v>29.868594833153747</v>
      </c>
      <c r="AB459" s="308">
        <f>IF(AB$4=1,Input!$D$345,0)/10^6</f>
        <v>29.868594833153747</v>
      </c>
      <c r="AC459" s="308">
        <f>IF(AC$4=1,Input!$D$345,0)/10^6</f>
        <v>29.868594833153747</v>
      </c>
      <c r="AD459" s="308">
        <f>IF(AD$4=1,Input!$D$345,0)/10^6</f>
        <v>29.868594833153747</v>
      </c>
      <c r="AE459" s="308">
        <f>IF(AE$4=1,Input!$D$345,0)/10^6</f>
        <v>29.868594833153747</v>
      </c>
      <c r="AF459" s="308">
        <f>IF(AF$4=1,Input!$D$345,0)/10^6</f>
        <v>0</v>
      </c>
      <c r="AG459" s="308">
        <f>IF(AG$4=1,Input!$D$345,0)/10^6</f>
        <v>0</v>
      </c>
      <c r="AH459" s="308">
        <f>IF(AH$4=1,Input!$D$345,0)/10^6</f>
        <v>0</v>
      </c>
      <c r="AI459" s="308">
        <f>IF(AI$4=1,Input!$D$345,0)/10^6</f>
        <v>0</v>
      </c>
    </row>
    <row r="460" spans="1:36" hidden="1" x14ac:dyDescent="0.3">
      <c r="B460" s="80" t="s">
        <v>498</v>
      </c>
      <c r="C460" s="228" t="s">
        <v>499</v>
      </c>
      <c r="D460" s="275"/>
      <c r="E460" s="277">
        <f t="shared" ref="E460:AI460" si="294">IFERROR(E459*E457/E456,0)*10^6</f>
        <v>0</v>
      </c>
      <c r="F460" s="277">
        <f t="shared" si="294"/>
        <v>192736.13152718803</v>
      </c>
      <c r="G460" s="277">
        <f t="shared" si="294"/>
        <v>380497.42500084045</v>
      </c>
      <c r="H460" s="277">
        <f t="shared" si="294"/>
        <v>375741.20718833001</v>
      </c>
      <c r="I460" s="277">
        <f t="shared" si="294"/>
        <v>371044.44209847588</v>
      </c>
      <c r="J460" s="277">
        <f t="shared" si="294"/>
        <v>366406.38657224487</v>
      </c>
      <c r="K460" s="277">
        <f t="shared" si="294"/>
        <v>361826.30674009188</v>
      </c>
      <c r="L460" s="277">
        <f t="shared" si="294"/>
        <v>357303.47790584073</v>
      </c>
      <c r="M460" s="277">
        <f t="shared" si="294"/>
        <v>352837.18443201773</v>
      </c>
      <c r="N460" s="277">
        <f t="shared" si="294"/>
        <v>348426.71962661756</v>
      </c>
      <c r="O460" s="277">
        <f t="shared" si="294"/>
        <v>344071.38563128479</v>
      </c>
      <c r="P460" s="277">
        <f t="shared" si="294"/>
        <v>339770.49331089383</v>
      </c>
      <c r="Q460" s="277">
        <f t="shared" si="294"/>
        <v>335523.36214450764</v>
      </c>
      <c r="R460" s="277">
        <f t="shared" si="294"/>
        <v>331329.32011770125</v>
      </c>
      <c r="S460" s="277">
        <f t="shared" si="294"/>
        <v>327187.70361623011</v>
      </c>
      <c r="T460" s="277">
        <f t="shared" si="294"/>
        <v>323097.85732102714</v>
      </c>
      <c r="U460" s="277">
        <f t="shared" si="294"/>
        <v>319059.13410451444</v>
      </c>
      <c r="V460" s="277">
        <f t="shared" si="294"/>
        <v>315070.89492820791</v>
      </c>
      <c r="W460" s="277">
        <f t="shared" si="294"/>
        <v>311132.50874160544</v>
      </c>
      <c r="X460" s="277">
        <f t="shared" si="294"/>
        <v>307243.35238233529</v>
      </c>
      <c r="Y460" s="277">
        <f t="shared" si="294"/>
        <v>303402.81047755614</v>
      </c>
      <c r="Z460" s="277">
        <f t="shared" si="294"/>
        <v>299610.27534658671</v>
      </c>
      <c r="AA460" s="277">
        <f t="shared" si="294"/>
        <v>295865.14690475434</v>
      </c>
      <c r="AB460" s="277">
        <f t="shared" si="294"/>
        <v>292166.83256844495</v>
      </c>
      <c r="AC460" s="277">
        <f t="shared" si="294"/>
        <v>288514.74716133944</v>
      </c>
      <c r="AD460" s="277">
        <f t="shared" si="294"/>
        <v>284908.31282182265</v>
      </c>
      <c r="AE460" s="277">
        <f t="shared" si="294"/>
        <v>165745.16108503033</v>
      </c>
      <c r="AF460" s="277">
        <f t="shared" si="294"/>
        <v>0</v>
      </c>
      <c r="AG460" s="277">
        <f t="shared" si="294"/>
        <v>0</v>
      </c>
      <c r="AH460" s="277">
        <f t="shared" si="294"/>
        <v>0</v>
      </c>
      <c r="AI460" s="277">
        <f t="shared" si="294"/>
        <v>0</v>
      </c>
    </row>
    <row r="461" spans="1:36" hidden="1" x14ac:dyDescent="0.3">
      <c r="B461" s="80" t="s">
        <v>500</v>
      </c>
      <c r="C461" s="228" t="s">
        <v>523</v>
      </c>
      <c r="D461" s="308">
        <f>Input!$D$348</f>
        <v>7138</v>
      </c>
      <c r="E461" s="308">
        <f>IF(E$4=1,$D$461*(1+Input!$D$349)^(E$5-1),0)</f>
        <v>0</v>
      </c>
      <c r="F461" s="308">
        <f>IF(F$4=1,$D$461*(1+Input!$D$349)^(F$5-1),0)</f>
        <v>7138</v>
      </c>
      <c r="G461" s="308">
        <f>IF(G$4=1,$D$461*(1+Input!$D$349)^(G$5-1),0)</f>
        <v>7138</v>
      </c>
      <c r="H461" s="308">
        <f>IF(H$4=1,$D$461*(1+Input!$D$349)^(H$5-1),0)</f>
        <v>7138</v>
      </c>
      <c r="I461" s="308">
        <f>IF(I$4=1,$D$461*(1+Input!$D$349)^(I$5-1),0)</f>
        <v>7138</v>
      </c>
      <c r="J461" s="308">
        <f>IF(J$4=1,$D$461*(1+Input!$D$349)^(J$5-1),0)</f>
        <v>7138</v>
      </c>
      <c r="K461" s="308">
        <f>IF(K$4=1,$D$461*(1+Input!$D$349)^(K$5-1),0)</f>
        <v>7138</v>
      </c>
      <c r="L461" s="308">
        <f>IF(L$4=1,$D$461*(1+Input!$D$349)^(L$5-1),0)</f>
        <v>7138</v>
      </c>
      <c r="M461" s="308">
        <f>IF(M$4=1,$D$461*(1+Input!$D$349)^(M$5-1),0)</f>
        <v>7138</v>
      </c>
      <c r="N461" s="308">
        <f>IF(N$4=1,$D$461*(1+Input!$D$349)^(N$5-1),0)</f>
        <v>7138</v>
      </c>
      <c r="O461" s="308">
        <f>IF(O$4=1,$D$461*(1+Input!$D$349)^(O$5-1),0)</f>
        <v>7138</v>
      </c>
      <c r="P461" s="308">
        <f>IF(P$4=1,$D$461*(1+Input!$D$349)^(P$5-1),0)</f>
        <v>7138</v>
      </c>
      <c r="Q461" s="308">
        <f>IF(Q$4=1,$D$461*(1+Input!$D$349)^(Q$5-1),0)</f>
        <v>7138</v>
      </c>
      <c r="R461" s="308">
        <f>IF(R$4=1,$D$461*(1+Input!$D$349)^(R$5-1),0)</f>
        <v>7138</v>
      </c>
      <c r="S461" s="308">
        <f>IF(S$4=1,$D$461*(1+Input!$D$349)^(S$5-1),0)</f>
        <v>7138</v>
      </c>
      <c r="T461" s="308">
        <f>IF(T$4=1,$D$461*(1+Input!$D$349)^(T$5-1),0)</f>
        <v>7138</v>
      </c>
      <c r="U461" s="308">
        <f>IF(U$4=1,$D$461*(1+Input!$D$349)^(U$5-1),0)</f>
        <v>7138</v>
      </c>
      <c r="V461" s="308">
        <f>IF(V$4=1,$D$461*(1+Input!$D$349)^(V$5-1),0)</f>
        <v>7138</v>
      </c>
      <c r="W461" s="308">
        <f>IF(W$4=1,$D$461*(1+Input!$D$349)^(W$5-1),0)</f>
        <v>7138</v>
      </c>
      <c r="X461" s="308">
        <f>IF(X$4=1,$D$461*(1+Input!$D$349)^(X$5-1),0)</f>
        <v>7138</v>
      </c>
      <c r="Y461" s="308">
        <f>IF(Y$4=1,$D$461*(1+Input!$D$349)^(Y$5-1),0)</f>
        <v>7138</v>
      </c>
      <c r="Z461" s="308">
        <f>IF(Z$4=1,$D$461*(1+Input!$D$349)^(Z$5-1),0)</f>
        <v>7138</v>
      </c>
      <c r="AA461" s="308">
        <f>IF(AA$4=1,$D$461*(1+Input!$D$349)^(AA$5-1),0)</f>
        <v>7138</v>
      </c>
      <c r="AB461" s="308">
        <f>IF(AB$4=1,$D$461*(1+Input!$D$349)^(AB$5-1),0)</f>
        <v>7138</v>
      </c>
      <c r="AC461" s="308">
        <f>IF(AC$4=1,$D$461*(1+Input!$D$349)^(AC$5-1),0)</f>
        <v>7138</v>
      </c>
      <c r="AD461" s="308">
        <f>IF(AD$4=1,$D$461*(1+Input!$D$349)^(AD$5-1),0)</f>
        <v>7138</v>
      </c>
      <c r="AE461" s="308">
        <f>IF(AE$4=1,$D$461*(1+Input!$D$349)^(AE$5-1),0)</f>
        <v>7138</v>
      </c>
      <c r="AF461" s="308">
        <f>IF(AF$4=1,$D$461*(1+Input!$D$349)^(AF$5-1),0)</f>
        <v>0</v>
      </c>
      <c r="AG461" s="308">
        <f>IF(AG$4=1,$D$461*(1+Input!$D$349)^(AG$5-1),0)</f>
        <v>0</v>
      </c>
      <c r="AH461" s="308">
        <f>IF(AH$4=1,$D$461*(1+Input!$D$349)^(AH$5-1),0)</f>
        <v>0</v>
      </c>
      <c r="AI461" s="308">
        <f>IF(AI$4=1,$D$461*(1+Input!$D$349)^(AI$5-1),0)</f>
        <v>0</v>
      </c>
    </row>
    <row r="462" spans="1:36" hidden="1" x14ac:dyDescent="0.3">
      <c r="B462" s="80" t="s">
        <v>498</v>
      </c>
      <c r="C462" s="228" t="s">
        <v>11</v>
      </c>
      <c r="D462" s="275"/>
      <c r="E462" s="277">
        <f>E461*E460/10^7</f>
        <v>0</v>
      </c>
      <c r="F462" s="277">
        <f>F461*F460/10^7</f>
        <v>137.57505068410683</v>
      </c>
      <c r="G462" s="277">
        <f>G461*G460/10^7</f>
        <v>271.5990619655999</v>
      </c>
      <c r="H462" s="277">
        <f>H461*H460/10^7</f>
        <v>268.20407369102998</v>
      </c>
      <c r="I462" s="277">
        <f>I461*I460/10^7</f>
        <v>264.85152276989209</v>
      </c>
      <c r="J462" s="277">
        <f t="shared" ref="J462:AI462" si="295">J461*J460/10^7</f>
        <v>261.54087873526839</v>
      </c>
      <c r="K462" s="277">
        <f t="shared" si="295"/>
        <v>258.2716177510776</v>
      </c>
      <c r="L462" s="277">
        <f t="shared" si="295"/>
        <v>255.04322252918911</v>
      </c>
      <c r="M462" s="277">
        <f t="shared" si="295"/>
        <v>251.85518224757428</v>
      </c>
      <c r="N462" s="277">
        <f t="shared" si="295"/>
        <v>248.70699246947962</v>
      </c>
      <c r="O462" s="277">
        <f t="shared" si="295"/>
        <v>245.59815506361107</v>
      </c>
      <c r="P462" s="277">
        <f t="shared" si="295"/>
        <v>242.528178125316</v>
      </c>
      <c r="Q462" s="277">
        <f t="shared" si="295"/>
        <v>239.49657589874954</v>
      </c>
      <c r="R462" s="277">
        <f t="shared" si="295"/>
        <v>236.50286870001517</v>
      </c>
      <c r="S462" s="277">
        <f t="shared" si="295"/>
        <v>233.54658284126506</v>
      </c>
      <c r="T462" s="277">
        <f t="shared" si="295"/>
        <v>230.62725055574919</v>
      </c>
      <c r="U462" s="277">
        <f t="shared" si="295"/>
        <v>227.74440992380244</v>
      </c>
      <c r="V462" s="277">
        <f t="shared" si="295"/>
        <v>224.89760479975482</v>
      </c>
      <c r="W462" s="277">
        <f t="shared" si="295"/>
        <v>222.08638473975796</v>
      </c>
      <c r="X462" s="277">
        <f t="shared" si="295"/>
        <v>219.31030493051094</v>
      </c>
      <c r="Y462" s="277">
        <f t="shared" si="295"/>
        <v>216.56892611887955</v>
      </c>
      <c r="Z462" s="277">
        <f t="shared" si="295"/>
        <v>213.8618145423936</v>
      </c>
      <c r="AA462" s="277">
        <f t="shared" si="295"/>
        <v>211.18854186061367</v>
      </c>
      <c r="AB462" s="277">
        <f t="shared" si="295"/>
        <v>208.54868508735601</v>
      </c>
      <c r="AC462" s="277">
        <f t="shared" si="295"/>
        <v>205.94182652376409</v>
      </c>
      <c r="AD462" s="277">
        <f t="shared" si="295"/>
        <v>203.36755369221703</v>
      </c>
      <c r="AE462" s="277">
        <f t="shared" si="295"/>
        <v>118.30889598249465</v>
      </c>
      <c r="AF462" s="277">
        <f t="shared" si="295"/>
        <v>0</v>
      </c>
      <c r="AG462" s="277">
        <f t="shared" si="295"/>
        <v>0</v>
      </c>
      <c r="AH462" s="277">
        <f t="shared" si="295"/>
        <v>0</v>
      </c>
      <c r="AI462" s="277">
        <f t="shared" si="295"/>
        <v>0</v>
      </c>
    </row>
    <row r="463" spans="1:36" hidden="1" x14ac:dyDescent="0.3">
      <c r="B463" s="80"/>
      <c r="C463" s="228"/>
      <c r="D463" s="275"/>
      <c r="E463" s="275"/>
      <c r="F463" s="275"/>
      <c r="G463" s="275"/>
      <c r="H463" s="307"/>
      <c r="I463" s="275"/>
      <c r="J463" s="275"/>
      <c r="K463" s="275"/>
      <c r="L463" s="275"/>
      <c r="M463" s="275"/>
      <c r="N463" s="275"/>
      <c r="O463" s="275"/>
      <c r="P463" s="275"/>
      <c r="Q463" s="275"/>
      <c r="R463" s="275"/>
      <c r="S463" s="275"/>
      <c r="T463" s="275"/>
      <c r="U463" s="275"/>
      <c r="V463" s="275"/>
      <c r="W463" s="275"/>
      <c r="X463" s="275"/>
      <c r="Y463" s="275"/>
      <c r="Z463" s="275"/>
      <c r="AA463" s="275"/>
      <c r="AB463" s="275"/>
      <c r="AC463" s="275"/>
      <c r="AD463" s="275"/>
      <c r="AE463" s="275"/>
      <c r="AF463" s="275"/>
      <c r="AG463" s="275"/>
      <c r="AH463" s="275"/>
      <c r="AI463" s="275"/>
    </row>
    <row r="464" spans="1:36" hidden="1" x14ac:dyDescent="0.3">
      <c r="A464" s="375"/>
      <c r="B464" s="493" t="s">
        <v>501</v>
      </c>
      <c r="C464" s="624"/>
      <c r="D464" s="702"/>
      <c r="E464" s="702"/>
      <c r="F464" s="702"/>
      <c r="G464" s="702"/>
      <c r="H464" s="702"/>
      <c r="I464" s="702"/>
      <c r="J464" s="702"/>
      <c r="K464" s="702"/>
      <c r="L464" s="702"/>
      <c r="M464" s="702"/>
      <c r="N464" s="702"/>
      <c r="O464" s="702"/>
      <c r="P464" s="702"/>
      <c r="Q464" s="702"/>
      <c r="R464" s="702"/>
      <c r="S464" s="702"/>
      <c r="T464" s="702"/>
      <c r="U464" s="702"/>
      <c r="V464" s="702"/>
      <c r="W464" s="702"/>
      <c r="X464" s="702"/>
      <c r="Y464" s="702"/>
      <c r="Z464" s="702"/>
      <c r="AA464" s="702"/>
      <c r="AB464" s="702"/>
      <c r="AC464" s="702"/>
      <c r="AD464" s="702"/>
      <c r="AE464" s="702"/>
      <c r="AF464" s="702"/>
      <c r="AG464" s="702"/>
      <c r="AH464" s="702"/>
      <c r="AI464" s="702"/>
      <c r="AJ464" s="375"/>
    </row>
    <row r="465" spans="1:36" hidden="1" x14ac:dyDescent="0.3">
      <c r="B465" s="278" t="s">
        <v>502</v>
      </c>
      <c r="C465" s="279" t="s">
        <v>266</v>
      </c>
      <c r="D465" s="275">
        <f>Input!$D$352</f>
        <v>60</v>
      </c>
      <c r="E465" s="308">
        <f t="shared" ref="E465:AI465" si="296">IF(E4,$D$465*(1+$D$466)^(D$5-1),0)</f>
        <v>0</v>
      </c>
      <c r="F465" s="308">
        <f t="shared" si="296"/>
        <v>59.405940594059402</v>
      </c>
      <c r="G465" s="308">
        <f t="shared" si="296"/>
        <v>60</v>
      </c>
      <c r="H465" s="308">
        <f t="shared" si="296"/>
        <v>60.6</v>
      </c>
      <c r="I465" s="308">
        <f t="shared" si="296"/>
        <v>61.206000000000003</v>
      </c>
      <c r="J465" s="308">
        <f t="shared" si="296"/>
        <v>61.818059999999996</v>
      </c>
      <c r="K465" s="308">
        <f t="shared" si="296"/>
        <v>62.436240600000005</v>
      </c>
      <c r="L465" s="308">
        <f t="shared" si="296"/>
        <v>63.060603005999994</v>
      </c>
      <c r="M465" s="308">
        <f t="shared" si="296"/>
        <v>63.691209036060009</v>
      </c>
      <c r="N465" s="308">
        <f t="shared" si="296"/>
        <v>64.328121126420584</v>
      </c>
      <c r="O465" s="308">
        <f t="shared" si="296"/>
        <v>64.971402337684808</v>
      </c>
      <c r="P465" s="308">
        <f t="shared" si="296"/>
        <v>65.621116361061667</v>
      </c>
      <c r="Q465" s="308">
        <f t="shared" si="296"/>
        <v>66.277327524672287</v>
      </c>
      <c r="R465" s="308">
        <f t="shared" si="296"/>
        <v>66.940100799918994</v>
      </c>
      <c r="S465" s="308">
        <f t="shared" si="296"/>
        <v>67.609501807918193</v>
      </c>
      <c r="T465" s="308">
        <f t="shared" si="296"/>
        <v>68.285596825997374</v>
      </c>
      <c r="U465" s="308">
        <f t="shared" si="296"/>
        <v>68.96845279425736</v>
      </c>
      <c r="V465" s="308">
        <f t="shared" si="296"/>
        <v>69.658137322199906</v>
      </c>
      <c r="W465" s="308">
        <f t="shared" si="296"/>
        <v>70.354718695421923</v>
      </c>
      <c r="X465" s="308">
        <f t="shared" si="296"/>
        <v>71.058265882376148</v>
      </c>
      <c r="Y465" s="308">
        <f t="shared" si="296"/>
        <v>71.768848541199915</v>
      </c>
      <c r="Z465" s="308">
        <f t="shared" si="296"/>
        <v>72.486537026611899</v>
      </c>
      <c r="AA465" s="308">
        <f t="shared" si="296"/>
        <v>73.211402396878029</v>
      </c>
      <c r="AB465" s="308">
        <f t="shared" si="296"/>
        <v>73.943516420846791</v>
      </c>
      <c r="AC465" s="308">
        <f t="shared" si="296"/>
        <v>74.682951585055278</v>
      </c>
      <c r="AD465" s="308">
        <f t="shared" si="296"/>
        <v>75.429781100905828</v>
      </c>
      <c r="AE465" s="308">
        <f t="shared" si="296"/>
        <v>76.184078911914895</v>
      </c>
      <c r="AF465" s="308">
        <f t="shared" si="296"/>
        <v>0</v>
      </c>
      <c r="AG465" s="308">
        <f t="shared" si="296"/>
        <v>0</v>
      </c>
      <c r="AH465" s="308">
        <f t="shared" si="296"/>
        <v>0</v>
      </c>
      <c r="AI465" s="308">
        <f t="shared" si="296"/>
        <v>0</v>
      </c>
    </row>
    <row r="466" spans="1:36" hidden="1" x14ac:dyDescent="0.3">
      <c r="B466" s="278" t="s">
        <v>503</v>
      </c>
      <c r="C466" s="279" t="s">
        <v>0</v>
      </c>
      <c r="D466" s="276">
        <f>Input!$D$353</f>
        <v>0.01</v>
      </c>
      <c r="E466" s="275"/>
      <c r="F466" s="275"/>
      <c r="G466" s="275"/>
      <c r="H466" s="275"/>
      <c r="I466" s="275"/>
      <c r="J466" s="275"/>
      <c r="K466" s="275"/>
      <c r="L466" s="275"/>
      <c r="M466" s="275"/>
      <c r="N466" s="275"/>
      <c r="O466" s="275"/>
      <c r="P466" s="275"/>
      <c r="Q466" s="275"/>
      <c r="R466" s="275"/>
      <c r="S466" s="275"/>
      <c r="T466" s="275"/>
      <c r="U466" s="275"/>
      <c r="V466" s="275"/>
      <c r="W466" s="275"/>
      <c r="X466" s="275"/>
      <c r="Y466" s="275"/>
      <c r="Z466" s="275"/>
      <c r="AA466" s="275"/>
      <c r="AB466" s="275"/>
      <c r="AC466" s="275"/>
      <c r="AD466" s="275"/>
      <c r="AE466" s="275"/>
      <c r="AF466" s="275"/>
      <c r="AG466" s="275"/>
      <c r="AH466" s="275"/>
      <c r="AI466" s="275"/>
    </row>
    <row r="467" spans="1:36" hidden="1" x14ac:dyDescent="0.3">
      <c r="B467" s="278" t="s">
        <v>525</v>
      </c>
      <c r="C467" s="279" t="s">
        <v>11</v>
      </c>
      <c r="D467" s="304">
        <f>Input!D354</f>
        <v>2.83296E-2</v>
      </c>
      <c r="E467" s="304">
        <f t="shared" ref="E467:AI467" si="297">IF(E4,$D$467*(1+$D$468)^(D$5-1),0)</f>
        <v>0</v>
      </c>
      <c r="F467" s="304">
        <f t="shared" si="297"/>
        <v>2.7504466019417476E-2</v>
      </c>
      <c r="G467" s="304">
        <f t="shared" si="297"/>
        <v>2.83296E-2</v>
      </c>
      <c r="H467" s="304">
        <f t="shared" si="297"/>
        <v>2.9179488E-2</v>
      </c>
      <c r="I467" s="304">
        <f t="shared" si="297"/>
        <v>3.0054872639999997E-2</v>
      </c>
      <c r="J467" s="304">
        <f t="shared" si="297"/>
        <v>3.0956518819199998E-2</v>
      </c>
      <c r="K467" s="304">
        <f t="shared" si="297"/>
        <v>3.1885214383775999E-2</v>
      </c>
      <c r="L467" s="304">
        <f t="shared" si="297"/>
        <v>3.2841770815289273E-2</v>
      </c>
      <c r="M467" s="304">
        <f t="shared" si="297"/>
        <v>3.3827023939747958E-2</v>
      </c>
      <c r="N467" s="304">
        <f t="shared" si="297"/>
        <v>3.4841834657940399E-2</v>
      </c>
      <c r="O467" s="304">
        <f t="shared" si="297"/>
        <v>3.5887089697678606E-2</v>
      </c>
      <c r="P467" s="304">
        <f t="shared" si="297"/>
        <v>3.6963702388608966E-2</v>
      </c>
      <c r="Q467" s="304">
        <f t="shared" si="297"/>
        <v>3.8072613460267232E-2</v>
      </c>
      <c r="R467" s="304">
        <f t="shared" si="297"/>
        <v>3.9214791864075248E-2</v>
      </c>
      <c r="S467" s="304">
        <f t="shared" si="297"/>
        <v>4.0391235619997502E-2</v>
      </c>
      <c r="T467" s="304">
        <f t="shared" si="297"/>
        <v>4.1602972688597424E-2</v>
      </c>
      <c r="U467" s="304">
        <f t="shared" si="297"/>
        <v>4.2851061869255351E-2</v>
      </c>
      <c r="V467" s="304">
        <f t="shared" si="297"/>
        <v>4.4136593725333018E-2</v>
      </c>
      <c r="W467" s="304">
        <f t="shared" si="297"/>
        <v>4.5460691537093E-2</v>
      </c>
      <c r="X467" s="304">
        <f t="shared" si="297"/>
        <v>4.6824512283205791E-2</v>
      </c>
      <c r="Y467" s="304">
        <f t="shared" si="297"/>
        <v>4.8229247651701959E-2</v>
      </c>
      <c r="Z467" s="304">
        <f t="shared" si="297"/>
        <v>4.967612508125302E-2</v>
      </c>
      <c r="AA467" s="304">
        <f t="shared" si="297"/>
        <v>5.1166408833690613E-2</v>
      </c>
      <c r="AB467" s="304">
        <f t="shared" si="297"/>
        <v>5.270140109870132E-2</v>
      </c>
      <c r="AC467" s="304">
        <f t="shared" si="297"/>
        <v>5.4282443131662368E-2</v>
      </c>
      <c r="AD467" s="304">
        <f t="shared" si="297"/>
        <v>5.5910916425612238E-2</v>
      </c>
      <c r="AE467" s="304">
        <f t="shared" si="297"/>
        <v>5.7588243918380598E-2</v>
      </c>
      <c r="AF467" s="304">
        <f t="shared" si="297"/>
        <v>0</v>
      </c>
      <c r="AG467" s="304">
        <f t="shared" si="297"/>
        <v>0</v>
      </c>
      <c r="AH467" s="304">
        <f t="shared" si="297"/>
        <v>0</v>
      </c>
      <c r="AI467" s="304">
        <f t="shared" si="297"/>
        <v>0</v>
      </c>
    </row>
    <row r="468" spans="1:36" hidden="1" x14ac:dyDescent="0.3">
      <c r="B468" s="278" t="s">
        <v>504</v>
      </c>
      <c r="C468" s="279" t="s">
        <v>0</v>
      </c>
      <c r="D468" s="276">
        <f>Input!D355</f>
        <v>0.03</v>
      </c>
      <c r="E468" s="275"/>
      <c r="F468" s="275"/>
      <c r="G468" s="275"/>
      <c r="H468" s="275"/>
      <c r="I468" s="275"/>
      <c r="J468" s="275"/>
      <c r="K468" s="275"/>
      <c r="L468" s="275"/>
      <c r="M468" s="275"/>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row>
    <row r="469" spans="1:36" hidden="1" x14ac:dyDescent="0.3">
      <c r="B469" s="240" t="s">
        <v>487</v>
      </c>
      <c r="C469" s="334" t="s">
        <v>11</v>
      </c>
      <c r="D469" s="335"/>
      <c r="E469" s="305">
        <f>E467*E465</f>
        <v>0</v>
      </c>
      <c r="F469" s="305">
        <f>F467*F465</f>
        <v>1.6339286744208401</v>
      </c>
      <c r="G469" s="305">
        <f>G467*G465</f>
        <v>1.699776</v>
      </c>
      <c r="H469" s="305">
        <f>H467*H465</f>
        <v>1.7682769728000001</v>
      </c>
      <c r="I469" s="305">
        <f t="shared" ref="I469:AI469" si="298">I467*I465</f>
        <v>1.83953853480384</v>
      </c>
      <c r="J469" s="305">
        <f t="shared" si="298"/>
        <v>1.9136719377564344</v>
      </c>
      <c r="K469" s="305">
        <f t="shared" si="298"/>
        <v>1.9907929168480192</v>
      </c>
      <c r="L469" s="305">
        <f t="shared" si="298"/>
        <v>2.0710218713969937</v>
      </c>
      <c r="M469" s="305">
        <f t="shared" si="298"/>
        <v>2.1544840528142934</v>
      </c>
      <c r="N469" s="305">
        <f t="shared" si="298"/>
        <v>2.2413097601427086</v>
      </c>
      <c r="O469" s="305">
        <f t="shared" si="298"/>
        <v>2.33163454347646</v>
      </c>
      <c r="P469" s="305">
        <f t="shared" si="298"/>
        <v>2.4255994155785618</v>
      </c>
      <c r="Q469" s="305">
        <f t="shared" si="298"/>
        <v>2.5233510720263781</v>
      </c>
      <c r="R469" s="305">
        <f t="shared" si="298"/>
        <v>2.6250421202290402</v>
      </c>
      <c r="S469" s="305">
        <f t="shared" si="298"/>
        <v>2.7308313176742707</v>
      </c>
      <c r="T469" s="305">
        <f t="shared" si="298"/>
        <v>2.8408838197765438</v>
      </c>
      <c r="U469" s="305">
        <f t="shared" si="298"/>
        <v>2.9553714377135392</v>
      </c>
      <c r="V469" s="305">
        <f t="shared" si="298"/>
        <v>3.0744729066533942</v>
      </c>
      <c r="W469" s="305">
        <f t="shared" si="298"/>
        <v>3.198374164791526</v>
      </c>
      <c r="X469" s="305">
        <f t="shared" si="298"/>
        <v>3.3272686436326251</v>
      </c>
      <c r="Y469" s="305">
        <f t="shared" si="298"/>
        <v>3.4613575699710197</v>
      </c>
      <c r="Z469" s="305">
        <f t="shared" si="298"/>
        <v>3.6008502800408508</v>
      </c>
      <c r="AA469" s="305">
        <f t="shared" si="298"/>
        <v>3.7459645463264981</v>
      </c>
      <c r="AB469" s="305">
        <f t="shared" si="298"/>
        <v>3.8969269175434542</v>
      </c>
      <c r="AC469" s="305">
        <f t="shared" si="298"/>
        <v>4.0539730723204572</v>
      </c>
      <c r="AD469" s="305">
        <f t="shared" si="298"/>
        <v>4.2173481871349709</v>
      </c>
      <c r="AE469" s="305">
        <f t="shared" si="298"/>
        <v>4.3873073190765108</v>
      </c>
      <c r="AF469" s="305">
        <f t="shared" si="298"/>
        <v>0</v>
      </c>
      <c r="AG469" s="305">
        <f t="shared" si="298"/>
        <v>0</v>
      </c>
      <c r="AH469" s="305">
        <f t="shared" si="298"/>
        <v>0</v>
      </c>
      <c r="AI469" s="305">
        <f t="shared" si="298"/>
        <v>0</v>
      </c>
    </row>
    <row r="470" spans="1:36" hidden="1" x14ac:dyDescent="0.3"/>
    <row r="471" spans="1:36" hidden="1" x14ac:dyDescent="0.3">
      <c r="A471" s="375"/>
      <c r="B471" s="493" t="s">
        <v>485</v>
      </c>
      <c r="C471" s="700"/>
      <c r="D471" s="701"/>
      <c r="E471" s="702"/>
      <c r="F471" s="702"/>
      <c r="G471" s="702"/>
      <c r="H471" s="702"/>
      <c r="I471" s="703"/>
      <c r="J471" s="703"/>
      <c r="K471" s="703"/>
      <c r="L471" s="703"/>
      <c r="M471" s="703"/>
      <c r="N471" s="703"/>
      <c r="O471" s="703"/>
      <c r="P471" s="703"/>
      <c r="Q471" s="703"/>
      <c r="R471" s="703"/>
      <c r="S471" s="703"/>
      <c r="T471" s="703"/>
      <c r="U471" s="703"/>
      <c r="V471" s="703"/>
      <c r="W471" s="703"/>
      <c r="X471" s="703"/>
      <c r="Y471" s="703"/>
      <c r="Z471" s="703"/>
      <c r="AA471" s="703"/>
      <c r="AB471" s="703"/>
      <c r="AC471" s="703"/>
      <c r="AD471" s="703"/>
      <c r="AE471" s="703"/>
      <c r="AF471" s="703"/>
      <c r="AG471" s="703"/>
      <c r="AH471" s="703"/>
      <c r="AI471" s="703"/>
      <c r="AJ471" s="375"/>
    </row>
    <row r="472" spans="1:36" hidden="1" x14ac:dyDescent="0.3">
      <c r="B472" s="80" t="s">
        <v>486</v>
      </c>
      <c r="C472" s="202" t="s">
        <v>11</v>
      </c>
      <c r="D472" s="286">
        <f ca="1">SUM(E472:AI472)</f>
        <v>-66.510183946753244</v>
      </c>
      <c r="E472" s="304">
        <f t="shared" ref="E472:AI472" si="299">E451</f>
        <v>0</v>
      </c>
      <c r="F472" s="304">
        <f t="shared" ca="1" si="299"/>
        <v>-20.75220474880469</v>
      </c>
      <c r="G472" s="304">
        <f t="shared" ca="1" si="299"/>
        <v>-38.24190134749314</v>
      </c>
      <c r="H472" s="304">
        <f t="shared" ca="1" si="299"/>
        <v>-35.017248397343515</v>
      </c>
      <c r="I472" s="304">
        <f t="shared" ca="1" si="299"/>
        <v>-31.812990547491808</v>
      </c>
      <c r="J472" s="304">
        <f t="shared" ca="1" si="299"/>
        <v>-28.628728489487806</v>
      </c>
      <c r="K472" s="304">
        <f t="shared" ca="1" si="299"/>
        <v>-25.464066859556702</v>
      </c>
      <c r="L472" s="304">
        <f t="shared" ca="1" si="299"/>
        <v>-22.318614181702099</v>
      </c>
      <c r="M472" s="304">
        <f t="shared" ca="1" si="299"/>
        <v>-19.191982811465369</v>
      </c>
      <c r="N472" s="304">
        <f t="shared" ca="1" si="299"/>
        <v>-16.083788880332598</v>
      </c>
      <c r="O472" s="304">
        <f t="shared" ca="1" si="299"/>
        <v>-12.993652240780582</v>
      </c>
      <c r="P472" s="304">
        <f t="shared" ca="1" si="299"/>
        <v>-9.9211964119534866</v>
      </c>
      <c r="Q472" s="304">
        <f t="shared" ca="1" si="299"/>
        <v>-6.8660485259620474</v>
      </c>
      <c r="R472" s="304">
        <f t="shared" ca="1" si="299"/>
        <v>-3.8278392747969057</v>
      </c>
      <c r="S472" s="304">
        <f t="shared" ca="1" si="299"/>
        <v>-0.80620285784801848</v>
      </c>
      <c r="T472" s="304">
        <f t="shared" ca="1" si="299"/>
        <v>2.1992230699775623</v>
      </c>
      <c r="U472" s="304">
        <f t="shared" ca="1" si="299"/>
        <v>5.1887974495480975</v>
      </c>
      <c r="V472" s="304">
        <f t="shared" ca="1" si="299"/>
        <v>8.1628758682165952</v>
      </c>
      <c r="W472" s="304">
        <f t="shared" ca="1" si="299"/>
        <v>11.121810609955952</v>
      </c>
      <c r="X472" s="304">
        <f t="shared" ca="1" si="299"/>
        <v>14.06595070492674</v>
      </c>
      <c r="Y472" s="304">
        <f t="shared" ca="1" si="299"/>
        <v>16.995641978485445</v>
      </c>
      <c r="Z472" s="304">
        <f t="shared" ca="1" si="299"/>
        <v>19.911227099640623</v>
      </c>
      <c r="AA472" s="304">
        <f t="shared" ca="1" si="299"/>
        <v>22.813045628964016</v>
      </c>
      <c r="AB472" s="304">
        <f t="shared" ca="1" si="299"/>
        <v>25.701434065964385</v>
      </c>
      <c r="AC472" s="304">
        <f t="shared" ca="1" si="299"/>
        <v>28.576725895930622</v>
      </c>
      <c r="AD472" s="304">
        <f t="shared" ca="1" si="299"/>
        <v>31.439251636251765</v>
      </c>
      <c r="AE472" s="304">
        <f t="shared" ca="1" si="299"/>
        <v>19.240297620403815</v>
      </c>
      <c r="AF472" s="304">
        <f t="shared" si="299"/>
        <v>0</v>
      </c>
      <c r="AG472" s="304">
        <f t="shared" si="299"/>
        <v>0</v>
      </c>
      <c r="AH472" s="304">
        <f t="shared" si="299"/>
        <v>0</v>
      </c>
      <c r="AI472" s="304">
        <f t="shared" si="299"/>
        <v>0</v>
      </c>
    </row>
    <row r="473" spans="1:36" hidden="1" x14ac:dyDescent="0.3">
      <c r="B473" s="80" t="s">
        <v>517</v>
      </c>
      <c r="C473" s="202" t="s">
        <v>11</v>
      </c>
      <c r="D473" s="286">
        <f t="shared" ref="D473:D477" si="300">SUM(E473:AI473)</f>
        <v>5917.7721622294675</v>
      </c>
      <c r="E473" s="308">
        <f>E462</f>
        <v>0</v>
      </c>
      <c r="F473" s="308">
        <f>F462</f>
        <v>137.57505068410683</v>
      </c>
      <c r="G473" s="308">
        <f>G462</f>
        <v>271.5990619655999</v>
      </c>
      <c r="H473" s="308">
        <f>H462</f>
        <v>268.20407369102998</v>
      </c>
      <c r="I473" s="308">
        <f>I462</f>
        <v>264.85152276989209</v>
      </c>
      <c r="J473" s="308">
        <f t="shared" ref="J473:AI473" si="301">J462</f>
        <v>261.54087873526839</v>
      </c>
      <c r="K473" s="308">
        <f t="shared" si="301"/>
        <v>258.2716177510776</v>
      </c>
      <c r="L473" s="308">
        <f t="shared" si="301"/>
        <v>255.04322252918911</v>
      </c>
      <c r="M473" s="308">
        <f t="shared" si="301"/>
        <v>251.85518224757428</v>
      </c>
      <c r="N473" s="308">
        <f t="shared" si="301"/>
        <v>248.70699246947962</v>
      </c>
      <c r="O473" s="308">
        <f t="shared" si="301"/>
        <v>245.59815506361107</v>
      </c>
      <c r="P473" s="308">
        <f t="shared" si="301"/>
        <v>242.528178125316</v>
      </c>
      <c r="Q473" s="308">
        <f t="shared" si="301"/>
        <v>239.49657589874954</v>
      </c>
      <c r="R473" s="308">
        <f t="shared" si="301"/>
        <v>236.50286870001517</v>
      </c>
      <c r="S473" s="308">
        <f t="shared" si="301"/>
        <v>233.54658284126506</v>
      </c>
      <c r="T473" s="308">
        <f t="shared" si="301"/>
        <v>230.62725055574919</v>
      </c>
      <c r="U473" s="308">
        <f t="shared" si="301"/>
        <v>227.74440992380244</v>
      </c>
      <c r="V473" s="308">
        <f t="shared" si="301"/>
        <v>224.89760479975482</v>
      </c>
      <c r="W473" s="308">
        <f t="shared" si="301"/>
        <v>222.08638473975796</v>
      </c>
      <c r="X473" s="308">
        <f t="shared" si="301"/>
        <v>219.31030493051094</v>
      </c>
      <c r="Y473" s="308">
        <f t="shared" si="301"/>
        <v>216.56892611887955</v>
      </c>
      <c r="Z473" s="308">
        <f t="shared" si="301"/>
        <v>213.8618145423936</v>
      </c>
      <c r="AA473" s="308">
        <f t="shared" si="301"/>
        <v>211.18854186061367</v>
      </c>
      <c r="AB473" s="308">
        <f t="shared" si="301"/>
        <v>208.54868508735601</v>
      </c>
      <c r="AC473" s="308">
        <f t="shared" si="301"/>
        <v>205.94182652376409</v>
      </c>
      <c r="AD473" s="308">
        <f t="shared" si="301"/>
        <v>203.36755369221703</v>
      </c>
      <c r="AE473" s="308">
        <f t="shared" si="301"/>
        <v>118.30889598249465</v>
      </c>
      <c r="AF473" s="308">
        <f t="shared" si="301"/>
        <v>0</v>
      </c>
      <c r="AG473" s="308">
        <f t="shared" si="301"/>
        <v>0</v>
      </c>
      <c r="AH473" s="308">
        <f t="shared" si="301"/>
        <v>0</v>
      </c>
      <c r="AI473" s="308">
        <f t="shared" si="301"/>
        <v>0</v>
      </c>
    </row>
    <row r="474" spans="1:36" hidden="1" x14ac:dyDescent="0.3">
      <c r="B474" s="80" t="s">
        <v>518</v>
      </c>
      <c r="C474" s="202" t="s">
        <v>11</v>
      </c>
      <c r="D474" s="286">
        <f t="shared" si="300"/>
        <v>72.709358054949234</v>
      </c>
      <c r="E474" s="282">
        <f>E469</f>
        <v>0</v>
      </c>
      <c r="F474" s="282">
        <f>F469</f>
        <v>1.6339286744208401</v>
      </c>
      <c r="G474" s="282">
        <f>G469</f>
        <v>1.699776</v>
      </c>
      <c r="H474" s="282">
        <f>H469</f>
        <v>1.7682769728000001</v>
      </c>
      <c r="I474" s="282">
        <f>I469</f>
        <v>1.83953853480384</v>
      </c>
      <c r="J474" s="282">
        <f t="shared" ref="J474:AI474" si="302">J469</f>
        <v>1.9136719377564344</v>
      </c>
      <c r="K474" s="282">
        <f t="shared" si="302"/>
        <v>1.9907929168480192</v>
      </c>
      <c r="L474" s="282">
        <f t="shared" si="302"/>
        <v>2.0710218713969937</v>
      </c>
      <c r="M474" s="282">
        <f t="shared" si="302"/>
        <v>2.1544840528142934</v>
      </c>
      <c r="N474" s="282">
        <f t="shared" si="302"/>
        <v>2.2413097601427086</v>
      </c>
      <c r="O474" s="282">
        <f t="shared" si="302"/>
        <v>2.33163454347646</v>
      </c>
      <c r="P474" s="282">
        <f t="shared" si="302"/>
        <v>2.4255994155785618</v>
      </c>
      <c r="Q474" s="282">
        <f t="shared" si="302"/>
        <v>2.5233510720263781</v>
      </c>
      <c r="R474" s="282">
        <f t="shared" si="302"/>
        <v>2.6250421202290402</v>
      </c>
      <c r="S474" s="282">
        <f t="shared" si="302"/>
        <v>2.7308313176742707</v>
      </c>
      <c r="T474" s="282">
        <f t="shared" si="302"/>
        <v>2.8408838197765438</v>
      </c>
      <c r="U474" s="282">
        <f t="shared" si="302"/>
        <v>2.9553714377135392</v>
      </c>
      <c r="V474" s="282">
        <f t="shared" si="302"/>
        <v>3.0744729066533942</v>
      </c>
      <c r="W474" s="282">
        <f t="shared" si="302"/>
        <v>3.198374164791526</v>
      </c>
      <c r="X474" s="282">
        <f t="shared" si="302"/>
        <v>3.3272686436326251</v>
      </c>
      <c r="Y474" s="282">
        <f t="shared" si="302"/>
        <v>3.4613575699710197</v>
      </c>
      <c r="Z474" s="282">
        <f t="shared" si="302"/>
        <v>3.6008502800408508</v>
      </c>
      <c r="AA474" s="282">
        <f t="shared" si="302"/>
        <v>3.7459645463264981</v>
      </c>
      <c r="AB474" s="282">
        <f t="shared" si="302"/>
        <v>3.8969269175434542</v>
      </c>
      <c r="AC474" s="282">
        <f t="shared" si="302"/>
        <v>4.0539730723204572</v>
      </c>
      <c r="AD474" s="282">
        <f t="shared" si="302"/>
        <v>4.2173481871349709</v>
      </c>
      <c r="AE474" s="282">
        <f t="shared" si="302"/>
        <v>4.3873073190765108</v>
      </c>
      <c r="AF474" s="282">
        <f t="shared" si="302"/>
        <v>0</v>
      </c>
      <c r="AG474" s="282">
        <f t="shared" si="302"/>
        <v>0</v>
      </c>
      <c r="AH474" s="282">
        <f t="shared" si="302"/>
        <v>0</v>
      </c>
      <c r="AI474" s="282">
        <f t="shared" si="302"/>
        <v>0</v>
      </c>
    </row>
    <row r="475" spans="1:36" hidden="1" x14ac:dyDescent="0.3">
      <c r="B475" s="312" t="s">
        <v>519</v>
      </c>
      <c r="C475" s="220" t="s">
        <v>11</v>
      </c>
      <c r="D475" s="286">
        <f ca="1">SUM(E475:AI475)</f>
        <v>5923.971336337665</v>
      </c>
      <c r="E475" s="81">
        <f t="shared" ref="E475" si="303">SUM(E472:E474)</f>
        <v>0</v>
      </c>
      <c r="F475" s="81">
        <f t="shared" ref="F475:AI475" ca="1" si="304">SUM(F472:F474)</f>
        <v>118.45677460972298</v>
      </c>
      <c r="G475" s="81">
        <f t="shared" ca="1" si="304"/>
        <v>235.05693661810676</v>
      </c>
      <c r="H475" s="81">
        <f t="shared" ca="1" si="304"/>
        <v>234.95510226648648</v>
      </c>
      <c r="I475" s="81">
        <f t="shared" ca="1" si="304"/>
        <v>234.87807075720411</v>
      </c>
      <c r="J475" s="81">
        <f t="shared" ca="1" si="304"/>
        <v>234.82582218353704</v>
      </c>
      <c r="K475" s="81">
        <f t="shared" ca="1" si="304"/>
        <v>234.79834380836891</v>
      </c>
      <c r="L475" s="81">
        <f t="shared" ca="1" si="304"/>
        <v>234.79563021888401</v>
      </c>
      <c r="M475" s="81">
        <f t="shared" ca="1" si="304"/>
        <v>234.81768348892319</v>
      </c>
      <c r="N475" s="81">
        <f t="shared" ca="1" si="304"/>
        <v>234.86451334928972</v>
      </c>
      <c r="O475" s="81">
        <f t="shared" ca="1" si="304"/>
        <v>234.93613736630695</v>
      </c>
      <c r="P475" s="81">
        <f t="shared" ca="1" si="304"/>
        <v>235.0325811289411</v>
      </c>
      <c r="Q475" s="81">
        <f t="shared" ca="1" si="304"/>
        <v>235.15387844481387</v>
      </c>
      <c r="R475" s="81">
        <f t="shared" ca="1" si="304"/>
        <v>235.30007154544731</v>
      </c>
      <c r="S475" s="81">
        <f t="shared" ca="1" si="304"/>
        <v>235.47121130109133</v>
      </c>
      <c r="T475" s="81">
        <f t="shared" ca="1" si="304"/>
        <v>235.66735744550328</v>
      </c>
      <c r="U475" s="81">
        <f t="shared" ca="1" si="304"/>
        <v>235.88857881106409</v>
      </c>
      <c r="V475" s="81">
        <f t="shared" ca="1" si="304"/>
        <v>236.1349535746248</v>
      </c>
      <c r="W475" s="81">
        <f t="shared" ca="1" si="304"/>
        <v>236.40656951450543</v>
      </c>
      <c r="X475" s="81">
        <f t="shared" ca="1" si="304"/>
        <v>236.70352427907031</v>
      </c>
      <c r="Y475" s="81">
        <f t="shared" ca="1" si="304"/>
        <v>237.02592566733603</v>
      </c>
      <c r="Z475" s="81">
        <f t="shared" ca="1" si="304"/>
        <v>237.37389192207507</v>
      </c>
      <c r="AA475" s="81">
        <f t="shared" ca="1" si="304"/>
        <v>237.74755203590416</v>
      </c>
      <c r="AB475" s="81">
        <f t="shared" ca="1" si="304"/>
        <v>238.14704607086384</v>
      </c>
      <c r="AC475" s="81">
        <f t="shared" ca="1" si="304"/>
        <v>238.57252549201516</v>
      </c>
      <c r="AD475" s="81">
        <f t="shared" ca="1" si="304"/>
        <v>239.02415351560376</v>
      </c>
      <c r="AE475" s="81">
        <f t="shared" ca="1" si="304"/>
        <v>141.93650092197498</v>
      </c>
      <c r="AF475" s="81">
        <f t="shared" si="304"/>
        <v>0</v>
      </c>
      <c r="AG475" s="81">
        <f t="shared" si="304"/>
        <v>0</v>
      </c>
      <c r="AH475" s="81">
        <f t="shared" si="304"/>
        <v>0</v>
      </c>
      <c r="AI475" s="81">
        <f t="shared" si="304"/>
        <v>0</v>
      </c>
    </row>
    <row r="476" spans="1:36" hidden="1" x14ac:dyDescent="0.3">
      <c r="B476" s="80" t="s">
        <v>24</v>
      </c>
      <c r="C476" s="202" t="s">
        <v>11</v>
      </c>
      <c r="D476" s="286">
        <f ca="1">SUM(E476:AI476)</f>
        <v>-1109.1872512855402</v>
      </c>
      <c r="E476" s="308">
        <f ca="1">(E$345*Input!$D$328*(1-Input!$D$330))+(E$345*Input!$D$330*Input!$D$329)</f>
        <v>-519.57233827988046</v>
      </c>
      <c r="F476" s="308">
        <f ca="1">(F$345*Input!$D$328*(1-Input!$D$330))+(F$345*Input!$D$330*Input!$D$329)</f>
        <v>-589.6149130056599</v>
      </c>
      <c r="G476" s="308">
        <f ca="1">(G$345*Input!$D$328*(1-Input!$D$330))+(G$345*Input!$D$330*Input!$D$329)</f>
        <v>0</v>
      </c>
      <c r="H476" s="308">
        <f ca="1">(H$345*Input!$D$328*(1-Input!$D$330))+(H$345*Input!$D$330*Input!$D$329)</f>
        <v>0</v>
      </c>
      <c r="I476" s="308">
        <f ca="1">(I$345*Input!$D$328*(1-Input!$D$330))+(I$345*Input!$D$330*Input!$D$329)</f>
        <v>0</v>
      </c>
      <c r="J476" s="308">
        <f ca="1">(J$345*Input!$D$328*(1-Input!$D$330))+(J$345*Input!$D$330*Input!$D$329)</f>
        <v>0</v>
      </c>
      <c r="K476" s="308">
        <f ca="1">(K$345*Input!$D$328*(1-Input!$D$330))+(K$345*Input!$D$330*Input!$D$329)</f>
        <v>0</v>
      </c>
      <c r="L476" s="308">
        <f ca="1">(L$345*Input!$D$328*(1-Input!$D$330))+(L$345*Input!$D$330*Input!$D$329)</f>
        <v>0</v>
      </c>
      <c r="M476" s="308">
        <f ca="1">(M$345*Input!$D$328*(1-Input!$D$330))+(M$345*Input!$D$330*Input!$D$329)</f>
        <v>0</v>
      </c>
      <c r="N476" s="308">
        <f ca="1">(N$345*Input!$D$328*(1-Input!$D$330))+(N$345*Input!$D$330*Input!$D$329)</f>
        <v>0</v>
      </c>
      <c r="O476" s="308">
        <f ca="1">(O$345*Input!$D$328*(1-Input!$D$330))+(O$345*Input!$D$330*Input!$D$329)</f>
        <v>0</v>
      </c>
      <c r="P476" s="308">
        <f ca="1">(P$345*Input!$D$328*(1-Input!$D$330))+(P$345*Input!$D$330*Input!$D$329)</f>
        <v>0</v>
      </c>
      <c r="Q476" s="308">
        <f ca="1">(Q$345*Input!$D$328*(1-Input!$D$330))+(Q$345*Input!$D$330*Input!$D$329)</f>
        <v>0</v>
      </c>
      <c r="R476" s="308">
        <f ca="1">(R$345*Input!$D$328*(1-Input!$D$330))+(R$345*Input!$D$330*Input!$D$329)</f>
        <v>0</v>
      </c>
      <c r="S476" s="308">
        <f ca="1">(S$345*Input!$D$328*(1-Input!$D$330))+(S$345*Input!$D$330*Input!$D$329)</f>
        <v>0</v>
      </c>
      <c r="T476" s="308">
        <f ca="1">(T$345*Input!$D$328*(1-Input!$D$330))+(T$345*Input!$D$330*Input!$D$329)</f>
        <v>0</v>
      </c>
      <c r="U476" s="308">
        <f ca="1">(U$345*Input!$D$328*(1-Input!$D$330))+(U$345*Input!$D$330*Input!$D$329)</f>
        <v>0</v>
      </c>
      <c r="V476" s="308">
        <f ca="1">(V$345*Input!$D$328*(1-Input!$D$330))+(V$345*Input!$D$330*Input!$D$329)</f>
        <v>0</v>
      </c>
      <c r="W476" s="308">
        <f ca="1">(W$345*Input!$D$328*(1-Input!$D$330))+(W$345*Input!$D$330*Input!$D$329)</f>
        <v>0</v>
      </c>
      <c r="X476" s="308">
        <f ca="1">(X$345*Input!$D$328*(1-Input!$D$330))+(X$345*Input!$D$330*Input!$D$329)</f>
        <v>0</v>
      </c>
      <c r="Y476" s="308">
        <f ca="1">(Y$345*Input!$D$328*(1-Input!$D$330))+(Y$345*Input!$D$330*Input!$D$329)</f>
        <v>0</v>
      </c>
      <c r="Z476" s="308">
        <f ca="1">(Z$345*Input!$D$328*(1-Input!$D$330))+(Z$345*Input!$D$330*Input!$D$329)</f>
        <v>0</v>
      </c>
      <c r="AA476" s="308">
        <f ca="1">(AA$345*Input!$D$328*(1-Input!$D$330))+(AA$345*Input!$D$330*Input!$D$329)</f>
        <v>0</v>
      </c>
      <c r="AB476" s="308">
        <f ca="1">(AB$345*Input!$D$328*(1-Input!$D$330))+(AB$345*Input!$D$330*Input!$D$329)</f>
        <v>0</v>
      </c>
      <c r="AC476" s="308">
        <f ca="1">(AC$345*Input!$D$328*(1-Input!$D$330))+(AC$345*Input!$D$330*Input!$D$329)</f>
        <v>0</v>
      </c>
      <c r="AD476" s="308">
        <f ca="1">(AD$345*Input!$D$328*(1-Input!$D$330))+(AD$345*Input!$D$330*Input!$D$329)</f>
        <v>0</v>
      </c>
      <c r="AE476" s="308">
        <f ca="1">(AE$345*Input!$D$328*(1-Input!$D$330))+(AE$345*Input!$D$330*Input!$D$329)</f>
        <v>0</v>
      </c>
      <c r="AF476" s="308">
        <f ca="1">(AF$345*Input!$D$328*(1-Input!$D$330))+(AF$345*Input!$D$330*Input!$D$329)</f>
        <v>0</v>
      </c>
      <c r="AG476" s="308">
        <f ca="1">(AG$345*Input!$D$328*(1-Input!$D$330))+(AG$345*Input!$D$330*Input!$D$329)</f>
        <v>0</v>
      </c>
      <c r="AH476" s="308">
        <f ca="1">(AH$345*Input!$D$328*(1-Input!$D$330))+(AH$345*Input!$D$330*Input!$D$329)</f>
        <v>0</v>
      </c>
      <c r="AI476" s="308">
        <f ca="1">(AI$345*Input!$D$328*(1-Input!$D$330))+(AI$345*Input!$D$330*Input!$D$329)</f>
        <v>0</v>
      </c>
    </row>
    <row r="477" spans="1:36" hidden="1" x14ac:dyDescent="0.3">
      <c r="B477" s="80" t="s">
        <v>116</v>
      </c>
      <c r="C477" s="202" t="s">
        <v>11</v>
      </c>
      <c r="D477" s="286">
        <f t="shared" si="300"/>
        <v>-664.56352581656017</v>
      </c>
      <c r="E477" s="308">
        <f t="shared" ref="E477:AI477" si="305">-(E256+E257)</f>
        <v>0</v>
      </c>
      <c r="F477" s="308">
        <f t="shared" si="305"/>
        <v>-6.7603461119239059</v>
      </c>
      <c r="G477" s="308">
        <f t="shared" si="305"/>
        <v>-14.234368701528499</v>
      </c>
      <c r="H477" s="308">
        <f t="shared" si="305"/>
        <v>-14.945089232542362</v>
      </c>
      <c r="I477" s="308">
        <f t="shared" si="305"/>
        <v>-15.691743381201174</v>
      </c>
      <c r="J477" s="308">
        <f t="shared" si="305"/>
        <v>-16.476165666205507</v>
      </c>
      <c r="K477" s="308">
        <f t="shared" si="305"/>
        <v>-17.300284958229984</v>
      </c>
      <c r="L477" s="308">
        <f t="shared" si="305"/>
        <v>-18.166129359500236</v>
      </c>
      <c r="M477" s="308">
        <f t="shared" si="305"/>
        <v>-19.075831336761482</v>
      </c>
      <c r="N477" s="308">
        <f t="shared" si="305"/>
        <v>-20.031633120836908</v>
      </c>
      <c r="O477" s="308">
        <f t="shared" si="305"/>
        <v>-21.035892386662649</v>
      </c>
      <c r="P477" s="308">
        <f t="shared" si="305"/>
        <v>-22.091088228411451</v>
      </c>
      <c r="Q477" s="308">
        <f t="shared" si="305"/>
        <v>-23.199827445079698</v>
      </c>
      <c r="R477" s="308">
        <f t="shared" si="305"/>
        <v>-24.364851152715335</v>
      </c>
      <c r="S477" s="308">
        <f t="shared" si="305"/>
        <v>-25.589041740309035</v>
      </c>
      <c r="T477" s="308">
        <f t="shared" si="305"/>
        <v>-26.875430187259674</v>
      </c>
      <c r="U477" s="308">
        <f t="shared" si="305"/>
        <v>-28.227203761260757</v>
      </c>
      <c r="V477" s="308">
        <f t="shared" si="305"/>
        <v>-29.6477141164386</v>
      </c>
      <c r="W477" s="308">
        <f t="shared" si="305"/>
        <v>-31.140485812609008</v>
      </c>
      <c r="X477" s="308">
        <f t="shared" si="305"/>
        <v>-32.709225277609029</v>
      </c>
      <c r="Y477" s="308">
        <f t="shared" si="305"/>
        <v>-34.357830235807441</v>
      </c>
      <c r="Z477" s="308">
        <f t="shared" si="305"/>
        <v>-36.090399627104645</v>
      </c>
      <c r="AA477" s="308">
        <f t="shared" si="305"/>
        <v>-37.911244042002643</v>
      </c>
      <c r="AB477" s="308">
        <f t="shared" si="305"/>
        <v>-39.824896699662482</v>
      </c>
      <c r="AC477" s="308">
        <f t="shared" si="305"/>
        <v>-41.83612499727311</v>
      </c>
      <c r="AD477" s="308">
        <f t="shared" si="305"/>
        <v>-43.949942660535406</v>
      </c>
      <c r="AE477" s="308">
        <f t="shared" si="305"/>
        <v>-23.030735577088976</v>
      </c>
      <c r="AF477" s="308">
        <f t="shared" si="305"/>
        <v>0</v>
      </c>
      <c r="AG477" s="308">
        <f t="shared" si="305"/>
        <v>0</v>
      </c>
      <c r="AH477" s="308">
        <f t="shared" si="305"/>
        <v>0</v>
      </c>
      <c r="AI477" s="308">
        <f t="shared" si="305"/>
        <v>0</v>
      </c>
    </row>
    <row r="478" spans="1:36" hidden="1" x14ac:dyDescent="0.3">
      <c r="B478" s="80" t="s">
        <v>488</v>
      </c>
      <c r="C478" s="202" t="s">
        <v>11</v>
      </c>
      <c r="D478" s="286">
        <f ca="1">SUM(E478:AI478)</f>
        <v>170.35959589873397</v>
      </c>
      <c r="E478" s="307">
        <f>E$417*0</f>
        <v>0</v>
      </c>
      <c r="F478" s="307">
        <f t="shared" ref="F478:AI478" si="306">F$417</f>
        <v>0</v>
      </c>
      <c r="G478" s="307">
        <f t="shared" si="306"/>
        <v>0</v>
      </c>
      <c r="H478" s="307">
        <f t="shared" si="306"/>
        <v>0</v>
      </c>
      <c r="I478" s="307">
        <f t="shared" si="306"/>
        <v>0</v>
      </c>
      <c r="J478" s="307">
        <f t="shared" si="306"/>
        <v>0</v>
      </c>
      <c r="K478" s="307">
        <f t="shared" si="306"/>
        <v>0</v>
      </c>
      <c r="L478" s="307">
        <f t="shared" si="306"/>
        <v>0</v>
      </c>
      <c r="M478" s="307">
        <f t="shared" si="306"/>
        <v>0</v>
      </c>
      <c r="N478" s="307">
        <f t="shared" si="306"/>
        <v>0</v>
      </c>
      <c r="O478" s="307">
        <f t="shared" si="306"/>
        <v>0</v>
      </c>
      <c r="P478" s="307">
        <f t="shared" si="306"/>
        <v>0</v>
      </c>
      <c r="Q478" s="307">
        <f t="shared" si="306"/>
        <v>0</v>
      </c>
      <c r="R478" s="307">
        <f t="shared" si="306"/>
        <v>0</v>
      </c>
      <c r="S478" s="307">
        <f t="shared" si="306"/>
        <v>0</v>
      </c>
      <c r="T478" s="307">
        <f t="shared" si="306"/>
        <v>0</v>
      </c>
      <c r="U478" s="307">
        <f t="shared" si="306"/>
        <v>0</v>
      </c>
      <c r="V478" s="307">
        <f t="shared" si="306"/>
        <v>0</v>
      </c>
      <c r="W478" s="307">
        <f t="shared" si="306"/>
        <v>0</v>
      </c>
      <c r="X478" s="307">
        <f t="shared" si="306"/>
        <v>0</v>
      </c>
      <c r="Y478" s="307">
        <f t="shared" si="306"/>
        <v>0</v>
      </c>
      <c r="Z478" s="307">
        <f t="shared" si="306"/>
        <v>0</v>
      </c>
      <c r="AA478" s="307">
        <f t="shared" si="306"/>
        <v>0</v>
      </c>
      <c r="AB478" s="307">
        <f t="shared" si="306"/>
        <v>0</v>
      </c>
      <c r="AC478" s="307">
        <f t="shared" si="306"/>
        <v>0</v>
      </c>
      <c r="AD478" s="307">
        <f t="shared" si="306"/>
        <v>0</v>
      </c>
      <c r="AE478" s="307">
        <f ca="1">AE$417</f>
        <v>170.35959589873397</v>
      </c>
      <c r="AF478" s="307">
        <f t="shared" si="306"/>
        <v>0</v>
      </c>
      <c r="AG478" s="307">
        <f t="shared" si="306"/>
        <v>0</v>
      </c>
      <c r="AH478" s="307">
        <f t="shared" si="306"/>
        <v>0</v>
      </c>
      <c r="AI478" s="307">
        <f t="shared" si="306"/>
        <v>0</v>
      </c>
    </row>
    <row r="479" spans="1:36" hidden="1" x14ac:dyDescent="0.3">
      <c r="B479" s="283"/>
      <c r="D479" s="116"/>
      <c r="I479" s="117"/>
      <c r="J479" s="117"/>
      <c r="K479" s="117"/>
      <c r="L479" s="117"/>
      <c r="M479" s="117"/>
      <c r="N479" s="117"/>
      <c r="O479" s="117"/>
      <c r="P479" s="117"/>
      <c r="Q479" s="117"/>
      <c r="R479" s="117"/>
      <c r="S479" s="117"/>
      <c r="T479" s="117"/>
      <c r="U479" s="117"/>
      <c r="V479" s="117"/>
      <c r="W479" s="117"/>
      <c r="X479" s="117"/>
      <c r="Y479" s="117"/>
      <c r="Z479" s="117"/>
      <c r="AA479" s="117"/>
      <c r="AB479" s="117"/>
      <c r="AC479" s="117"/>
      <c r="AD479" s="117"/>
      <c r="AE479" s="117"/>
      <c r="AF479" s="117"/>
      <c r="AG479" s="117"/>
      <c r="AH479" s="117"/>
      <c r="AI479" s="117"/>
    </row>
    <row r="480" spans="1:36" hidden="1" x14ac:dyDescent="0.3">
      <c r="B480" s="240" t="s">
        <v>520</v>
      </c>
      <c r="C480" s="220" t="s">
        <v>11</v>
      </c>
      <c r="D480" s="310"/>
      <c r="E480" s="311">
        <f t="shared" ref="E480:AI480" ca="1" si="307">SUM(E475:E479)</f>
        <v>-519.57233827988046</v>
      </c>
      <c r="F480" s="311">
        <f t="shared" ca="1" si="307"/>
        <v>-477.91848450786085</v>
      </c>
      <c r="G480" s="311">
        <f t="shared" ca="1" si="307"/>
        <v>220.82256791657827</v>
      </c>
      <c r="H480" s="311">
        <f t="shared" ca="1" si="307"/>
        <v>220.01001303394412</v>
      </c>
      <c r="I480" s="311">
        <f t="shared" ca="1" si="307"/>
        <v>219.18632737600294</v>
      </c>
      <c r="J480" s="311">
        <f t="shared" ca="1" si="307"/>
        <v>218.34965651733154</v>
      </c>
      <c r="K480" s="311">
        <f t="shared" ca="1" si="307"/>
        <v>217.49805885013893</v>
      </c>
      <c r="L480" s="311">
        <f t="shared" ca="1" si="307"/>
        <v>216.62950085938377</v>
      </c>
      <c r="M480" s="311">
        <f t="shared" ca="1" si="307"/>
        <v>215.7418521521617</v>
      </c>
      <c r="N480" s="311">
        <f t="shared" ca="1" si="307"/>
        <v>214.83288022845281</v>
      </c>
      <c r="O480" s="311">
        <f t="shared" ca="1" si="307"/>
        <v>213.9002449796443</v>
      </c>
      <c r="P480" s="311">
        <f t="shared" ca="1" si="307"/>
        <v>212.94149290052965</v>
      </c>
      <c r="Q480" s="311">
        <f t="shared" ca="1" si="307"/>
        <v>211.95405099973416</v>
      </c>
      <c r="R480" s="311">
        <f t="shared" ca="1" si="307"/>
        <v>210.93522039273196</v>
      </c>
      <c r="S480" s="311">
        <f t="shared" ca="1" si="307"/>
        <v>209.8821695607823</v>
      </c>
      <c r="T480" s="311">
        <f t="shared" ca="1" si="307"/>
        <v>208.79192725824362</v>
      </c>
      <c r="U480" s="311">
        <f t="shared" ca="1" si="307"/>
        <v>207.66137504980333</v>
      </c>
      <c r="V480" s="311">
        <f t="shared" ca="1" si="307"/>
        <v>206.4872394581862</v>
      </c>
      <c r="W480" s="311">
        <f t="shared" ca="1" si="307"/>
        <v>205.26608370189643</v>
      </c>
      <c r="X480" s="311">
        <f t="shared" ca="1" si="307"/>
        <v>203.99429900146129</v>
      </c>
      <c r="Y480" s="311">
        <f t="shared" ca="1" si="307"/>
        <v>202.66809543152857</v>
      </c>
      <c r="Z480" s="311">
        <f t="shared" ca="1" si="307"/>
        <v>201.28349229497042</v>
      </c>
      <c r="AA480" s="311">
        <f t="shared" ca="1" si="307"/>
        <v>199.83630799390153</v>
      </c>
      <c r="AB480" s="311">
        <f t="shared" ca="1" si="307"/>
        <v>198.32214937120136</v>
      </c>
      <c r="AC480" s="311">
        <f t="shared" ca="1" si="307"/>
        <v>196.73640049474204</v>
      </c>
      <c r="AD480" s="311">
        <f t="shared" ca="1" si="307"/>
        <v>195.07421085506834</v>
      </c>
      <c r="AE480" s="311">
        <f t="shared" ca="1" si="307"/>
        <v>289.26536124361996</v>
      </c>
      <c r="AF480" s="311">
        <f t="shared" ca="1" si="307"/>
        <v>0</v>
      </c>
      <c r="AG480" s="311">
        <f t="shared" ca="1" si="307"/>
        <v>0</v>
      </c>
      <c r="AH480" s="311">
        <f t="shared" ca="1" si="307"/>
        <v>0</v>
      </c>
      <c r="AI480" s="311">
        <f t="shared" ca="1" si="307"/>
        <v>0</v>
      </c>
    </row>
    <row r="481" spans="1:42" hidden="1" x14ac:dyDescent="0.3">
      <c r="B481" s="283"/>
      <c r="D481" s="116"/>
      <c r="H481" s="235"/>
      <c r="I481" s="117"/>
      <c r="J481" s="117"/>
      <c r="K481" s="117"/>
      <c r="L481" s="117"/>
      <c r="M481" s="117"/>
      <c r="N481" s="117"/>
      <c r="O481" s="117"/>
      <c r="P481" s="117"/>
      <c r="Q481" s="117"/>
      <c r="R481" s="117"/>
      <c r="S481" s="117"/>
      <c r="T481" s="117"/>
      <c r="U481" s="117"/>
      <c r="V481" s="117"/>
      <c r="W481" s="117"/>
      <c r="X481" s="117"/>
      <c r="Y481" s="117"/>
      <c r="Z481" s="117"/>
      <c r="AA481" s="117"/>
      <c r="AB481" s="117"/>
      <c r="AC481" s="117"/>
      <c r="AD481" s="117"/>
      <c r="AE481" s="117"/>
      <c r="AF481" s="117"/>
      <c r="AG481" s="117"/>
      <c r="AH481" s="117"/>
      <c r="AI481" s="117"/>
      <c r="AJ481" s="117"/>
      <c r="AK481" s="117"/>
      <c r="AL481" s="117"/>
      <c r="AM481" s="117"/>
      <c r="AN481" s="117"/>
      <c r="AO481" s="117"/>
      <c r="AP481" s="117"/>
    </row>
    <row r="482" spans="1:42" hidden="1" x14ac:dyDescent="0.3">
      <c r="B482" s="80" t="s">
        <v>489</v>
      </c>
      <c r="C482" s="202" t="s">
        <v>0</v>
      </c>
      <c r="D482" s="284">
        <f ca="1">IRR(E480:AI480)</f>
        <v>0.19492021525773828</v>
      </c>
      <c r="E482" s="275"/>
      <c r="F482" s="275"/>
      <c r="G482" s="275"/>
      <c r="H482" s="275"/>
      <c r="I482" s="275"/>
      <c r="J482" s="275"/>
      <c r="K482" s="275"/>
      <c r="L482" s="275"/>
      <c r="M482" s="275"/>
      <c r="N482" s="275"/>
      <c r="O482" s="275"/>
      <c r="P482" s="275"/>
      <c r="Q482" s="275"/>
      <c r="R482" s="275"/>
      <c r="S482" s="275"/>
      <c r="T482" s="275"/>
      <c r="U482" s="275"/>
      <c r="V482" s="275"/>
      <c r="W482" s="275"/>
      <c r="X482" s="275"/>
      <c r="Y482" s="275"/>
      <c r="Z482" s="275"/>
      <c r="AA482" s="275"/>
      <c r="AB482" s="275"/>
      <c r="AC482" s="275"/>
      <c r="AD482" s="275"/>
      <c r="AE482" s="275"/>
      <c r="AF482" s="275"/>
      <c r="AG482" s="275"/>
      <c r="AH482" s="275"/>
      <c r="AI482" s="275"/>
      <c r="AJ482" s="275"/>
      <c r="AK482" s="275"/>
      <c r="AL482" s="275"/>
      <c r="AM482" s="275"/>
      <c r="AN482" s="275"/>
      <c r="AO482" s="275"/>
      <c r="AP482" s="275"/>
    </row>
    <row r="483" spans="1:42" hidden="1" x14ac:dyDescent="0.3">
      <c r="B483" s="80" t="s">
        <v>490</v>
      </c>
      <c r="C483" s="202" t="s">
        <v>0</v>
      </c>
      <c r="D483" s="281">
        <f>Output!H27</f>
        <v>7.4760000000000007E-2</v>
      </c>
      <c r="E483" s="275"/>
      <c r="F483" s="275"/>
      <c r="G483" s="275"/>
      <c r="H483" s="275"/>
      <c r="I483" s="275"/>
      <c r="J483" s="275"/>
      <c r="K483" s="275"/>
      <c r="L483" s="275"/>
      <c r="M483" s="275"/>
      <c r="N483" s="275"/>
      <c r="O483" s="275"/>
      <c r="P483" s="275"/>
      <c r="Q483" s="275"/>
      <c r="R483" s="275"/>
      <c r="S483" s="275"/>
      <c r="T483" s="275"/>
      <c r="U483" s="275"/>
      <c r="V483" s="275"/>
      <c r="W483" s="275"/>
      <c r="X483" s="275"/>
      <c r="Y483" s="275"/>
      <c r="Z483" s="275"/>
      <c r="AA483" s="275"/>
      <c r="AB483" s="275"/>
      <c r="AC483" s="275"/>
      <c r="AD483" s="275"/>
      <c r="AE483" s="275"/>
      <c r="AF483" s="275"/>
      <c r="AG483" s="275"/>
      <c r="AH483" s="275"/>
      <c r="AI483" s="275"/>
      <c r="AJ483" s="275"/>
      <c r="AK483" s="275"/>
      <c r="AL483" s="275"/>
      <c r="AM483" s="275"/>
      <c r="AN483" s="275"/>
      <c r="AO483" s="275"/>
      <c r="AP483" s="275"/>
    </row>
    <row r="484" spans="1:42" hidden="1" x14ac:dyDescent="0.3">
      <c r="B484" s="80" t="s">
        <v>491</v>
      </c>
      <c r="C484" s="202" t="s">
        <v>11</v>
      </c>
      <c r="D484" s="285">
        <f ca="1">NPV(D483,J480:AI480)</f>
        <v>2259.5803786966603</v>
      </c>
      <c r="E484" s="275"/>
      <c r="F484" s="275"/>
      <c r="G484" s="275"/>
      <c r="H484" s="275"/>
      <c r="I484" s="275"/>
      <c r="J484" s="275"/>
      <c r="K484" s="275"/>
      <c r="L484" s="275"/>
      <c r="M484" s="275"/>
      <c r="N484" s="275"/>
      <c r="O484" s="275"/>
      <c r="P484" s="275"/>
      <c r="Q484" s="275"/>
      <c r="R484" s="275"/>
      <c r="S484" s="275"/>
      <c r="T484" s="275"/>
      <c r="U484" s="275"/>
      <c r="V484" s="275"/>
      <c r="W484" s="275"/>
      <c r="X484" s="275"/>
      <c r="Y484" s="275"/>
      <c r="Z484" s="275"/>
      <c r="AA484" s="275"/>
      <c r="AB484" s="275"/>
      <c r="AC484" s="275"/>
      <c r="AD484" s="275"/>
      <c r="AE484" s="275"/>
      <c r="AF484" s="275"/>
      <c r="AG484" s="275"/>
      <c r="AH484" s="275"/>
      <c r="AI484" s="275"/>
      <c r="AJ484" s="275"/>
      <c r="AK484" s="275"/>
      <c r="AL484" s="275"/>
      <c r="AM484" s="275"/>
      <c r="AN484" s="275"/>
      <c r="AO484" s="275"/>
      <c r="AP484" s="275"/>
    </row>
    <row r="485" spans="1:42" x14ac:dyDescent="0.3">
      <c r="A485" s="274"/>
      <c r="B485" s="3"/>
      <c r="C485" s="241"/>
      <c r="D485" s="274"/>
      <c r="E485" s="274"/>
      <c r="F485" s="274"/>
      <c r="G485" s="274"/>
      <c r="H485" s="274"/>
      <c r="I485" s="274"/>
      <c r="J485" s="274"/>
      <c r="K485" s="274"/>
      <c r="L485" s="274"/>
      <c r="M485" s="274"/>
      <c r="N485" s="274"/>
      <c r="O485" s="274"/>
      <c r="P485" s="274"/>
      <c r="Q485" s="274"/>
      <c r="R485" s="274"/>
      <c r="S485" s="274"/>
      <c r="T485" s="274"/>
      <c r="U485" s="274"/>
      <c r="V485" s="274"/>
      <c r="W485" s="274"/>
      <c r="X485" s="274"/>
      <c r="Y485" s="274"/>
      <c r="Z485" s="274"/>
      <c r="AA485" s="274"/>
      <c r="AB485" s="274"/>
      <c r="AC485" s="274"/>
      <c r="AD485" s="274"/>
      <c r="AE485" s="274"/>
      <c r="AF485" s="274"/>
      <c r="AG485" s="274"/>
      <c r="AH485" s="274"/>
      <c r="AI485" s="274"/>
    </row>
    <row r="486" spans="1:42" x14ac:dyDescent="0.3">
      <c r="A486" s="274"/>
      <c r="B486" s="2"/>
      <c r="C486" s="241"/>
      <c r="D486" s="274"/>
      <c r="E486" s="274"/>
      <c r="F486" s="274"/>
      <c r="G486" s="274"/>
      <c r="H486" s="274"/>
      <c r="I486" s="274"/>
      <c r="J486" s="274"/>
      <c r="K486" s="274"/>
      <c r="L486" s="274"/>
      <c r="M486" s="274"/>
      <c r="N486" s="274"/>
      <c r="O486" s="274"/>
      <c r="P486" s="274"/>
      <c r="Q486" s="274"/>
      <c r="R486" s="274"/>
      <c r="S486" s="274"/>
      <c r="T486" s="274"/>
      <c r="U486" s="274"/>
      <c r="V486" s="274"/>
      <c r="W486" s="274"/>
      <c r="X486" s="274"/>
      <c r="Y486" s="274"/>
      <c r="Z486" s="274"/>
      <c r="AA486" s="274"/>
      <c r="AB486" s="274"/>
      <c r="AC486" s="274"/>
      <c r="AD486" s="274"/>
      <c r="AE486" s="274"/>
      <c r="AF486" s="274"/>
      <c r="AG486" s="274"/>
      <c r="AH486" s="274"/>
      <c r="AI486" s="274"/>
    </row>
    <row r="487" spans="1:42" x14ac:dyDescent="0.3">
      <c r="A487" s="274"/>
      <c r="B487" s="3"/>
      <c r="C487" s="241"/>
      <c r="D487" s="286"/>
      <c r="E487" s="287"/>
      <c r="F487" s="287"/>
      <c r="G487" s="287"/>
      <c r="H487" s="287"/>
      <c r="I487" s="287"/>
      <c r="J487" s="287"/>
      <c r="K487" s="287"/>
      <c r="L487" s="287"/>
      <c r="M487" s="287"/>
      <c r="N487" s="287"/>
      <c r="O487" s="287"/>
      <c r="P487" s="287"/>
      <c r="Q487" s="287"/>
      <c r="R487" s="287"/>
      <c r="S487" s="287"/>
      <c r="T487" s="287"/>
      <c r="U487" s="287"/>
      <c r="V487" s="287"/>
      <c r="W487" s="287"/>
      <c r="X487" s="287"/>
      <c r="Y487" s="287"/>
      <c r="Z487" s="287"/>
      <c r="AA487" s="287"/>
      <c r="AB487" s="287"/>
      <c r="AC487" s="287"/>
      <c r="AD487" s="287"/>
      <c r="AE487" s="287"/>
      <c r="AF487" s="287"/>
      <c r="AG487" s="287"/>
      <c r="AH487" s="287"/>
      <c r="AI487" s="287"/>
    </row>
    <row r="488" spans="1:42" x14ac:dyDescent="0.3">
      <c r="A488" s="274"/>
      <c r="B488" s="3"/>
      <c r="C488" s="241"/>
      <c r="D488" s="286"/>
      <c r="E488" s="288"/>
      <c r="F488" s="288"/>
      <c r="G488" s="288"/>
      <c r="H488" s="288"/>
      <c r="I488" s="288"/>
      <c r="J488" s="288"/>
      <c r="K488" s="288"/>
      <c r="L488" s="288"/>
      <c r="M488" s="288"/>
      <c r="N488" s="288"/>
      <c r="O488" s="288"/>
      <c r="P488" s="288"/>
      <c r="Q488" s="288"/>
      <c r="R488" s="288"/>
      <c r="S488" s="288"/>
      <c r="T488" s="288"/>
      <c r="U488" s="288"/>
      <c r="V488" s="288"/>
      <c r="W488" s="288"/>
      <c r="X488" s="288"/>
      <c r="Y488" s="288"/>
      <c r="Z488" s="288"/>
      <c r="AA488" s="288"/>
      <c r="AB488" s="288"/>
      <c r="AC488" s="288"/>
      <c r="AD488" s="288"/>
      <c r="AE488" s="288"/>
      <c r="AF488" s="288"/>
      <c r="AG488" s="288"/>
      <c r="AH488" s="288"/>
      <c r="AI488" s="288"/>
    </row>
    <row r="489" spans="1:42" x14ac:dyDescent="0.3">
      <c r="A489" s="274"/>
      <c r="B489" s="3"/>
      <c r="C489" s="241"/>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c r="AA489" s="286"/>
      <c r="AB489" s="286"/>
      <c r="AC489" s="286"/>
      <c r="AD489" s="286"/>
      <c r="AE489" s="286"/>
      <c r="AF489" s="286"/>
      <c r="AG489" s="286"/>
      <c r="AH489" s="286"/>
      <c r="AI489" s="286"/>
    </row>
    <row r="490" spans="1:42" x14ac:dyDescent="0.3">
      <c r="A490" s="274"/>
      <c r="C490" s="241"/>
      <c r="D490" s="274"/>
      <c r="E490" s="274"/>
      <c r="F490" s="274"/>
      <c r="G490" s="274"/>
      <c r="H490" s="274"/>
      <c r="I490" s="274"/>
      <c r="J490" s="274"/>
      <c r="K490" s="274"/>
      <c r="L490" s="274"/>
      <c r="M490" s="274"/>
      <c r="N490" s="274"/>
      <c r="O490" s="274"/>
      <c r="P490" s="274"/>
      <c r="Q490" s="274"/>
      <c r="R490" s="274"/>
      <c r="S490" s="274"/>
      <c r="T490" s="274"/>
      <c r="U490" s="274"/>
      <c r="V490" s="274"/>
      <c r="W490" s="274"/>
      <c r="X490" s="274"/>
      <c r="Y490" s="274"/>
      <c r="Z490" s="274"/>
      <c r="AA490" s="274"/>
      <c r="AB490" s="274"/>
      <c r="AC490" s="274"/>
      <c r="AD490" s="274"/>
      <c r="AE490" s="274"/>
      <c r="AF490" s="274"/>
      <c r="AG490" s="274"/>
      <c r="AH490" s="274"/>
      <c r="AI490" s="274"/>
    </row>
    <row r="491" spans="1:42" x14ac:dyDescent="0.3">
      <c r="A491" s="274"/>
      <c r="B491" s="3"/>
      <c r="C491" s="241"/>
      <c r="D491" s="274"/>
      <c r="E491" s="274"/>
      <c r="F491" s="274"/>
      <c r="G491" s="274"/>
      <c r="H491" s="274"/>
      <c r="I491" s="274"/>
      <c r="J491" s="274"/>
      <c r="K491" s="274"/>
      <c r="L491" s="274"/>
      <c r="M491" s="274"/>
      <c r="N491" s="274"/>
      <c r="O491" s="274"/>
      <c r="P491" s="274"/>
      <c r="Q491" s="274"/>
      <c r="R491" s="274"/>
      <c r="S491" s="274"/>
      <c r="T491" s="274"/>
      <c r="U491" s="274"/>
      <c r="V491" s="274"/>
      <c r="W491" s="274"/>
      <c r="X491" s="274"/>
      <c r="Y491" s="274"/>
      <c r="Z491" s="274"/>
      <c r="AA491" s="274"/>
      <c r="AB491" s="274"/>
      <c r="AC491" s="274"/>
      <c r="AD491" s="274"/>
      <c r="AE491" s="274"/>
      <c r="AF491" s="274"/>
      <c r="AG491" s="274"/>
      <c r="AH491" s="274"/>
      <c r="AI491" s="274"/>
    </row>
    <row r="492" spans="1:42" x14ac:dyDescent="0.3">
      <c r="A492" s="274"/>
      <c r="B492" s="3"/>
      <c r="C492" s="241"/>
      <c r="D492" s="274"/>
      <c r="E492" s="274"/>
      <c r="F492" s="274"/>
      <c r="G492" s="274"/>
      <c r="H492" s="274"/>
      <c r="I492" s="274"/>
      <c r="J492" s="274"/>
      <c r="K492" s="274"/>
      <c r="L492" s="274"/>
      <c r="M492" s="274"/>
      <c r="N492" s="274"/>
      <c r="O492" s="274"/>
      <c r="P492" s="274"/>
      <c r="Q492" s="274"/>
      <c r="R492" s="274"/>
      <c r="S492" s="274"/>
      <c r="T492" s="274"/>
      <c r="U492" s="274"/>
      <c r="V492" s="274"/>
      <c r="W492" s="274"/>
      <c r="X492" s="274"/>
      <c r="Y492" s="274"/>
      <c r="Z492" s="274"/>
      <c r="AA492" s="274"/>
      <c r="AB492" s="274"/>
      <c r="AC492" s="274"/>
      <c r="AD492" s="274"/>
      <c r="AE492" s="274"/>
      <c r="AF492" s="274"/>
      <c r="AG492" s="274"/>
      <c r="AH492" s="274"/>
      <c r="AI492" s="274"/>
    </row>
    <row r="493" spans="1:42" x14ac:dyDescent="0.3">
      <c r="A493" s="274"/>
      <c r="B493" s="3"/>
      <c r="C493" s="241"/>
      <c r="D493" s="274"/>
      <c r="E493" s="274"/>
      <c r="F493" s="274"/>
      <c r="G493" s="274"/>
      <c r="H493" s="274"/>
      <c r="I493" s="274"/>
      <c r="J493" s="274"/>
      <c r="K493" s="274"/>
      <c r="L493" s="274"/>
      <c r="M493" s="274"/>
      <c r="N493" s="274"/>
      <c r="O493" s="274"/>
      <c r="P493" s="274"/>
      <c r="Q493" s="274"/>
      <c r="R493" s="274"/>
      <c r="S493" s="274"/>
      <c r="T493" s="274"/>
      <c r="U493" s="274"/>
      <c r="V493" s="274"/>
      <c r="W493" s="274"/>
      <c r="X493" s="274"/>
      <c r="Y493" s="274"/>
      <c r="Z493" s="274"/>
      <c r="AA493" s="274"/>
      <c r="AB493" s="274"/>
      <c r="AC493" s="274"/>
      <c r="AD493" s="274"/>
      <c r="AE493" s="274"/>
      <c r="AF493" s="274"/>
      <c r="AG493" s="274"/>
      <c r="AH493" s="274"/>
      <c r="AI493" s="274"/>
    </row>
    <row r="494" spans="1:42" x14ac:dyDescent="0.3">
      <c r="A494" s="274"/>
      <c r="B494" s="3"/>
      <c r="C494" s="241"/>
      <c r="D494" s="274"/>
      <c r="E494" s="274"/>
      <c r="F494" s="274"/>
      <c r="G494" s="274"/>
      <c r="H494" s="274"/>
      <c r="I494" s="274"/>
      <c r="J494" s="274"/>
      <c r="K494" s="274"/>
      <c r="L494" s="274"/>
      <c r="M494" s="274"/>
      <c r="N494" s="274"/>
      <c r="O494" s="274"/>
      <c r="P494" s="274"/>
      <c r="Q494" s="274"/>
      <c r="R494" s="274"/>
      <c r="S494" s="274"/>
      <c r="T494" s="274"/>
      <c r="U494" s="274"/>
      <c r="V494" s="274"/>
      <c r="W494" s="274"/>
      <c r="X494" s="274"/>
      <c r="Y494" s="274"/>
      <c r="Z494" s="274"/>
      <c r="AA494" s="274"/>
      <c r="AB494" s="274"/>
      <c r="AC494" s="274"/>
      <c r="AD494" s="274"/>
      <c r="AE494" s="274"/>
      <c r="AF494" s="274"/>
      <c r="AG494" s="274"/>
      <c r="AH494" s="274"/>
      <c r="AI494" s="274"/>
    </row>
    <row r="495" spans="1:42" x14ac:dyDescent="0.3">
      <c r="A495" s="274"/>
      <c r="B495" s="3"/>
      <c r="C495" s="241"/>
      <c r="D495" s="274"/>
      <c r="E495" s="274"/>
      <c r="F495" s="274"/>
      <c r="G495" s="274"/>
      <c r="H495" s="274"/>
      <c r="I495" s="274"/>
      <c r="J495" s="274"/>
      <c r="K495" s="274"/>
      <c r="L495" s="274"/>
      <c r="M495" s="274"/>
      <c r="N495" s="274"/>
      <c r="O495" s="274"/>
      <c r="P495" s="274"/>
      <c r="Q495" s="274"/>
      <c r="R495" s="274"/>
      <c r="S495" s="274"/>
      <c r="T495" s="274"/>
      <c r="U495" s="274"/>
      <c r="V495" s="274"/>
      <c r="W495" s="274"/>
      <c r="X495" s="274"/>
      <c r="Y495" s="274"/>
      <c r="Z495" s="274"/>
      <c r="AA495" s="274"/>
      <c r="AB495" s="274"/>
      <c r="AC495" s="274"/>
      <c r="AD495" s="274"/>
      <c r="AE495" s="274"/>
      <c r="AF495" s="274"/>
      <c r="AG495" s="274"/>
      <c r="AH495" s="274"/>
      <c r="AI495" s="274"/>
    </row>
    <row r="496" spans="1:42" x14ac:dyDescent="0.3">
      <c r="A496" s="274"/>
      <c r="B496" s="3"/>
      <c r="C496" s="241"/>
      <c r="D496" s="274"/>
      <c r="E496" s="274"/>
      <c r="F496" s="274"/>
      <c r="G496" s="274"/>
      <c r="H496" s="274"/>
      <c r="I496" s="274"/>
      <c r="J496" s="274"/>
      <c r="K496" s="274"/>
      <c r="L496" s="274"/>
      <c r="M496" s="274"/>
      <c r="N496" s="274"/>
      <c r="O496" s="274"/>
      <c r="P496" s="274"/>
      <c r="Q496" s="274"/>
      <c r="R496" s="274"/>
      <c r="S496" s="274"/>
      <c r="T496" s="274"/>
      <c r="U496" s="274"/>
      <c r="V496" s="274"/>
      <c r="W496" s="274"/>
      <c r="X496" s="274"/>
      <c r="Y496" s="274"/>
      <c r="Z496" s="274"/>
      <c r="AA496" s="274"/>
      <c r="AB496" s="274"/>
      <c r="AC496" s="274"/>
      <c r="AD496" s="274"/>
      <c r="AE496" s="274"/>
      <c r="AF496" s="274"/>
      <c r="AG496" s="274"/>
      <c r="AH496" s="274"/>
      <c r="AI496" s="274"/>
    </row>
    <row r="497" spans="1:35" x14ac:dyDescent="0.3">
      <c r="A497" s="274"/>
      <c r="B497" s="3"/>
      <c r="C497" s="241"/>
      <c r="D497" s="274"/>
      <c r="E497" s="274"/>
      <c r="F497" s="274"/>
      <c r="G497" s="274"/>
      <c r="H497" s="274"/>
      <c r="I497" s="274"/>
      <c r="J497" s="274"/>
      <c r="K497" s="274"/>
      <c r="L497" s="274"/>
      <c r="M497" s="274"/>
      <c r="N497" s="274"/>
      <c r="O497" s="274"/>
      <c r="P497" s="274"/>
      <c r="Q497" s="274"/>
      <c r="R497" s="274"/>
      <c r="S497" s="274"/>
      <c r="T497" s="274"/>
      <c r="U497" s="274"/>
      <c r="V497" s="274"/>
      <c r="W497" s="274"/>
      <c r="X497" s="274"/>
      <c r="Y497" s="274"/>
      <c r="Z497" s="274"/>
      <c r="AA497" s="274"/>
      <c r="AB497" s="274"/>
      <c r="AC497" s="274"/>
      <c r="AD497" s="274"/>
      <c r="AE497" s="274"/>
      <c r="AF497" s="274"/>
      <c r="AG497" s="274"/>
      <c r="AH497" s="274"/>
      <c r="AI497" s="274"/>
    </row>
    <row r="498" spans="1:35" x14ac:dyDescent="0.3">
      <c r="A498" s="274"/>
      <c r="B498" s="3"/>
      <c r="C498" s="241"/>
      <c r="D498" s="274"/>
      <c r="E498" s="274"/>
      <c r="F498" s="274"/>
      <c r="G498" s="274"/>
      <c r="H498" s="274"/>
      <c r="I498" s="274"/>
      <c r="J498" s="274"/>
      <c r="K498" s="274"/>
      <c r="L498" s="274"/>
      <c r="M498" s="274"/>
      <c r="N498" s="274"/>
      <c r="O498" s="274"/>
      <c r="P498" s="274"/>
      <c r="Q498" s="274"/>
      <c r="R498" s="274"/>
      <c r="S498" s="274"/>
      <c r="T498" s="274"/>
      <c r="U498" s="274"/>
      <c r="V498" s="274"/>
      <c r="W498" s="274"/>
      <c r="X498" s="274"/>
      <c r="Y498" s="274"/>
      <c r="Z498" s="274"/>
      <c r="AA498" s="274"/>
      <c r="AB498" s="274"/>
      <c r="AC498" s="274"/>
      <c r="AD498" s="274"/>
      <c r="AE498" s="274"/>
      <c r="AF498" s="274"/>
      <c r="AG498" s="274"/>
      <c r="AH498" s="274"/>
      <c r="AI498" s="274"/>
    </row>
    <row r="499" spans="1:35" x14ac:dyDescent="0.3">
      <c r="A499" s="274"/>
      <c r="B499" s="3"/>
      <c r="C499" s="241"/>
      <c r="D499" s="274"/>
      <c r="E499" s="274"/>
      <c r="F499" s="274"/>
      <c r="G499" s="274"/>
      <c r="H499" s="274"/>
      <c r="I499" s="274"/>
      <c r="J499" s="274"/>
      <c r="K499" s="274"/>
      <c r="L499" s="274"/>
      <c r="M499" s="274"/>
      <c r="N499" s="274"/>
      <c r="O499" s="274"/>
      <c r="P499" s="274"/>
      <c r="Q499" s="274"/>
      <c r="R499" s="274"/>
      <c r="S499" s="274"/>
      <c r="T499" s="274"/>
      <c r="U499" s="274"/>
      <c r="V499" s="274"/>
      <c r="W499" s="274"/>
      <c r="X499" s="274"/>
      <c r="Y499" s="274"/>
      <c r="Z499" s="274"/>
      <c r="AA499" s="274"/>
      <c r="AB499" s="274"/>
      <c r="AC499" s="274"/>
      <c r="AD499" s="274"/>
      <c r="AE499" s="274"/>
      <c r="AF499" s="274"/>
      <c r="AG499" s="274"/>
      <c r="AH499" s="274"/>
      <c r="AI499" s="274"/>
    </row>
    <row r="500" spans="1:35" x14ac:dyDescent="0.3">
      <c r="A500" s="274"/>
      <c r="B500" s="3"/>
      <c r="C500" s="241"/>
      <c r="D500" s="274"/>
      <c r="E500" s="274"/>
      <c r="F500" s="274"/>
      <c r="G500" s="274"/>
      <c r="H500" s="274"/>
      <c r="I500" s="274"/>
      <c r="J500" s="274"/>
      <c r="K500" s="274"/>
      <c r="L500" s="274"/>
      <c r="M500" s="274"/>
      <c r="N500" s="274"/>
      <c r="O500" s="274"/>
      <c r="P500" s="274"/>
      <c r="Q500" s="274"/>
      <c r="R500" s="274"/>
      <c r="S500" s="274"/>
      <c r="T500" s="274"/>
      <c r="U500" s="274"/>
      <c r="V500" s="274"/>
      <c r="W500" s="274"/>
      <c r="X500" s="274"/>
      <c r="Y500" s="274"/>
      <c r="Z500" s="274"/>
      <c r="AA500" s="274"/>
      <c r="AB500" s="274"/>
      <c r="AC500" s="274"/>
      <c r="AD500" s="274"/>
      <c r="AE500" s="274"/>
      <c r="AF500" s="274"/>
      <c r="AG500" s="274"/>
      <c r="AH500" s="274"/>
      <c r="AI500" s="274"/>
    </row>
    <row r="501" spans="1:35" x14ac:dyDescent="0.3">
      <c r="A501" s="274"/>
      <c r="B501" s="3"/>
      <c r="C501" s="241"/>
      <c r="D501" s="274"/>
      <c r="E501" s="274"/>
      <c r="F501" s="274"/>
      <c r="G501" s="274"/>
      <c r="H501" s="274"/>
      <c r="I501" s="274"/>
      <c r="J501" s="274"/>
      <c r="K501" s="274"/>
      <c r="L501" s="274"/>
      <c r="M501" s="274"/>
      <c r="N501" s="274"/>
      <c r="O501" s="274"/>
      <c r="P501" s="274"/>
      <c r="Q501" s="274"/>
      <c r="R501" s="274"/>
      <c r="S501" s="274"/>
      <c r="T501" s="274"/>
      <c r="U501" s="274"/>
      <c r="V501" s="274"/>
      <c r="W501" s="274"/>
      <c r="X501" s="274"/>
      <c r="Y501" s="274"/>
      <c r="Z501" s="274"/>
      <c r="AA501" s="274"/>
      <c r="AB501" s="274"/>
      <c r="AC501" s="274"/>
      <c r="AD501" s="274"/>
      <c r="AE501" s="274"/>
      <c r="AF501" s="274"/>
      <c r="AG501" s="274"/>
      <c r="AH501" s="274"/>
      <c r="AI501" s="274"/>
    </row>
    <row r="502" spans="1:35" x14ac:dyDescent="0.3">
      <c r="A502" s="274"/>
      <c r="B502" s="3"/>
      <c r="C502" s="241"/>
      <c r="D502" s="274"/>
      <c r="E502" s="274"/>
      <c r="F502" s="274"/>
      <c r="G502" s="274"/>
      <c r="H502" s="274"/>
      <c r="I502" s="274"/>
      <c r="J502" s="274"/>
      <c r="K502" s="274"/>
      <c r="L502" s="274"/>
      <c r="M502" s="274"/>
      <c r="N502" s="274"/>
      <c r="O502" s="274"/>
      <c r="P502" s="274"/>
      <c r="Q502" s="274"/>
      <c r="R502" s="274"/>
      <c r="S502" s="274"/>
      <c r="T502" s="274"/>
      <c r="U502" s="274"/>
      <c r="V502" s="274"/>
      <c r="W502" s="274"/>
      <c r="X502" s="274"/>
      <c r="Y502" s="274"/>
      <c r="Z502" s="274"/>
      <c r="AA502" s="274"/>
      <c r="AB502" s="274"/>
      <c r="AC502" s="274"/>
      <c r="AD502" s="274"/>
      <c r="AE502" s="274"/>
      <c r="AF502" s="274"/>
      <c r="AG502" s="274"/>
      <c r="AH502" s="274"/>
      <c r="AI502" s="274"/>
    </row>
    <row r="503" spans="1:35" x14ac:dyDescent="0.3">
      <c r="A503" s="274"/>
      <c r="B503" s="3"/>
      <c r="C503" s="241"/>
      <c r="D503" s="274"/>
      <c r="E503" s="274"/>
      <c r="F503" s="274"/>
      <c r="G503" s="274"/>
      <c r="H503" s="274"/>
      <c r="I503" s="274"/>
      <c r="J503" s="274"/>
      <c r="K503" s="274"/>
      <c r="L503" s="274"/>
      <c r="M503" s="274"/>
      <c r="N503" s="274"/>
      <c r="O503" s="274"/>
      <c r="P503" s="274"/>
      <c r="Q503" s="274"/>
      <c r="R503" s="274"/>
      <c r="S503" s="274"/>
      <c r="T503" s="274"/>
      <c r="U503" s="274"/>
      <c r="V503" s="274"/>
      <c r="W503" s="274"/>
      <c r="X503" s="274"/>
      <c r="Y503" s="274"/>
      <c r="Z503" s="274"/>
      <c r="AA503" s="274"/>
      <c r="AB503" s="274"/>
      <c r="AC503" s="274"/>
      <c r="AD503" s="274"/>
      <c r="AE503" s="274"/>
      <c r="AF503" s="274"/>
      <c r="AG503" s="274"/>
      <c r="AH503" s="274"/>
      <c r="AI503" s="274"/>
    </row>
    <row r="504" spans="1:35" x14ac:dyDescent="0.3">
      <c r="A504" s="274"/>
      <c r="B504" s="3"/>
      <c r="C504" s="241"/>
      <c r="D504" s="274"/>
      <c r="E504" s="274"/>
      <c r="F504" s="274"/>
      <c r="G504" s="274"/>
      <c r="H504" s="274"/>
      <c r="I504" s="274"/>
      <c r="J504" s="274"/>
      <c r="K504" s="274"/>
      <c r="L504" s="274"/>
      <c r="M504" s="274"/>
      <c r="N504" s="274"/>
      <c r="O504" s="274"/>
      <c r="P504" s="274"/>
      <c r="Q504" s="274"/>
      <c r="R504" s="274"/>
      <c r="S504" s="274"/>
      <c r="T504" s="274"/>
      <c r="U504" s="274"/>
      <c r="V504" s="274"/>
      <c r="W504" s="274"/>
      <c r="X504" s="274"/>
      <c r="Y504" s="274"/>
      <c r="Z504" s="274"/>
      <c r="AA504" s="274"/>
      <c r="AB504" s="274"/>
      <c r="AC504" s="274"/>
      <c r="AD504" s="274"/>
      <c r="AE504" s="274"/>
      <c r="AF504" s="274"/>
      <c r="AG504" s="274"/>
      <c r="AH504" s="274"/>
      <c r="AI504" s="274"/>
    </row>
    <row r="505" spans="1:35" x14ac:dyDescent="0.3">
      <c r="A505" s="274"/>
      <c r="B505" s="3"/>
      <c r="C505" s="241"/>
      <c r="D505" s="274"/>
      <c r="E505" s="274"/>
      <c r="F505" s="274"/>
      <c r="G505" s="274"/>
      <c r="H505" s="274"/>
      <c r="I505" s="274"/>
      <c r="J505" s="274"/>
      <c r="K505" s="274"/>
      <c r="L505" s="274"/>
      <c r="M505" s="274"/>
      <c r="N505" s="274"/>
      <c r="O505" s="274"/>
      <c r="P505" s="274"/>
      <c r="Q505" s="274"/>
      <c r="R505" s="274"/>
      <c r="S505" s="274"/>
      <c r="T505" s="274"/>
      <c r="U505" s="274"/>
      <c r="V505" s="274"/>
      <c r="W505" s="274"/>
      <c r="X505" s="274"/>
      <c r="Y505" s="274"/>
      <c r="Z505" s="274"/>
      <c r="AA505" s="274"/>
      <c r="AB505" s="274"/>
      <c r="AC505" s="274"/>
      <c r="AD505" s="274"/>
      <c r="AE505" s="274"/>
      <c r="AF505" s="274"/>
      <c r="AG505" s="274"/>
      <c r="AH505" s="274"/>
      <c r="AI505" s="274"/>
    </row>
    <row r="506" spans="1:35" x14ac:dyDescent="0.3">
      <c r="A506" s="274"/>
      <c r="B506" s="3"/>
      <c r="C506" s="241"/>
      <c r="D506" s="274"/>
      <c r="E506" s="274"/>
      <c r="F506" s="274"/>
      <c r="G506" s="274"/>
      <c r="H506" s="274"/>
      <c r="I506" s="274"/>
      <c r="J506" s="274"/>
      <c r="K506" s="274"/>
      <c r="L506" s="274"/>
      <c r="M506" s="274"/>
      <c r="N506" s="274"/>
      <c r="O506" s="274"/>
      <c r="P506" s="274"/>
      <c r="Q506" s="274"/>
      <c r="R506" s="274"/>
      <c r="S506" s="274"/>
      <c r="T506" s="274"/>
      <c r="U506" s="274"/>
      <c r="V506" s="274"/>
      <c r="W506" s="274"/>
      <c r="X506" s="274"/>
      <c r="Y506" s="274"/>
      <c r="Z506" s="274"/>
      <c r="AA506" s="274"/>
      <c r="AB506" s="274"/>
      <c r="AC506" s="274"/>
      <c r="AD506" s="274"/>
      <c r="AE506" s="274"/>
      <c r="AF506" s="274"/>
      <c r="AG506" s="274"/>
      <c r="AH506" s="274"/>
      <c r="AI506" s="274"/>
    </row>
    <row r="507" spans="1:35" x14ac:dyDescent="0.3">
      <c r="A507" s="274"/>
      <c r="B507" s="3"/>
      <c r="C507" s="241"/>
      <c r="D507" s="274"/>
      <c r="E507" s="274"/>
      <c r="F507" s="274"/>
      <c r="G507" s="274"/>
      <c r="H507" s="274"/>
      <c r="I507" s="274"/>
      <c r="J507" s="274"/>
      <c r="K507" s="274"/>
      <c r="L507" s="274"/>
      <c r="M507" s="274"/>
      <c r="N507" s="274"/>
      <c r="O507" s="274"/>
      <c r="P507" s="274"/>
      <c r="Q507" s="274"/>
      <c r="R507" s="274"/>
      <c r="S507" s="274"/>
      <c r="T507" s="274"/>
      <c r="U507" s="274"/>
      <c r="V507" s="274"/>
      <c r="W507" s="274"/>
      <c r="X507" s="274"/>
      <c r="Y507" s="274"/>
      <c r="Z507" s="274"/>
      <c r="AA507" s="274"/>
      <c r="AB507" s="274"/>
      <c r="AC507" s="274"/>
      <c r="AD507" s="274"/>
      <c r="AE507" s="274"/>
      <c r="AF507" s="274"/>
      <c r="AG507" s="274"/>
      <c r="AH507" s="274"/>
      <c r="AI507" s="274"/>
    </row>
    <row r="508" spans="1:35" x14ac:dyDescent="0.3">
      <c r="A508" s="274"/>
      <c r="B508" s="3"/>
      <c r="C508" s="241"/>
      <c r="D508" s="274"/>
      <c r="E508" s="274"/>
      <c r="F508" s="274"/>
      <c r="G508" s="274"/>
      <c r="H508" s="274"/>
      <c r="I508" s="274"/>
      <c r="J508" s="274"/>
      <c r="K508" s="274"/>
      <c r="L508" s="274"/>
      <c r="M508" s="274"/>
      <c r="N508" s="274"/>
      <c r="O508" s="274"/>
      <c r="P508" s="274"/>
      <c r="Q508" s="274"/>
      <c r="R508" s="274"/>
      <c r="S508" s="274"/>
      <c r="T508" s="274"/>
      <c r="U508" s="274"/>
      <c r="V508" s="274"/>
      <c r="W508" s="274"/>
      <c r="X508" s="274"/>
      <c r="Y508" s="274"/>
      <c r="Z508" s="274"/>
      <c r="AA508" s="274"/>
      <c r="AB508" s="274"/>
      <c r="AC508" s="274"/>
      <c r="AD508" s="274"/>
      <c r="AE508" s="274"/>
      <c r="AF508" s="274"/>
      <c r="AG508" s="274"/>
      <c r="AH508" s="274"/>
      <c r="AI508" s="274"/>
    </row>
  </sheetData>
  <hyperlinks>
    <hyperlink ref="B439" r:id="rId1" display="NPV@" xr:uid="{D2BDADF6-2C1B-4035-864E-C35461E4CE48}"/>
    <hyperlink ref="B422" r:id="rId2" display="NPV@" xr:uid="{F8DC982F-D96C-40B2-9D06-0417A51DEEAC}"/>
  </hyperlinks>
  <pageMargins left="0.7" right="0.7" top="0.75" bottom="0.75" header="0.3" footer="0.3"/>
  <pageSetup paperSize="9" orientation="portrait" verticalDpi="9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85835-800C-4A81-B40F-BE4AA599D29D}">
  <sheetPr>
    <tabColor theme="0" tint="-0.14999847407452621"/>
  </sheetPr>
  <dimension ref="A1:Q34"/>
  <sheetViews>
    <sheetView showGridLines="0" zoomScale="96" zoomScaleNormal="100" workbookViewId="0">
      <selection activeCell="H28" sqref="H28"/>
    </sheetView>
  </sheetViews>
  <sheetFormatPr defaultColWidth="8.90625" defaultRowHeight="12" x14ac:dyDescent="0.3"/>
  <cols>
    <col min="1" max="1" width="4" style="10" customWidth="1"/>
    <col min="2" max="2" width="33" style="14" bestFit="1" customWidth="1"/>
    <col min="3" max="3" width="8.90625" style="13"/>
    <col min="4" max="4" width="9.90625" style="10" bestFit="1" customWidth="1"/>
    <col min="5" max="5" width="8.1796875" style="10" bestFit="1" customWidth="1"/>
    <col min="6" max="6" width="28" style="14" bestFit="1" customWidth="1"/>
    <col min="7" max="7" width="7.1796875" style="13" bestFit="1" customWidth="1"/>
    <col min="8" max="8" width="9.36328125" style="10" bestFit="1" customWidth="1"/>
    <col min="9" max="9" width="10.08984375" style="10" bestFit="1" customWidth="1"/>
    <col min="10" max="10" width="10.08984375" style="10" customWidth="1"/>
    <col min="11" max="11" width="23.36328125" style="10" bestFit="1" customWidth="1"/>
    <col min="12" max="12" width="9.6328125" style="10" bestFit="1" customWidth="1"/>
    <col min="13" max="13" width="9.81640625" style="10" bestFit="1" customWidth="1"/>
    <col min="14" max="16384" width="8.90625" style="10"/>
  </cols>
  <sheetData>
    <row r="1" spans="2:17" ht="12.5" thickBot="1" x14ac:dyDescent="0.35"/>
    <row r="2" spans="2:17" x14ac:dyDescent="0.3">
      <c r="B2" s="712" t="s">
        <v>190</v>
      </c>
      <c r="C2" s="22" t="s">
        <v>14</v>
      </c>
      <c r="D2" s="33" t="s">
        <v>3</v>
      </c>
      <c r="E2" s="11"/>
      <c r="F2" s="26"/>
      <c r="G2" s="22" t="s">
        <v>14</v>
      </c>
      <c r="H2" s="33" t="s">
        <v>3</v>
      </c>
      <c r="K2" s="797" t="s">
        <v>203</v>
      </c>
      <c r="L2" s="798" t="s">
        <v>200</v>
      </c>
      <c r="M2" s="799" t="s">
        <v>71</v>
      </c>
      <c r="N2" s="800" t="s">
        <v>528</v>
      </c>
      <c r="P2" s="11"/>
    </row>
    <row r="3" spans="2:17" x14ac:dyDescent="0.3">
      <c r="B3" s="27" t="s">
        <v>190</v>
      </c>
      <c r="C3" s="23"/>
      <c r="D3" s="34"/>
      <c r="F3" s="32" t="s">
        <v>24</v>
      </c>
      <c r="G3" s="40"/>
      <c r="H3" s="34"/>
      <c r="I3" s="1195"/>
      <c r="J3" s="1195"/>
      <c r="K3" s="801" t="s">
        <v>76</v>
      </c>
      <c r="L3" s="59"/>
      <c r="M3" s="60"/>
      <c r="N3" s="802"/>
    </row>
    <row r="4" spans="2:17" x14ac:dyDescent="0.3">
      <c r="B4" s="28" t="s">
        <v>156</v>
      </c>
      <c r="C4" s="16" t="s">
        <v>67</v>
      </c>
      <c r="D4" s="38">
        <f>Input!$E$4</f>
        <v>243.88799999999998</v>
      </c>
      <c r="F4" s="28" t="s">
        <v>180</v>
      </c>
      <c r="G4" s="41" t="s">
        <v>202</v>
      </c>
      <c r="H4" s="44">
        <f>Working!D51*100</f>
        <v>121643.88427354724</v>
      </c>
      <c r="I4" s="1241">
        <f>H4/$D$4/100</f>
        <v>4.9876945267314197</v>
      </c>
      <c r="J4" s="1194">
        <f>H4/$D$5/100</f>
        <v>5.9852334320777034</v>
      </c>
      <c r="K4" s="803" t="s">
        <v>843</v>
      </c>
      <c r="L4" s="51">
        <f>ROUND(BOQ_G!H5/$D$4/10,3)</f>
        <v>7.6849999999999996</v>
      </c>
      <c r="M4" s="51">
        <f>ROUND(BOQ_G!H5/$D$5/1,2)</f>
        <v>92.22</v>
      </c>
      <c r="N4" s="841">
        <f>M4*$D$5/100</f>
        <v>187.42792799999998</v>
      </c>
    </row>
    <row r="5" spans="2:17" x14ac:dyDescent="0.3">
      <c r="B5" s="28" t="s">
        <v>156</v>
      </c>
      <c r="C5" s="16" t="str">
        <f>Input!C6</f>
        <v>MW</v>
      </c>
      <c r="D5" s="38">
        <f>Input!E6</f>
        <v>203.23999999999998</v>
      </c>
      <c r="F5" s="28" t="s">
        <v>1</v>
      </c>
      <c r="G5" s="41" t="s">
        <v>202</v>
      </c>
      <c r="H5" s="44">
        <f ca="1">Working!D52*100</f>
        <v>2612.3189689629462</v>
      </c>
      <c r="I5" s="1241">
        <f t="shared" ref="I5:I6" ca="1" si="0">H5/$D$4/100</f>
        <v>0.10711141872346923</v>
      </c>
      <c r="J5" s="1194">
        <f t="shared" ref="J5:J6" ca="1" si="1">H5/$D$5/100</f>
        <v>0.12853370246816309</v>
      </c>
      <c r="K5" s="803" t="s">
        <v>984</v>
      </c>
      <c r="L5" s="51">
        <f>ROUND(BOQ_G!H6/$D$4/10,3)</f>
        <v>2.802</v>
      </c>
      <c r="M5" s="51">
        <f>ROUND(BOQ_G!H6/$D$5/1,2)</f>
        <v>33.630000000000003</v>
      </c>
      <c r="N5" s="841">
        <f>M5*$D$5/100</f>
        <v>68.349611999999993</v>
      </c>
    </row>
    <row r="6" spans="2:17" x14ac:dyDescent="0.3">
      <c r="B6" s="28" t="s">
        <v>2</v>
      </c>
      <c r="C6" s="17" t="str">
        <f>Input!C7</f>
        <v>%</v>
      </c>
      <c r="D6" s="692">
        <f>Input!E7</f>
        <v>0.19317816217459799</v>
      </c>
      <c r="F6" s="690" t="s">
        <v>216</v>
      </c>
      <c r="G6" s="407" t="s">
        <v>202</v>
      </c>
      <c r="H6" s="691">
        <f ca="1">SUM(H4:H5)</f>
        <v>124256.20324251019</v>
      </c>
      <c r="I6" s="1241">
        <f t="shared" ca="1" si="0"/>
        <v>5.0948059454548895</v>
      </c>
      <c r="J6" s="1194">
        <f t="shared" ca="1" si="1"/>
        <v>6.1137671345458671</v>
      </c>
      <c r="K6" s="803" t="s">
        <v>842</v>
      </c>
      <c r="L6" s="51">
        <f>ROUND(BOQ_G!H7/$D$4/10,3)</f>
        <v>4.8780000000000001</v>
      </c>
      <c r="M6" s="51">
        <f>ROUND(BOQ_G!H7/$D$5/1,2)</f>
        <v>58.53</v>
      </c>
      <c r="N6" s="841">
        <f>M6*$D$5/100</f>
        <v>118.95637199999999</v>
      </c>
      <c r="O6" s="704"/>
    </row>
    <row r="7" spans="2:17" x14ac:dyDescent="0.3">
      <c r="B7" s="28" t="s">
        <v>191</v>
      </c>
      <c r="C7" s="18" t="str">
        <f>Input!C178</f>
        <v>Date</v>
      </c>
      <c r="D7" s="35">
        <f>Input!E178</f>
        <v>46296</v>
      </c>
      <c r="F7" s="54"/>
      <c r="G7" s="55"/>
      <c r="H7" s="56"/>
      <c r="I7" s="1242"/>
      <c r="J7" s="796"/>
      <c r="K7" s="804" t="s">
        <v>76</v>
      </c>
      <c r="L7" s="52">
        <f>SUM(L4:L6)</f>
        <v>15.365</v>
      </c>
      <c r="M7" s="52">
        <f>SUM(M4:M6)</f>
        <v>184.38</v>
      </c>
      <c r="N7" s="842">
        <f>SUM(N4:N6)</f>
        <v>374.73391199999998</v>
      </c>
      <c r="O7" s="796"/>
      <c r="P7" s="796"/>
    </row>
    <row r="8" spans="2:17" x14ac:dyDescent="0.3">
      <c r="B8" s="28" t="s">
        <v>192</v>
      </c>
      <c r="C8" s="15" t="str">
        <f>Input!C179</f>
        <v>Years</v>
      </c>
      <c r="D8" s="47">
        <f>Input!E179</f>
        <v>25</v>
      </c>
      <c r="F8" s="29" t="s">
        <v>9</v>
      </c>
      <c r="G8" s="42"/>
      <c r="H8" s="37"/>
      <c r="I8" s="1242"/>
      <c r="J8" s="796"/>
      <c r="K8" s="805" t="s">
        <v>453</v>
      </c>
      <c r="L8" s="59"/>
      <c r="M8" s="59"/>
      <c r="N8" s="843"/>
      <c r="O8" s="796"/>
      <c r="P8" s="796"/>
    </row>
    <row r="9" spans="2:17" x14ac:dyDescent="0.3">
      <c r="B9" s="32" t="s">
        <v>193</v>
      </c>
      <c r="C9" s="23"/>
      <c r="D9" s="34"/>
      <c r="F9" s="28" t="s">
        <v>8</v>
      </c>
      <c r="G9" s="41" t="s">
        <v>202</v>
      </c>
      <c r="H9" s="44">
        <f ca="1">Working!D60*100</f>
        <v>86979.342269757122</v>
      </c>
      <c r="I9" s="1194"/>
      <c r="K9" s="803" t="s">
        <v>63</v>
      </c>
      <c r="L9" s="51">
        <f>ROUND(Working!$H$16/$D$4/10,2)</f>
        <v>18.07</v>
      </c>
      <c r="M9" s="51">
        <f>ROUND(Working!$H$16/$D$5/1,2)</f>
        <v>216.85</v>
      </c>
      <c r="N9" s="841">
        <f>M9*$D$5/100</f>
        <v>440.72593999999998</v>
      </c>
      <c r="O9" s="796"/>
      <c r="P9" s="796"/>
    </row>
    <row r="10" spans="2:17" x14ac:dyDescent="0.3">
      <c r="B10" s="28" t="s">
        <v>8</v>
      </c>
      <c r="C10" s="19" t="s">
        <v>0</v>
      </c>
      <c r="D10" s="49">
        <f>Input!E245</f>
        <v>0.7</v>
      </c>
      <c r="E10" s="12"/>
      <c r="F10" s="28" t="s">
        <v>7</v>
      </c>
      <c r="G10" s="41" t="s">
        <v>202</v>
      </c>
      <c r="H10" s="44">
        <f ca="1">Working!D61*100</f>
        <v>0</v>
      </c>
      <c r="I10" s="1245"/>
      <c r="K10" s="803" t="s">
        <v>75</v>
      </c>
      <c r="L10" s="51">
        <f>ROUND(Working!$H$17/$D$4/10,2)</f>
        <v>1.24</v>
      </c>
      <c r="M10" s="51">
        <f>ROUND(Working!$H$17/$D$5/1,2)</f>
        <v>14.84</v>
      </c>
      <c r="N10" s="841">
        <f>M10*$D$5/100</f>
        <v>30.160815999999997</v>
      </c>
      <c r="O10" s="796"/>
      <c r="P10" s="796"/>
    </row>
    <row r="11" spans="2:17" x14ac:dyDescent="0.3">
      <c r="B11" s="28" t="s">
        <v>7</v>
      </c>
      <c r="C11" s="19" t="s">
        <v>0</v>
      </c>
      <c r="D11" s="49">
        <f>Input!E246</f>
        <v>0</v>
      </c>
      <c r="E11" s="12"/>
      <c r="F11" s="28" t="s">
        <v>6</v>
      </c>
      <c r="G11" s="41" t="s">
        <v>202</v>
      </c>
      <c r="H11" s="44">
        <f ca="1">Working!D62*100</f>
        <v>0</v>
      </c>
      <c r="I11" s="796"/>
      <c r="K11" s="803" t="s">
        <v>73</v>
      </c>
      <c r="L11" s="51">
        <f>ROUND((Working!$H$19)/$D$4/10,2)</f>
        <v>4.5199999999999996</v>
      </c>
      <c r="M11" s="51">
        <f>ROUND((Working!$H$19)/$D$5/1,2)</f>
        <v>54.28</v>
      </c>
      <c r="N11" s="841">
        <f>M11*$D$5/100</f>
        <v>110.31867199999999</v>
      </c>
      <c r="O11" s="796"/>
      <c r="P11" s="796"/>
    </row>
    <row r="12" spans="2:17" x14ac:dyDescent="0.3">
      <c r="B12" s="28" t="s">
        <v>6</v>
      </c>
      <c r="C12" s="19" t="s">
        <v>0</v>
      </c>
      <c r="D12" s="49">
        <f>Input!E247</f>
        <v>0</v>
      </c>
      <c r="F12" s="28" t="s">
        <v>5</v>
      </c>
      <c r="G12" s="41" t="s">
        <v>202</v>
      </c>
      <c r="H12" s="44">
        <f ca="1">Working!D63*100</f>
        <v>37276.860972753057</v>
      </c>
      <c r="K12" s="806" t="s">
        <v>957</v>
      </c>
      <c r="L12" s="51">
        <f>ROUND((Working!$H$20)/$D$4/10,2)</f>
        <v>0.78</v>
      </c>
      <c r="M12" s="51">
        <f>ROUND((Working!$H$20)/$D$5/1,2)</f>
        <v>9.31</v>
      </c>
      <c r="N12" s="841">
        <f>M12*$D$5/100</f>
        <v>18.921644000000001</v>
      </c>
      <c r="O12" s="796"/>
      <c r="P12" s="796"/>
    </row>
    <row r="13" spans="2:17" x14ac:dyDescent="0.3">
      <c r="B13" s="28" t="s">
        <v>5</v>
      </c>
      <c r="C13" s="19" t="s">
        <v>0</v>
      </c>
      <c r="D13" s="49">
        <f>Input!E248</f>
        <v>0.30000000000000004</v>
      </c>
      <c r="F13" s="689" t="s">
        <v>841</v>
      </c>
      <c r="G13" s="445" t="s">
        <v>202</v>
      </c>
      <c r="H13" s="688">
        <f ca="1">SUM(H9:H12)</f>
        <v>124256.20324251018</v>
      </c>
      <c r="K13" s="804" t="s">
        <v>74</v>
      </c>
      <c r="L13" s="52">
        <f>SUM(L9:L12)</f>
        <v>24.61</v>
      </c>
      <c r="M13" s="52">
        <f>SUM(M9:M12)</f>
        <v>295.28000000000003</v>
      </c>
      <c r="N13" s="842">
        <f>SUM(N9:N12)</f>
        <v>600.127072</v>
      </c>
      <c r="O13" s="796"/>
      <c r="P13" s="796"/>
    </row>
    <row r="14" spans="2:17" x14ac:dyDescent="0.3">
      <c r="B14" s="29" t="s">
        <v>194</v>
      </c>
      <c r="C14" s="21"/>
      <c r="D14" s="37"/>
      <c r="E14" s="58"/>
      <c r="F14" s="29" t="s">
        <v>187</v>
      </c>
      <c r="G14" s="42"/>
      <c r="H14" s="37"/>
      <c r="K14" s="807" t="s">
        <v>440</v>
      </c>
      <c r="L14" s="708"/>
      <c r="M14" s="708"/>
      <c r="N14" s="844"/>
      <c r="O14" s="796"/>
      <c r="P14" s="796"/>
      <c r="Q14" s="79"/>
    </row>
    <row r="15" spans="2:17" x14ac:dyDescent="0.3">
      <c r="B15" s="30" t="str">
        <f>Input!B184</f>
        <v>Moratorium Period (from start of operations)</v>
      </c>
      <c r="C15" s="15" t="s">
        <v>49</v>
      </c>
      <c r="D15" s="47">
        <f>Input!E184</f>
        <v>0</v>
      </c>
      <c r="E15" s="58"/>
      <c r="F15" s="28" t="s">
        <v>479</v>
      </c>
      <c r="G15" s="43" t="s">
        <v>16</v>
      </c>
      <c r="H15" s="45">
        <f>Working!D267</f>
        <v>0.62716264259958021</v>
      </c>
      <c r="K15" s="806" t="s">
        <v>846</v>
      </c>
      <c r="L15" s="51">
        <f>ROUND(Working!$H$28/$D$4/10,2)</f>
        <v>0.73</v>
      </c>
      <c r="M15" s="51">
        <f>ROUND(Working!$H$28/$D$5/1,2)</f>
        <v>8.7200000000000006</v>
      </c>
      <c r="N15" s="841">
        <f>M15*$D$5/100</f>
        <v>17.722528000000001</v>
      </c>
      <c r="O15" s="796"/>
      <c r="P15" s="796"/>
    </row>
    <row r="16" spans="2:17" x14ac:dyDescent="0.3">
      <c r="B16" s="28" t="str">
        <f>Input!B185</f>
        <v>Repayment Period</v>
      </c>
      <c r="C16" s="15" t="s">
        <v>49</v>
      </c>
      <c r="D16" s="47">
        <f>Input!E185</f>
        <v>15</v>
      </c>
      <c r="E16" s="58"/>
      <c r="F16" s="28" t="s">
        <v>480</v>
      </c>
      <c r="G16" s="43" t="s">
        <v>16</v>
      </c>
      <c r="H16" s="45">
        <f>Working!D268</f>
        <v>0.11342012605908855</v>
      </c>
      <c r="K16" s="806" t="s">
        <v>432</v>
      </c>
      <c r="L16" s="51">
        <f>ROUND(Working!$H$29/$D$4/10,2)</f>
        <v>0.04</v>
      </c>
      <c r="M16" s="51">
        <f>ROUND(Working!$H$29/$D$5/1,2)</f>
        <v>0.43</v>
      </c>
      <c r="N16" s="841">
        <f>M16*$D$5/100</f>
        <v>0.87393199999999993</v>
      </c>
      <c r="O16" s="796"/>
      <c r="P16" s="796"/>
    </row>
    <row r="17" spans="2:16" x14ac:dyDescent="0.3">
      <c r="B17" s="28" t="str">
        <f>Input!B186</f>
        <v>Interest Rate</v>
      </c>
      <c r="C17" s="20" t="s">
        <v>0</v>
      </c>
      <c r="D17" s="48">
        <f>Input!E186</f>
        <v>0.06</v>
      </c>
      <c r="E17" s="58"/>
      <c r="F17" s="28" t="s">
        <v>4</v>
      </c>
      <c r="G17" s="43" t="s">
        <v>16</v>
      </c>
      <c r="H17" s="45">
        <f ca="1">Working!D269</f>
        <v>1.6265289125465399</v>
      </c>
      <c r="K17" s="804" t="s">
        <v>604</v>
      </c>
      <c r="L17" s="52">
        <f>SUM(L15:L16)</f>
        <v>0.77</v>
      </c>
      <c r="M17" s="52">
        <f>SUM(M15:M16)</f>
        <v>9.15</v>
      </c>
      <c r="N17" s="842">
        <f>SUM(N15:N16)</f>
        <v>18.59646</v>
      </c>
      <c r="O17" s="796"/>
      <c r="P17" s="796"/>
    </row>
    <row r="18" spans="2:16" x14ac:dyDescent="0.3">
      <c r="B18" s="28"/>
      <c r="C18" s="15"/>
      <c r="D18" s="36"/>
      <c r="E18" s="58"/>
      <c r="F18" s="28" t="s">
        <v>131</v>
      </c>
      <c r="G18" s="43" t="s">
        <v>16</v>
      </c>
      <c r="H18" s="45">
        <f ca="1">Working!D270</f>
        <v>0.74265307110727508</v>
      </c>
      <c r="K18" s="808" t="s">
        <v>844</v>
      </c>
      <c r="L18" s="693"/>
      <c r="M18" s="693"/>
      <c r="N18" s="845"/>
      <c r="O18" s="796"/>
      <c r="P18" s="796"/>
    </row>
    <row r="19" spans="2:16" x14ac:dyDescent="0.3">
      <c r="B19" s="29" t="s">
        <v>195</v>
      </c>
      <c r="C19" s="21"/>
      <c r="D19" s="37"/>
      <c r="E19" s="58"/>
      <c r="F19" s="28" t="s">
        <v>130</v>
      </c>
      <c r="G19" s="43" t="s">
        <v>16</v>
      </c>
      <c r="H19" s="45">
        <f ca="1">Working!D271</f>
        <v>7.1544082840385326E-2</v>
      </c>
      <c r="K19" s="806" t="s">
        <v>269</v>
      </c>
      <c r="L19" s="51">
        <f>ROUND(Working!$H$23/$D$4/10,2)</f>
        <v>3.72</v>
      </c>
      <c r="M19" s="51">
        <f>ROUND(Working!$H$23/$D$5/1,2)</f>
        <v>44.67</v>
      </c>
      <c r="N19" s="841">
        <f>M19*$D$5/100</f>
        <v>90.787307999999996</v>
      </c>
      <c r="O19" s="796"/>
      <c r="P19" s="796"/>
    </row>
    <row r="20" spans="2:16" x14ac:dyDescent="0.3">
      <c r="B20" s="28" t="str">
        <f>Input!B192</f>
        <v>Return on Equity (RoE) - Post Tax</v>
      </c>
      <c r="C20" s="15" t="s">
        <v>0</v>
      </c>
      <c r="D20" s="711">
        <f>Input!E192</f>
        <v>0.14000000000000001</v>
      </c>
      <c r="E20" s="58"/>
      <c r="F20" s="28" t="s">
        <v>129</v>
      </c>
      <c r="G20" s="43" t="s">
        <v>16</v>
      </c>
      <c r="H20" s="45">
        <f ca="1">Working!D274</f>
        <v>2.0722428978214724</v>
      </c>
      <c r="K20" s="806" t="s">
        <v>271</v>
      </c>
      <c r="L20" s="51">
        <f>ROUND(Working!$H$24/$D$4/10,2)</f>
        <v>0.55000000000000004</v>
      </c>
      <c r="M20" s="51">
        <f>ROUND(Working!$H$24/$D$5/1,2)</f>
        <v>6.57</v>
      </c>
      <c r="N20" s="841">
        <f>M20*$D$5/100</f>
        <v>13.352867999999999</v>
      </c>
      <c r="O20" s="796"/>
      <c r="P20" s="796"/>
    </row>
    <row r="21" spans="2:16" x14ac:dyDescent="0.3">
      <c r="B21" s="28"/>
      <c r="C21" s="15"/>
      <c r="D21" s="36"/>
      <c r="E21" s="58"/>
      <c r="F21" s="61" t="s">
        <v>482</v>
      </c>
      <c r="G21" s="62" t="s">
        <v>16</v>
      </c>
      <c r="H21" s="63">
        <f ca="1">SUM(H15:H20)</f>
        <v>5.2535517329743415</v>
      </c>
      <c r="K21" s="806" t="s">
        <v>815</v>
      </c>
      <c r="L21" s="51">
        <f>ROUND(Working!$H$25/$D$4/10,2)</f>
        <v>0.2</v>
      </c>
      <c r="M21" s="51">
        <f>ROUND(Working!$H$25/$D$5/1,2)</f>
        <v>2.4500000000000002</v>
      </c>
      <c r="N21" s="841">
        <f>M21*$D$5/100</f>
        <v>4.9793799999999999</v>
      </c>
      <c r="O21" s="796"/>
      <c r="P21" s="796"/>
    </row>
    <row r="22" spans="2:16" x14ac:dyDescent="0.3">
      <c r="B22" s="29" t="s">
        <v>196</v>
      </c>
      <c r="C22" s="24"/>
      <c r="D22" s="37"/>
      <c r="E22" s="58"/>
      <c r="K22" s="804" t="s">
        <v>844</v>
      </c>
      <c r="L22" s="39">
        <f>SUM(L19:L21)</f>
        <v>4.4700000000000006</v>
      </c>
      <c r="M22" s="39">
        <f>SUM(M19:M21)</f>
        <v>53.690000000000005</v>
      </c>
      <c r="N22" s="842">
        <f>SUM(N19:N21)</f>
        <v>109.119556</v>
      </c>
      <c r="O22" s="796"/>
      <c r="P22" s="796"/>
    </row>
    <row r="23" spans="2:16" x14ac:dyDescent="0.3">
      <c r="B23" s="28" t="str">
        <f>Input!B216</f>
        <v>Receivables</v>
      </c>
      <c r="C23" s="25" t="s">
        <v>36</v>
      </c>
      <c r="D23" s="47">
        <f>Input!E216</f>
        <v>1.5</v>
      </c>
      <c r="E23" s="58"/>
      <c r="F23" s="339" t="s">
        <v>861</v>
      </c>
      <c r="G23" s="339" t="s">
        <v>862</v>
      </c>
      <c r="H23" s="339">
        <f ca="1">ROUND(H6/D5,2)*10^-2</f>
        <v>6.1138000000000003</v>
      </c>
      <c r="K23" s="808" t="s">
        <v>605</v>
      </c>
      <c r="L23" s="59"/>
      <c r="M23" s="59"/>
      <c r="N23" s="843"/>
      <c r="O23" s="796"/>
      <c r="P23" s="796"/>
    </row>
    <row r="24" spans="2:16" x14ac:dyDescent="0.3">
      <c r="B24" s="28" t="str">
        <f>Input!B217</f>
        <v>O&amp;M</v>
      </c>
      <c r="C24" s="25" t="s">
        <v>36</v>
      </c>
      <c r="D24" s="47">
        <f>Input!E217</f>
        <v>1</v>
      </c>
      <c r="E24" s="58"/>
      <c r="F24" s="339" t="s">
        <v>205</v>
      </c>
      <c r="G24" s="339"/>
      <c r="H24" s="1089">
        <f ca="1">Working!D421</f>
        <v>8.7955956594178986E-2</v>
      </c>
      <c r="K24" s="809" t="s">
        <v>217</v>
      </c>
      <c r="L24" s="51">
        <f>ROUND(Working!$H$35/$D$4/10,2)</f>
        <v>4.67</v>
      </c>
      <c r="M24" s="51">
        <f>ROUND(Working!$H$35/$D$5/1,2)</f>
        <v>56.02</v>
      </c>
      <c r="N24" s="841">
        <f>M24*$D$5/100</f>
        <v>113.85504799999998</v>
      </c>
      <c r="O24" s="796"/>
      <c r="P24" s="796"/>
    </row>
    <row r="25" spans="2:16" x14ac:dyDescent="0.3">
      <c r="B25" s="28" t="str">
        <f>Input!B218</f>
        <v>Maintenance spares</v>
      </c>
      <c r="C25" s="25" t="s">
        <v>0</v>
      </c>
      <c r="D25" s="48">
        <f>Input!E218</f>
        <v>0.15</v>
      </c>
      <c r="E25" s="58"/>
      <c r="F25" s="339" t="s">
        <v>206</v>
      </c>
      <c r="G25" s="339"/>
      <c r="H25" s="1089">
        <f ca="1">Working!D438</f>
        <v>0.13420900493681032</v>
      </c>
      <c r="K25" s="806" t="s">
        <v>1</v>
      </c>
      <c r="L25" s="51">
        <f ca="1">ROUND(Working!$D$52*100/$D$4/10,2)</f>
        <v>1.07</v>
      </c>
      <c r="M25" s="51">
        <f ca="1">ROUND(Working!$D$52*100/$D$5/1,2)</f>
        <v>12.85</v>
      </c>
      <c r="N25" s="841">
        <f ca="1">M25*$D$5/100</f>
        <v>26.116339999999994</v>
      </c>
      <c r="O25" s="796"/>
      <c r="P25" s="796"/>
    </row>
    <row r="26" spans="2:16" x14ac:dyDescent="0.3">
      <c r="B26" s="28" t="str">
        <f>Input!B220</f>
        <v>Interest on WC</v>
      </c>
      <c r="C26" s="25" t="s">
        <v>0</v>
      </c>
      <c r="D26" s="48">
        <f>Input!E220</f>
        <v>0.115</v>
      </c>
      <c r="E26" s="58"/>
      <c r="F26" s="138" t="s">
        <v>526</v>
      </c>
      <c r="G26" s="388"/>
      <c r="H26" s="1090">
        <f ca="1">Working!D482</f>
        <v>0.19492021525773828</v>
      </c>
      <c r="K26" s="804" t="s">
        <v>201</v>
      </c>
      <c r="L26" s="52">
        <f ca="1">SUM(L24:L25)</f>
        <v>5.74</v>
      </c>
      <c r="M26" s="52">
        <f ca="1">SUM(M24:M25)</f>
        <v>68.87</v>
      </c>
      <c r="N26" s="842">
        <f ca="1">SUM(N24:N25)</f>
        <v>139.97138799999999</v>
      </c>
      <c r="O26" s="796"/>
      <c r="P26" s="796"/>
    </row>
    <row r="27" spans="2:16" ht="12.5" thickBot="1" x14ac:dyDescent="0.35">
      <c r="B27" s="28"/>
      <c r="C27" s="25"/>
      <c r="D27" s="48"/>
      <c r="E27" s="58"/>
      <c r="F27" s="1091" t="s">
        <v>132</v>
      </c>
      <c r="G27" s="1091"/>
      <c r="H27" s="1092">
        <f>Input!$E$228</f>
        <v>7.4760000000000007E-2</v>
      </c>
      <c r="K27" s="810" t="s">
        <v>215</v>
      </c>
      <c r="L27" s="811">
        <f ca="1">L7+L13+L17+L22+L26</f>
        <v>50.955000000000005</v>
      </c>
      <c r="M27" s="811">
        <f ca="1">M7+M13+M17+M22+M26</f>
        <v>611.37</v>
      </c>
      <c r="N27" s="846">
        <f ca="1">N7+N13+N17+N22+N26</f>
        <v>1242.5483879999999</v>
      </c>
      <c r="O27" s="796"/>
      <c r="P27" s="796"/>
    </row>
    <row r="28" spans="2:16" x14ac:dyDescent="0.3">
      <c r="B28" s="31"/>
      <c r="C28" s="57"/>
      <c r="D28" s="46"/>
      <c r="E28" s="58"/>
      <c r="F28" s="339" t="s">
        <v>85</v>
      </c>
      <c r="G28" s="339"/>
      <c r="H28" s="1093">
        <f ca="1">Working!D405</f>
        <v>2.2409140387056916</v>
      </c>
    </row>
    <row r="29" spans="2:16" x14ac:dyDescent="0.3">
      <c r="E29" s="58"/>
      <c r="L29" s="12"/>
      <c r="M29" s="12"/>
      <c r="N29" s="715"/>
    </row>
    <row r="30" spans="2:16" x14ac:dyDescent="0.3">
      <c r="E30" s="58"/>
      <c r="F30" s="58"/>
      <c r="G30" s="58"/>
      <c r="H30" s="58"/>
    </row>
    <row r="31" spans="2:16" x14ac:dyDescent="0.3">
      <c r="E31" s="58"/>
      <c r="F31" s="58"/>
      <c r="G31" s="58"/>
      <c r="H31" s="58"/>
    </row>
    <row r="32" spans="2:16" x14ac:dyDescent="0.3">
      <c r="E32" s="58"/>
      <c r="F32" s="58"/>
      <c r="G32" s="58"/>
      <c r="H32" s="58"/>
    </row>
    <row r="33" spans="1:8" x14ac:dyDescent="0.3">
      <c r="E33" s="58"/>
      <c r="F33" s="58"/>
      <c r="G33" s="58"/>
      <c r="H33" s="58"/>
    </row>
    <row r="34" spans="1:8" x14ac:dyDescent="0.3">
      <c r="A34" s="58"/>
      <c r="B34" s="58"/>
      <c r="C34" s="58"/>
      <c r="D34" s="58"/>
      <c r="E34" s="58"/>
      <c r="F34" s="58"/>
      <c r="G34" s="58"/>
      <c r="H34" s="58"/>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13B9F-0453-475B-BCCF-4BE365516687}">
  <sheetPr>
    <tabColor rgb="FFFFC000"/>
  </sheetPr>
  <dimension ref="B1:AC267"/>
  <sheetViews>
    <sheetView showGridLines="0" zoomScale="64" zoomScaleNormal="130" workbookViewId="0">
      <selection activeCell="D247" sqref="D247:F259"/>
    </sheetView>
  </sheetViews>
  <sheetFormatPr defaultRowHeight="14.5" x14ac:dyDescent="0.35"/>
  <cols>
    <col min="3" max="3" width="51.90625" bestFit="1" customWidth="1"/>
    <col min="4" max="4" width="13.453125" bestFit="1" customWidth="1"/>
    <col min="5" max="5" width="11.90625" bestFit="1" customWidth="1"/>
    <col min="6" max="6" width="18.81640625" bestFit="1" customWidth="1"/>
    <col min="7" max="7" width="20.1796875" bestFit="1" customWidth="1"/>
    <col min="8" max="8" width="17.90625" bestFit="1" customWidth="1"/>
    <col min="9" max="9" width="21.81640625" bestFit="1" customWidth="1"/>
    <col min="10" max="10" width="15.54296875" bestFit="1" customWidth="1"/>
    <col min="11" max="11" width="21.81640625" bestFit="1" customWidth="1"/>
    <col min="12" max="12" width="15.453125" bestFit="1" customWidth="1"/>
    <col min="15" max="15" width="9.36328125" customWidth="1"/>
    <col min="16" max="16" width="50.54296875" bestFit="1" customWidth="1"/>
    <col min="17" max="17" width="9.90625" bestFit="1" customWidth="1"/>
    <col min="18" max="18" width="6.90625" bestFit="1" customWidth="1"/>
    <col min="19" max="19" width="15.1796875" bestFit="1" customWidth="1"/>
    <col min="20" max="21" width="15.1796875" customWidth="1"/>
    <col min="22" max="23" width="8.36328125" bestFit="1" customWidth="1"/>
    <col min="24" max="24" width="11" bestFit="1" customWidth="1"/>
    <col min="28" max="28" width="54.26953125" customWidth="1"/>
    <col min="29" max="29" width="19.453125" customWidth="1"/>
    <col min="30" max="30" width="38.453125" customWidth="1"/>
  </cols>
  <sheetData>
    <row r="1" spans="2:29" x14ac:dyDescent="0.35">
      <c r="G1" s="1176">
        <f>BOQ_G!AA2</f>
        <v>0.85</v>
      </c>
      <c r="H1" s="1176">
        <f>BOQ_G!AB2</f>
        <v>0.12</v>
      </c>
      <c r="I1" s="1177">
        <f>BOQ_G!S37</f>
        <v>0.13800000000000001</v>
      </c>
    </row>
    <row r="2" spans="2:29" x14ac:dyDescent="0.35">
      <c r="C2" s="758" t="s">
        <v>1026</v>
      </c>
      <c r="E2" s="1046">
        <f ca="1">Input!J2</f>
        <v>5.2535517329743424</v>
      </c>
      <c r="G2" s="892"/>
      <c r="H2" s="892"/>
    </row>
    <row r="3" spans="2:29" x14ac:dyDescent="0.35">
      <c r="G3" s="892"/>
      <c r="H3" s="892"/>
    </row>
    <row r="4" spans="2:29" ht="15" thickBot="1" x14ac:dyDescent="0.4">
      <c r="B4" s="758" t="s">
        <v>995</v>
      </c>
    </row>
    <row r="5" spans="2:29" ht="28.5" customHeight="1" thickBot="1" x14ac:dyDescent="0.4">
      <c r="B5" s="774" t="s">
        <v>993</v>
      </c>
      <c r="C5" s="766" t="s">
        <v>994</v>
      </c>
      <c r="D5" s="775" t="s">
        <v>72</v>
      </c>
      <c r="E5" s="775" t="s">
        <v>290</v>
      </c>
      <c r="F5" s="767" t="s">
        <v>996</v>
      </c>
      <c r="G5" s="774" t="s">
        <v>1006</v>
      </c>
      <c r="H5" s="776" t="s">
        <v>1028</v>
      </c>
      <c r="I5" s="767" t="s">
        <v>1024</v>
      </c>
      <c r="J5" s="767" t="s">
        <v>1023</v>
      </c>
      <c r="K5" s="767" t="s">
        <v>1016</v>
      </c>
      <c r="AB5" s="1227" t="s">
        <v>1146</v>
      </c>
      <c r="AC5" s="767" t="s">
        <v>988</v>
      </c>
    </row>
    <row r="6" spans="2:29" ht="15" thickBot="1" x14ac:dyDescent="0.4">
      <c r="B6" s="880" t="s">
        <v>268</v>
      </c>
      <c r="C6" s="881" t="s">
        <v>751</v>
      </c>
      <c r="D6" s="882" t="s">
        <v>802</v>
      </c>
      <c r="E6" s="882">
        <f>BOQ_G!E36+BOQ_G!E37</f>
        <v>421385</v>
      </c>
      <c r="F6" s="882">
        <f>BOQ_G!D36</f>
        <v>9187.2000000000007</v>
      </c>
      <c r="G6" s="882">
        <f>I6*$G$1</f>
        <v>32906.460311999996</v>
      </c>
      <c r="H6" s="882">
        <f>I6*$H$1</f>
        <v>4645.6179264000002</v>
      </c>
      <c r="I6" s="883">
        <f>BOQ_G!F36+BOQ_G!F37</f>
        <v>38713.48272</v>
      </c>
      <c r="J6" s="883">
        <f>I6*$I$1</f>
        <v>5342.4606153600007</v>
      </c>
      <c r="K6" s="883">
        <f>I6+J6</f>
        <v>44055.943335360003</v>
      </c>
      <c r="AB6" s="768" t="s">
        <v>1225</v>
      </c>
      <c r="AC6" s="1228" t="s">
        <v>1226</v>
      </c>
    </row>
    <row r="7" spans="2:29" ht="16" thickBot="1" x14ac:dyDescent="0.4">
      <c r="B7" s="880" t="s">
        <v>270</v>
      </c>
      <c r="C7" s="881" t="s">
        <v>627</v>
      </c>
      <c r="D7" s="882" t="s">
        <v>802</v>
      </c>
      <c r="E7" s="882">
        <f>BOQ_G!E38</f>
        <v>1</v>
      </c>
      <c r="F7" s="882">
        <f>BOQ_G!D38</f>
        <v>1000000</v>
      </c>
      <c r="G7" s="882">
        <f>I7*$G$1</f>
        <v>8.5</v>
      </c>
      <c r="H7" s="882">
        <f>I7*$H$1</f>
        <v>1.2</v>
      </c>
      <c r="I7" s="883">
        <f>BOQ_G!F38</f>
        <v>10</v>
      </c>
      <c r="J7" s="883">
        <f>I7*$I$1</f>
        <v>1.3800000000000001</v>
      </c>
      <c r="K7" s="883">
        <f>I7+J7</f>
        <v>11.38</v>
      </c>
      <c r="AB7" s="768" t="s">
        <v>1227</v>
      </c>
      <c r="AC7" s="1233">
        <f>K9</f>
        <v>44073.013335360003</v>
      </c>
    </row>
    <row r="8" spans="2:29" ht="16" thickBot="1" x14ac:dyDescent="0.4">
      <c r="B8" s="880" t="s">
        <v>272</v>
      </c>
      <c r="C8" s="881" t="s">
        <v>628</v>
      </c>
      <c r="D8" s="882" t="s">
        <v>802</v>
      </c>
      <c r="E8" s="882">
        <f>BOQ_G!E39</f>
        <v>1</v>
      </c>
      <c r="F8" s="882">
        <f>BOQ_G!D39</f>
        <v>500000</v>
      </c>
      <c r="G8" s="882">
        <f>I8*$G$1</f>
        <v>4.25</v>
      </c>
      <c r="H8" s="882">
        <f>I8*$H$1</f>
        <v>0.6</v>
      </c>
      <c r="I8" s="883">
        <f>BOQ_G!F39</f>
        <v>5</v>
      </c>
      <c r="J8" s="883">
        <f>I8*$I$1</f>
        <v>0.69000000000000006</v>
      </c>
      <c r="K8" s="883">
        <f>I8+J8</f>
        <v>5.69</v>
      </c>
      <c r="AB8" s="768" t="s">
        <v>1228</v>
      </c>
      <c r="AC8" s="1233">
        <f>K17</f>
        <v>3016.2690000000002</v>
      </c>
    </row>
    <row r="9" spans="2:29" ht="16" thickBot="1" x14ac:dyDescent="0.4">
      <c r="B9" s="880"/>
      <c r="C9" s="886" t="s">
        <v>811</v>
      </c>
      <c r="D9" s="887"/>
      <c r="E9" s="887"/>
      <c r="F9" s="888"/>
      <c r="G9" s="887">
        <f>I9*$G$1</f>
        <v>32919.210311999996</v>
      </c>
      <c r="H9" s="887">
        <f>I9*$H$1</f>
        <v>4647.4179263999995</v>
      </c>
      <c r="I9" s="888">
        <f>SUM(I6:I8)</f>
        <v>38728.48272</v>
      </c>
      <c r="J9" s="888">
        <f>SUM(J6:J8)</f>
        <v>5344.5306153600004</v>
      </c>
      <c r="K9" s="888">
        <f>SUM(K6:K8)</f>
        <v>44073.013335360003</v>
      </c>
      <c r="AB9" s="768" t="s">
        <v>1229</v>
      </c>
      <c r="AC9" s="1233">
        <f>K45</f>
        <v>37474.181533270799</v>
      </c>
    </row>
    <row r="10" spans="2:29" ht="16" thickBot="1" x14ac:dyDescent="0.4">
      <c r="AB10" s="768" t="s">
        <v>1230</v>
      </c>
      <c r="AC10" s="1233">
        <f>K82</f>
        <v>11031.383144261999</v>
      </c>
    </row>
    <row r="11" spans="2:29" ht="16" thickBot="1" x14ac:dyDescent="0.4">
      <c r="AB11" s="768" t="s">
        <v>929</v>
      </c>
      <c r="AC11" s="1234">
        <f>K92</f>
        <v>350.65685615999996</v>
      </c>
    </row>
    <row r="12" spans="2:29" ht="16" thickBot="1" x14ac:dyDescent="0.4">
      <c r="AB12" s="768" t="s">
        <v>1231</v>
      </c>
      <c r="AC12" s="1229">
        <f>K124</f>
        <v>1859.1489999999999</v>
      </c>
    </row>
    <row r="13" spans="2:29" ht="16" thickBot="1" x14ac:dyDescent="0.4">
      <c r="B13" s="758" t="s">
        <v>997</v>
      </c>
      <c r="AB13" s="768" t="s">
        <v>1022</v>
      </c>
      <c r="AC13" s="1229">
        <f>K102</f>
        <v>318.64</v>
      </c>
    </row>
    <row r="14" spans="2:29" ht="28.5" thickBot="1" x14ac:dyDescent="0.4">
      <c r="B14" s="774" t="s">
        <v>993</v>
      </c>
      <c r="C14" s="766" t="s">
        <v>994</v>
      </c>
      <c r="D14" s="775" t="s">
        <v>72</v>
      </c>
      <c r="E14" s="775" t="s">
        <v>290</v>
      </c>
      <c r="F14" s="767" t="s">
        <v>996</v>
      </c>
      <c r="G14" s="774" t="s">
        <v>1006</v>
      </c>
      <c r="H14" s="776" t="s">
        <v>1028</v>
      </c>
      <c r="I14" s="767" t="s">
        <v>1024</v>
      </c>
      <c r="J14" s="767" t="s">
        <v>1023</v>
      </c>
      <c r="K14" s="767" t="s">
        <v>1016</v>
      </c>
      <c r="AB14" s="768" t="s">
        <v>1232</v>
      </c>
      <c r="AC14" s="1229"/>
    </row>
    <row r="15" spans="2:29" ht="16" thickBot="1" x14ac:dyDescent="0.4">
      <c r="B15" s="880" t="s">
        <v>268</v>
      </c>
      <c r="C15" s="881" t="s">
        <v>609</v>
      </c>
      <c r="D15" s="882" t="s">
        <v>802</v>
      </c>
      <c r="E15" s="882">
        <f>BOQ_G!E41</f>
        <v>44</v>
      </c>
      <c r="F15" s="882">
        <f>BOQ_G!D41</f>
        <v>5700000</v>
      </c>
      <c r="G15" s="882">
        <f>I15*$G$1</f>
        <v>2131.7999999999997</v>
      </c>
      <c r="H15" s="882">
        <f>I15*$H$1</f>
        <v>300.95999999999998</v>
      </c>
      <c r="I15" s="883">
        <f>BOQ_G!F41</f>
        <v>2508</v>
      </c>
      <c r="J15" s="883">
        <f>I15*$I$1</f>
        <v>346.10400000000004</v>
      </c>
      <c r="K15" s="883">
        <f>I15+J15</f>
        <v>2854.1040000000003</v>
      </c>
      <c r="L15" s="905"/>
      <c r="AB15" s="768" t="s">
        <v>1233</v>
      </c>
      <c r="AC15" s="1229"/>
    </row>
    <row r="16" spans="2:29" ht="15" thickBot="1" x14ac:dyDescent="0.4">
      <c r="B16" s="880" t="s">
        <v>270</v>
      </c>
      <c r="C16" s="881" t="s">
        <v>1213</v>
      </c>
      <c r="D16" s="882" t="s">
        <v>802</v>
      </c>
      <c r="E16" s="882">
        <f>BOQ_G!E42</f>
        <v>12</v>
      </c>
      <c r="F16" s="882">
        <f>BOQ_G!D42</f>
        <v>1187500</v>
      </c>
      <c r="G16" s="882">
        <f>I16*$G$1</f>
        <v>121.125</v>
      </c>
      <c r="H16" s="882">
        <f>I16*$H$1</f>
        <v>17.099999999999998</v>
      </c>
      <c r="I16" s="883">
        <f>BOQ_G!F42</f>
        <v>142.5</v>
      </c>
      <c r="J16" s="883">
        <f>I16*$I$1</f>
        <v>19.665000000000003</v>
      </c>
      <c r="K16" s="883">
        <f>I16+J16</f>
        <v>162.16499999999999</v>
      </c>
      <c r="AB16" s="768" t="s">
        <v>1234</v>
      </c>
      <c r="AC16" s="1230"/>
    </row>
    <row r="17" spans="2:29" ht="15" thickBot="1" x14ac:dyDescent="0.4">
      <c r="B17" s="885"/>
      <c r="C17" s="886" t="s">
        <v>811</v>
      </c>
      <c r="D17" s="887"/>
      <c r="E17" s="887"/>
      <c r="F17" s="888"/>
      <c r="G17" s="887">
        <f>I17*$G$1</f>
        <v>2252.9249999999997</v>
      </c>
      <c r="H17" s="887">
        <f>I17*$H$1</f>
        <v>318.06</v>
      </c>
      <c r="I17" s="888">
        <f>SUM(I15:I16)</f>
        <v>2650.5</v>
      </c>
      <c r="J17" s="888">
        <f>SUM(J15:J16)</f>
        <v>365.76900000000006</v>
      </c>
      <c r="K17" s="888">
        <f>SUM(K15:K16)</f>
        <v>3016.2690000000002</v>
      </c>
      <c r="AB17" s="769" t="s">
        <v>968</v>
      </c>
      <c r="AC17" s="1230"/>
    </row>
    <row r="18" spans="2:29" ht="15" thickBot="1" x14ac:dyDescent="0.4">
      <c r="AB18" s="768" t="s">
        <v>1151</v>
      </c>
      <c r="AC18" s="1230"/>
    </row>
    <row r="19" spans="2:29" ht="15" thickBot="1" x14ac:dyDescent="0.4">
      <c r="AB19" s="769" t="s">
        <v>1235</v>
      </c>
      <c r="AC19" s="1230"/>
    </row>
    <row r="20" spans="2:29" ht="15" thickBot="1" x14ac:dyDescent="0.4">
      <c r="B20" s="758" t="s">
        <v>998</v>
      </c>
    </row>
    <row r="21" spans="2:29" ht="28.5" thickBot="1" x14ac:dyDescent="0.4">
      <c r="B21" s="774" t="s">
        <v>993</v>
      </c>
      <c r="C21" s="766" t="s">
        <v>994</v>
      </c>
      <c r="D21" s="775" t="s">
        <v>72</v>
      </c>
      <c r="E21" s="775" t="s">
        <v>290</v>
      </c>
      <c r="F21" s="767" t="s">
        <v>996</v>
      </c>
      <c r="G21" s="774" t="s">
        <v>1006</v>
      </c>
      <c r="H21" s="776" t="s">
        <v>1028</v>
      </c>
      <c r="I21" s="767" t="s">
        <v>1024</v>
      </c>
      <c r="J21" s="767" t="s">
        <v>1023</v>
      </c>
      <c r="K21" s="767" t="s">
        <v>1016</v>
      </c>
    </row>
    <row r="22" spans="2:29" ht="15" thickBot="1" x14ac:dyDescent="0.4">
      <c r="B22" s="889" t="s">
        <v>268</v>
      </c>
      <c r="C22" s="886" t="s">
        <v>999</v>
      </c>
      <c r="D22" s="882"/>
      <c r="E22" s="882"/>
      <c r="F22" s="882"/>
      <c r="G22" s="882"/>
      <c r="H22" s="882"/>
      <c r="I22" s="883"/>
      <c r="J22" s="883"/>
      <c r="K22" s="883"/>
    </row>
    <row r="23" spans="2:29" ht="15" thickBot="1" x14ac:dyDescent="0.4">
      <c r="B23" s="880">
        <v>1</v>
      </c>
      <c r="C23" s="881" t="str">
        <f>BOQ_G!B45</f>
        <v>OMF (Module Float)</v>
      </c>
      <c r="D23" s="882" t="s">
        <v>1116</v>
      </c>
      <c r="E23" s="882">
        <f>BOQ_G!E45</f>
        <v>420544</v>
      </c>
      <c r="F23" s="896">
        <f t="shared" ref="F23:F27" si="0">G23/E23*10^5</f>
        <v>888.25</v>
      </c>
      <c r="G23" s="882">
        <f t="shared" ref="G23:G30" si="1">I23*$G$1</f>
        <v>3735.4820799999998</v>
      </c>
      <c r="H23" s="882">
        <f t="shared" ref="H23:H30" si="2">I23*$H$1</f>
        <v>527.36217599999998</v>
      </c>
      <c r="I23" s="883">
        <f>BOQ_G!F45</f>
        <v>4394.6848</v>
      </c>
      <c r="J23" s="883">
        <f>I23*$I$1</f>
        <v>606.46650240000008</v>
      </c>
      <c r="K23" s="883">
        <f t="shared" ref="K23:K29" si="3">I23+J23</f>
        <v>5001.1513023999996</v>
      </c>
    </row>
    <row r="24" spans="2:29" ht="15" thickBot="1" x14ac:dyDescent="0.4">
      <c r="B24" s="880">
        <v>2</v>
      </c>
      <c r="C24" s="881" t="str">
        <f>BOQ_G!B46</f>
        <v>OMWF (Main Walkway Float)</v>
      </c>
      <c r="D24" s="882" t="s">
        <v>1116</v>
      </c>
      <c r="E24" s="882">
        <f>BOQ_G!E46</f>
        <v>48032</v>
      </c>
      <c r="F24" s="896">
        <f t="shared" si="0"/>
        <v>3415.7249999999999</v>
      </c>
      <c r="G24" s="882">
        <f t="shared" si="1"/>
        <v>1640.641032</v>
      </c>
      <c r="H24" s="882">
        <f t="shared" si="2"/>
        <v>231.61991039999998</v>
      </c>
      <c r="I24" s="883">
        <f>BOQ_G!F46</f>
        <v>1930.1659199999999</v>
      </c>
      <c r="J24" s="883">
        <f t="shared" ref="J24:J29" si="4">I24*$I$1</f>
        <v>266.36289696</v>
      </c>
      <c r="K24" s="883">
        <f t="shared" si="3"/>
        <v>2196.5288169599999</v>
      </c>
    </row>
    <row r="25" spans="2:29" ht="15" thickBot="1" x14ac:dyDescent="0.4">
      <c r="B25" s="880">
        <v>3</v>
      </c>
      <c r="C25" s="881" t="str">
        <f>BOQ_G!B47</f>
        <v>OLSF (Long Secondary Float)</v>
      </c>
      <c r="D25" s="882" t="s">
        <v>1116</v>
      </c>
      <c r="E25" s="882">
        <f>BOQ_G!E47</f>
        <v>163308</v>
      </c>
      <c r="F25" s="896">
        <f t="shared" si="0"/>
        <v>2049.4349999999999</v>
      </c>
      <c r="G25" s="882">
        <f t="shared" si="1"/>
        <v>3346.8913098000003</v>
      </c>
      <c r="H25" s="882">
        <f t="shared" si="2"/>
        <v>472.50230256000003</v>
      </c>
      <c r="I25" s="883">
        <f>BOQ_G!F47</f>
        <v>3937.5191880000002</v>
      </c>
      <c r="J25" s="883">
        <f t="shared" si="4"/>
        <v>543.37764794400005</v>
      </c>
      <c r="K25" s="883">
        <f t="shared" si="3"/>
        <v>4480.8968359440005</v>
      </c>
    </row>
    <row r="26" spans="2:29" ht="15" thickBot="1" x14ac:dyDescent="0.4">
      <c r="B26" s="880">
        <v>4</v>
      </c>
      <c r="C26" s="881" t="str">
        <f>BOQ_G!B48</f>
        <v>OSSF (Small Secondary Float)</v>
      </c>
      <c r="D26" s="882" t="s">
        <v>1116</v>
      </c>
      <c r="E26" s="882">
        <f>BOQ_G!E48</f>
        <v>148016</v>
      </c>
      <c r="F26" s="896">
        <f t="shared" si="0"/>
        <v>1366.29</v>
      </c>
      <c r="G26" s="882">
        <f t="shared" si="1"/>
        <v>2022.3278063999999</v>
      </c>
      <c r="H26" s="882">
        <f t="shared" si="2"/>
        <v>285.50510207999997</v>
      </c>
      <c r="I26" s="883">
        <f>BOQ_G!F48</f>
        <v>2379.2091839999998</v>
      </c>
      <c r="J26" s="883">
        <f t="shared" si="4"/>
        <v>328.33086739200002</v>
      </c>
      <c r="K26" s="883">
        <f t="shared" si="3"/>
        <v>2707.5400513919999</v>
      </c>
    </row>
    <row r="27" spans="2:29" ht="15" thickBot="1" x14ac:dyDescent="0.4">
      <c r="B27" s="880">
        <v>5</v>
      </c>
      <c r="C27" s="881" t="str">
        <f>BOQ_G!B49</f>
        <v>OSSFx (Small Secondary Walkway Float)</v>
      </c>
      <c r="D27" s="882" t="s">
        <v>1116</v>
      </c>
      <c r="E27" s="882">
        <f>BOQ_G!E49</f>
        <v>24096</v>
      </c>
      <c r="F27" s="896">
        <f t="shared" si="0"/>
        <v>6772.9062499999991</v>
      </c>
      <c r="G27" s="882">
        <f t="shared" si="1"/>
        <v>1631.9994899999999</v>
      </c>
      <c r="H27" s="882">
        <f t="shared" si="2"/>
        <v>230.39992799999999</v>
      </c>
      <c r="I27" s="883">
        <f>BOQ_G!F49</f>
        <v>1919.9993999999999</v>
      </c>
      <c r="J27" s="883">
        <f t="shared" si="4"/>
        <v>264.95991720000001</v>
      </c>
      <c r="K27" s="883">
        <f t="shared" si="3"/>
        <v>2184.9593172</v>
      </c>
    </row>
    <row r="28" spans="2:29" ht="15" thickBot="1" x14ac:dyDescent="0.4">
      <c r="B28" s="880">
        <v>6</v>
      </c>
      <c r="C28" s="881" t="str">
        <f>BOQ_G!B50</f>
        <v>OCF (Cable Float)-DC</v>
      </c>
      <c r="D28" s="882" t="s">
        <v>1116</v>
      </c>
      <c r="E28" s="884">
        <f>BOQ_G!E50</f>
        <v>755372</v>
      </c>
      <c r="F28" s="896">
        <f t="shared" ref="F28:F29" si="5">G28/E28*10^5</f>
        <v>107.39750000000001</v>
      </c>
      <c r="G28" s="882">
        <f t="shared" si="1"/>
        <v>811.25064370000007</v>
      </c>
      <c r="H28" s="882">
        <f t="shared" si="2"/>
        <v>114.52950264</v>
      </c>
      <c r="I28" s="883">
        <f>BOQ_G!F50</f>
        <v>954.41252200000008</v>
      </c>
      <c r="J28" s="883">
        <f t="shared" si="4"/>
        <v>131.70892803600003</v>
      </c>
      <c r="K28" s="883">
        <f t="shared" si="3"/>
        <v>1086.1214500360002</v>
      </c>
    </row>
    <row r="29" spans="2:29" ht="15" thickBot="1" x14ac:dyDescent="0.4">
      <c r="B29" s="880">
        <v>7</v>
      </c>
      <c r="C29" s="881" t="str">
        <f>BOQ_G!B51</f>
        <v>OCF (Cable Float)-AC</v>
      </c>
      <c r="D29" s="882" t="s">
        <v>1116</v>
      </c>
      <c r="E29" s="884">
        <f>BOQ_G!E51</f>
        <v>905308</v>
      </c>
      <c r="F29" s="896">
        <f t="shared" si="5"/>
        <v>89.632499999999993</v>
      </c>
      <c r="G29" s="882">
        <f t="shared" si="1"/>
        <v>811.45019309999986</v>
      </c>
      <c r="H29" s="882">
        <f t="shared" si="2"/>
        <v>114.55767431999999</v>
      </c>
      <c r="I29" s="883">
        <f>BOQ_G!F51</f>
        <v>954.64728599999989</v>
      </c>
      <c r="J29" s="883">
        <f t="shared" si="4"/>
        <v>131.74132546799999</v>
      </c>
      <c r="K29" s="883">
        <f t="shared" si="3"/>
        <v>1086.3886114679999</v>
      </c>
    </row>
    <row r="30" spans="2:29" ht="15" thickBot="1" x14ac:dyDescent="0.4">
      <c r="B30" s="880"/>
      <c r="C30" s="886" t="s">
        <v>1000</v>
      </c>
      <c r="D30" s="887"/>
      <c r="E30" s="884"/>
      <c r="F30" s="888"/>
      <c r="G30" s="887">
        <f t="shared" si="1"/>
        <v>14000.042555000002</v>
      </c>
      <c r="H30" s="887">
        <f t="shared" si="2"/>
        <v>1976.4765960000002</v>
      </c>
      <c r="I30" s="888">
        <f>SUM(I23:I29)</f>
        <v>16470.638300000002</v>
      </c>
      <c r="J30" s="888">
        <f>SUM(J23:J29)</f>
        <v>2272.9480854000003</v>
      </c>
      <c r="K30" s="888">
        <f>SUM(K23:K29)</f>
        <v>18743.586385399998</v>
      </c>
    </row>
    <row r="31" spans="2:29" ht="15" thickBot="1" x14ac:dyDescent="0.4">
      <c r="B31" s="880"/>
      <c r="C31" s="886"/>
      <c r="D31" s="887"/>
      <c r="E31" s="887"/>
      <c r="F31" s="888"/>
      <c r="G31" s="888"/>
      <c r="H31" s="888"/>
      <c r="I31" s="888"/>
      <c r="J31" s="888"/>
      <c r="K31" s="888"/>
    </row>
    <row r="32" spans="2:29" ht="15" thickBot="1" x14ac:dyDescent="0.4">
      <c r="B32" s="889" t="s">
        <v>270</v>
      </c>
      <c r="C32" s="886" t="s">
        <v>1001</v>
      </c>
      <c r="D32" s="887"/>
      <c r="E32" s="887"/>
      <c r="F32" s="888"/>
      <c r="G32" s="888"/>
      <c r="H32" s="888"/>
      <c r="I32" s="888"/>
      <c r="J32" s="888"/>
      <c r="K32" s="888"/>
    </row>
    <row r="33" spans="2:11" ht="25.5" thickBot="1" x14ac:dyDescent="0.4">
      <c r="B33" s="880">
        <v>1</v>
      </c>
      <c r="C33" s="881" t="str">
        <f>BOQ_G!B53</f>
        <v>Transformer of Size 5.5 MVA</v>
      </c>
      <c r="D33" s="882" t="s">
        <v>1117</v>
      </c>
      <c r="E33" s="882">
        <f>BOQ_G!E53</f>
        <v>12</v>
      </c>
      <c r="F33" s="896">
        <f t="shared" ref="F33" si="6">G33/E33*10^5</f>
        <v>4921712.4999999981</v>
      </c>
      <c r="G33" s="882">
        <f>I33*$G$1</f>
        <v>590.60549999999978</v>
      </c>
      <c r="H33" s="882">
        <f>I33*$H$1</f>
        <v>83.379599999999968</v>
      </c>
      <c r="I33" s="883">
        <f>BOQ_G!F53</f>
        <v>694.82999999999981</v>
      </c>
      <c r="J33" s="883">
        <f>I33*$I$1</f>
        <v>95.886539999999982</v>
      </c>
      <c r="K33" s="883">
        <f>I33+J33</f>
        <v>790.71653999999978</v>
      </c>
    </row>
    <row r="34" spans="2:11" ht="25.5" thickBot="1" x14ac:dyDescent="0.4">
      <c r="B34" s="880">
        <v>2</v>
      </c>
      <c r="C34" s="881" t="str">
        <f>BOQ_G!B54</f>
        <v>Transformer of Size 6.5 MVA</v>
      </c>
      <c r="D34" s="882" t="s">
        <v>1117</v>
      </c>
      <c r="E34" s="882">
        <f>BOQ_G!E54</f>
        <v>32</v>
      </c>
      <c r="F34" s="896">
        <f t="shared" ref="F34:F36" si="7">G34/E34*10^5</f>
        <v>5943199.9999999991</v>
      </c>
      <c r="G34" s="882">
        <f t="shared" ref="G34:G36" si="8">I34*$G$1</f>
        <v>1901.8239999999996</v>
      </c>
      <c r="H34" s="882">
        <f t="shared" ref="H34:H36" si="9">I34*$H$1</f>
        <v>268.49279999999993</v>
      </c>
      <c r="I34" s="883">
        <f>BOQ_G!F54</f>
        <v>2237.4399999999996</v>
      </c>
      <c r="J34" s="883">
        <f t="shared" ref="J34:J36" si="10">I34*$I$1</f>
        <v>308.76671999999996</v>
      </c>
      <c r="K34" s="883">
        <f t="shared" ref="K34:K36" si="11">I34+J34</f>
        <v>2546.2067199999997</v>
      </c>
    </row>
    <row r="35" spans="2:11" ht="15" thickBot="1" x14ac:dyDescent="0.4">
      <c r="B35" s="880">
        <v>3</v>
      </c>
      <c r="C35" s="881" t="str">
        <f>BOQ_G!B55</f>
        <v>Platform-Ferro Cement</v>
      </c>
      <c r="D35" s="882" t="s">
        <v>1237</v>
      </c>
      <c r="E35" s="882">
        <f>BOQ_G!E55</f>
        <v>52</v>
      </c>
      <c r="F35" s="896">
        <f t="shared" si="7"/>
        <v>4675000</v>
      </c>
      <c r="G35" s="882">
        <f t="shared" si="8"/>
        <v>2431</v>
      </c>
      <c r="H35" s="882">
        <f t="shared" si="9"/>
        <v>343.2</v>
      </c>
      <c r="I35" s="883">
        <f>BOQ_G!F55</f>
        <v>2860</v>
      </c>
      <c r="J35" s="883">
        <f t="shared" si="10"/>
        <v>394.68</v>
      </c>
      <c r="K35" s="883">
        <f t="shared" si="11"/>
        <v>3254.68</v>
      </c>
    </row>
    <row r="36" spans="2:11" ht="15" thickBot="1" x14ac:dyDescent="0.4">
      <c r="B36" s="880">
        <v>4</v>
      </c>
      <c r="C36" s="881" t="str">
        <f>BOQ_G!B56</f>
        <v>Inverter Barge- Mooring Line length</v>
      </c>
      <c r="D36" s="882" t="s">
        <v>1113</v>
      </c>
      <c r="E36" s="882">
        <f>BOQ_G!E56</f>
        <v>11.88</v>
      </c>
      <c r="F36" s="896">
        <f t="shared" si="7"/>
        <v>1525510.0318250002</v>
      </c>
      <c r="G36" s="882">
        <f t="shared" si="8"/>
        <v>181.23059178081002</v>
      </c>
      <c r="H36" s="882">
        <f t="shared" si="9"/>
        <v>25.585495310232002</v>
      </c>
      <c r="I36" s="883">
        <f>BOQ_G!F56</f>
        <v>213.21246091860002</v>
      </c>
      <c r="J36" s="883">
        <f t="shared" si="10"/>
        <v>29.423319606766803</v>
      </c>
      <c r="K36" s="883">
        <f t="shared" si="11"/>
        <v>242.63578052536681</v>
      </c>
    </row>
    <row r="37" spans="2:11" ht="15" thickBot="1" x14ac:dyDescent="0.4">
      <c r="B37" s="880"/>
      <c r="C37" s="886" t="s">
        <v>1000</v>
      </c>
      <c r="D37" s="887"/>
      <c r="E37" s="887"/>
      <c r="F37" s="888"/>
      <c r="G37" s="887">
        <f>SUM(G33:G36)</f>
        <v>5104.6600917808091</v>
      </c>
      <c r="H37" s="887">
        <f>SUM(H33:H36)</f>
        <v>720.65789531023188</v>
      </c>
      <c r="I37" s="887">
        <f>SUM(I33:I36)</f>
        <v>6005.4824609185998</v>
      </c>
      <c r="J37" s="887">
        <f>SUM(J33:J36)</f>
        <v>828.75657960676665</v>
      </c>
      <c r="K37" s="887">
        <f>SUM(K33:K36)</f>
        <v>6834.2390405253664</v>
      </c>
    </row>
    <row r="38" spans="2:11" ht="15" thickBot="1" x14ac:dyDescent="0.4">
      <c r="B38" s="880"/>
      <c r="C38" s="886"/>
      <c r="D38" s="887"/>
      <c r="E38" s="887"/>
      <c r="F38" s="888"/>
      <c r="G38" s="888"/>
      <c r="H38" s="888"/>
      <c r="I38" s="888"/>
      <c r="J38" s="888"/>
      <c r="K38" s="888"/>
    </row>
    <row r="39" spans="2:11" ht="15" thickBot="1" x14ac:dyDescent="0.4">
      <c r="B39" s="889" t="s">
        <v>272</v>
      </c>
      <c r="C39" s="886" t="s">
        <v>916</v>
      </c>
      <c r="D39" s="887"/>
      <c r="E39" s="887"/>
      <c r="F39" s="888"/>
      <c r="G39" s="888"/>
      <c r="H39" s="888"/>
      <c r="I39" s="888"/>
      <c r="J39" s="888"/>
      <c r="K39" s="888"/>
    </row>
    <row r="40" spans="2:11" ht="15" thickBot="1" x14ac:dyDescent="0.4">
      <c r="B40" s="880">
        <v>1</v>
      </c>
      <c r="C40" s="881" t="str">
        <f>BOQ_G!B58</f>
        <v>Mooring System</v>
      </c>
      <c r="D40" s="882" t="s">
        <v>1007</v>
      </c>
      <c r="E40" s="882">
        <f>BOQ_G!E58</f>
        <v>158.47999999999999</v>
      </c>
      <c r="F40" s="882">
        <f>G40/E40*10^5</f>
        <v>4996323.8849999998</v>
      </c>
      <c r="G40" s="882">
        <f>I40*$G$1</f>
        <v>7918.1740929479984</v>
      </c>
      <c r="H40" s="882">
        <f>I40*$H$1</f>
        <v>1117.8598719455997</v>
      </c>
      <c r="I40" s="883">
        <f>BOQ_G!F58</f>
        <v>9315.4989328799984</v>
      </c>
      <c r="J40" s="883">
        <f>I40*$I$1</f>
        <v>1285.5388527374398</v>
      </c>
      <c r="K40" s="883">
        <f>I40+J40</f>
        <v>10601.037785617438</v>
      </c>
    </row>
    <row r="41" spans="2:11" ht="15" thickBot="1" x14ac:dyDescent="0.4">
      <c r="B41" s="880">
        <v>2</v>
      </c>
      <c r="C41" s="881" t="str">
        <f>BOQ_G!B59</f>
        <v>Mooring Line Accessories</v>
      </c>
      <c r="D41" s="882" t="s">
        <v>802</v>
      </c>
      <c r="E41" s="882">
        <f>BOQ_G!E59</f>
        <v>2400</v>
      </c>
      <c r="F41" s="882">
        <f>G41/E41*10^5</f>
        <v>6379.25</v>
      </c>
      <c r="G41" s="882">
        <f>I41*$G$1</f>
        <v>153.102</v>
      </c>
      <c r="H41" s="882">
        <f>I41*$H$1</f>
        <v>21.6144</v>
      </c>
      <c r="I41" s="883">
        <f>BOQ_G!F59</f>
        <v>180.12</v>
      </c>
      <c r="J41" s="883">
        <f>I41*$I$1</f>
        <v>24.856560000000002</v>
      </c>
      <c r="K41" s="883">
        <f>I41+J41</f>
        <v>204.97656000000001</v>
      </c>
    </row>
    <row r="42" spans="2:11" ht="15" thickBot="1" x14ac:dyDescent="0.4">
      <c r="B42" s="880">
        <v>3</v>
      </c>
      <c r="C42" s="881" t="str">
        <f>BOQ_G!B60</f>
        <v>Anchor System</v>
      </c>
      <c r="D42" s="882" t="s">
        <v>1118</v>
      </c>
      <c r="E42" s="882">
        <f>BOQ_G!E60</f>
        <v>5536</v>
      </c>
      <c r="F42" s="882">
        <f>G42/E42*10^5</f>
        <v>14711.035</v>
      </c>
      <c r="G42" s="882">
        <f>I42*$G$1</f>
        <v>814.40289759999996</v>
      </c>
      <c r="H42" s="882">
        <f>I42*$H$1</f>
        <v>114.97452671999999</v>
      </c>
      <c r="I42" s="883">
        <f>BOQ_G!F60</f>
        <v>958.12105599999995</v>
      </c>
      <c r="J42" s="883">
        <f>I42*$I$1</f>
        <v>132.22070572800001</v>
      </c>
      <c r="K42" s="883">
        <f>I42+J42</f>
        <v>1090.3417617279999</v>
      </c>
    </row>
    <row r="43" spans="2:11" ht="15" thickBot="1" x14ac:dyDescent="0.4">
      <c r="B43" s="880"/>
      <c r="C43" s="886" t="s">
        <v>1000</v>
      </c>
      <c r="D43" s="882"/>
      <c r="E43" s="882"/>
      <c r="F43" s="882"/>
      <c r="G43" s="887">
        <f>I43*$G$1</f>
        <v>8885.6789905479982</v>
      </c>
      <c r="H43" s="887">
        <f>I43*$H$1</f>
        <v>1254.4487986656</v>
      </c>
      <c r="I43" s="888">
        <f>SUM(I40:I42)</f>
        <v>10453.739988879999</v>
      </c>
      <c r="J43" s="888">
        <f>SUM(J40:J42)</f>
        <v>1442.6161184654397</v>
      </c>
      <c r="K43" s="888">
        <f>SUM(K40:K42)</f>
        <v>11896.356107345437</v>
      </c>
    </row>
    <row r="44" spans="2:11" ht="15" thickBot="1" x14ac:dyDescent="0.4">
      <c r="B44" s="880"/>
      <c r="C44" s="881"/>
      <c r="D44" s="882"/>
      <c r="E44" s="882"/>
      <c r="F44" s="882"/>
      <c r="G44" s="882"/>
      <c r="H44" s="882"/>
      <c r="I44" s="883"/>
      <c r="J44" s="883"/>
      <c r="K44" s="883"/>
    </row>
    <row r="45" spans="2:11" ht="15" thickBot="1" x14ac:dyDescent="0.4">
      <c r="B45" s="880"/>
      <c r="C45" s="886" t="s">
        <v>811</v>
      </c>
      <c r="D45" s="887"/>
      <c r="E45" s="887"/>
      <c r="F45" s="888"/>
      <c r="G45" s="887">
        <f>I45*$G$1</f>
        <v>27990.38163732881</v>
      </c>
      <c r="H45" s="887">
        <f>I45*$H$1</f>
        <v>3951.583289975832</v>
      </c>
      <c r="I45" s="888">
        <f>I43+I37+I30</f>
        <v>32929.860749798601</v>
      </c>
      <c r="J45" s="888">
        <f>J43+J37+J30</f>
        <v>4544.320783472207</v>
      </c>
      <c r="K45" s="888">
        <f>K43+K37+K30</f>
        <v>37474.181533270799</v>
      </c>
    </row>
    <row r="46" spans="2:11" x14ac:dyDescent="0.35">
      <c r="B46" s="895"/>
    </row>
    <row r="47" spans="2:11" ht="15" thickBot="1" x14ac:dyDescent="0.4">
      <c r="B47" s="758" t="s">
        <v>1008</v>
      </c>
    </row>
    <row r="48" spans="2:11" ht="28.5" thickBot="1" x14ac:dyDescent="0.4">
      <c r="B48" s="774" t="s">
        <v>993</v>
      </c>
      <c r="C48" s="766" t="s">
        <v>994</v>
      </c>
      <c r="D48" s="775" t="s">
        <v>72</v>
      </c>
      <c r="E48" s="775" t="s">
        <v>290</v>
      </c>
      <c r="F48" s="767" t="s">
        <v>996</v>
      </c>
      <c r="G48" s="774" t="s">
        <v>1006</v>
      </c>
      <c r="H48" s="776" t="s">
        <v>1028</v>
      </c>
      <c r="I48" s="767" t="s">
        <v>1024</v>
      </c>
      <c r="J48" s="767" t="s">
        <v>1023</v>
      </c>
      <c r="K48" s="767" t="s">
        <v>1016</v>
      </c>
    </row>
    <row r="49" spans="2:11" ht="15" thickBot="1" x14ac:dyDescent="0.4">
      <c r="B49" s="889" t="s">
        <v>268</v>
      </c>
      <c r="C49" s="886" t="s">
        <v>1009</v>
      </c>
      <c r="D49" s="882"/>
      <c r="E49" s="882"/>
      <c r="F49" s="882"/>
      <c r="G49" s="882"/>
      <c r="H49" s="882"/>
      <c r="I49" s="883"/>
      <c r="J49" s="883"/>
      <c r="K49" s="883"/>
    </row>
    <row r="50" spans="2:11" ht="15" thickBot="1" x14ac:dyDescent="0.4">
      <c r="B50" s="880">
        <v>1</v>
      </c>
      <c r="C50" s="881" t="s">
        <v>1010</v>
      </c>
      <c r="D50" s="882" t="s">
        <v>449</v>
      </c>
      <c r="E50" s="882">
        <f>BOQ_G!E63</f>
        <v>1302246.3999999999</v>
      </c>
      <c r="F50" s="882">
        <f>BOQ_G!D63</f>
        <v>58</v>
      </c>
      <c r="G50" s="882">
        <f>I50*$G$1</f>
        <v>642.00747519999993</v>
      </c>
      <c r="H50" s="882">
        <f>I50*$H$1</f>
        <v>90.636349439999975</v>
      </c>
      <c r="I50" s="883">
        <f>BOQ_G!F63</f>
        <v>755.30291199999988</v>
      </c>
      <c r="J50" s="883">
        <f>I50*$I$1</f>
        <v>104.23180185599999</v>
      </c>
      <c r="K50" s="883">
        <f>I50+J50</f>
        <v>859.53471385599983</v>
      </c>
    </row>
    <row r="51" spans="2:11" ht="15" thickBot="1" x14ac:dyDescent="0.4">
      <c r="B51" s="880">
        <v>2</v>
      </c>
      <c r="C51" s="881" t="s">
        <v>913</v>
      </c>
      <c r="D51" s="882" t="s">
        <v>802</v>
      </c>
      <c r="E51" s="882">
        <v>1</v>
      </c>
      <c r="F51" s="882">
        <f>G51/E51*10^5</f>
        <v>26667745.300000001</v>
      </c>
      <c r="G51" s="882">
        <f>I51*$G$1</f>
        <v>266.67745300000001</v>
      </c>
      <c r="H51" s="882">
        <f>I51*$H$1</f>
        <v>37.6485816</v>
      </c>
      <c r="I51" s="883">
        <f>SUM(BOQ_G!F66:F72)</f>
        <v>313.73818</v>
      </c>
      <c r="J51" s="883">
        <f>I51*$I$1</f>
        <v>43.295868840000004</v>
      </c>
      <c r="K51" s="883">
        <f>I51+J51</f>
        <v>357.03404884000003</v>
      </c>
    </row>
    <row r="52" spans="2:11" ht="15" thickBot="1" x14ac:dyDescent="0.4">
      <c r="B52" s="880">
        <v>3</v>
      </c>
      <c r="C52" s="881" t="s">
        <v>914</v>
      </c>
      <c r="D52" s="882" t="s">
        <v>802</v>
      </c>
      <c r="E52" s="882">
        <v>1</v>
      </c>
      <c r="F52" s="882">
        <f>G52/E52*10^5</f>
        <v>209388485.32499996</v>
      </c>
      <c r="G52" s="882">
        <f>I52*$G$1</f>
        <v>2093.8848532499997</v>
      </c>
      <c r="H52" s="882">
        <f>I52*$H$1</f>
        <v>295.60727339999994</v>
      </c>
      <c r="I52" s="883">
        <f>SUM(BOQ_G!F74:F76)</f>
        <v>2463.3939449999998</v>
      </c>
      <c r="J52" s="883">
        <f>I52*$I$1</f>
        <v>339.94836441000001</v>
      </c>
      <c r="K52" s="883">
        <f>I52+J52</f>
        <v>2803.3423094099999</v>
      </c>
    </row>
    <row r="53" spans="2:11" ht="15" thickBot="1" x14ac:dyDescent="0.4">
      <c r="B53" s="880">
        <v>4</v>
      </c>
      <c r="C53" s="881" t="s">
        <v>1011</v>
      </c>
      <c r="D53" s="882" t="s">
        <v>802</v>
      </c>
      <c r="E53" s="882">
        <v>1</v>
      </c>
      <c r="F53" s="882">
        <f>G53/E53*10^5</f>
        <v>46327124.999999993</v>
      </c>
      <c r="G53" s="882">
        <f>I53*$G$1</f>
        <v>463.27124999999995</v>
      </c>
      <c r="H53" s="882">
        <f>I53*$H$1</f>
        <v>65.402999999999992</v>
      </c>
      <c r="I53" s="883">
        <f>SUM(BOQ_G!F78:F80)</f>
        <v>545.02499999999998</v>
      </c>
      <c r="J53" s="883">
        <f>I53*$I$1</f>
        <v>75.213450000000009</v>
      </c>
      <c r="K53" s="883">
        <f>I53+J53</f>
        <v>620.23844999999994</v>
      </c>
    </row>
    <row r="54" spans="2:11" ht="15" thickBot="1" x14ac:dyDescent="0.4">
      <c r="B54" s="880"/>
      <c r="C54" s="886" t="s">
        <v>1000</v>
      </c>
      <c r="D54" s="882"/>
      <c r="E54" s="882"/>
      <c r="F54" s="882"/>
      <c r="G54" s="887">
        <f>I54*$G$1</f>
        <v>3465.8410314499997</v>
      </c>
      <c r="H54" s="887">
        <f>I54*$H$1</f>
        <v>489.29520443999996</v>
      </c>
      <c r="I54" s="888">
        <f>SUM(I50:I53)</f>
        <v>4077.4600369999998</v>
      </c>
      <c r="J54" s="888">
        <f>SUM(J50:J53)</f>
        <v>562.68948510600001</v>
      </c>
      <c r="K54" s="888">
        <f>SUM(K50:K53)</f>
        <v>4640.1495221059995</v>
      </c>
    </row>
    <row r="55" spans="2:11" ht="15" thickBot="1" x14ac:dyDescent="0.4">
      <c r="B55" s="880"/>
      <c r="C55" s="881"/>
      <c r="D55" s="882"/>
      <c r="E55" s="882"/>
      <c r="F55" s="882"/>
      <c r="G55" s="882"/>
      <c r="H55" s="882"/>
      <c r="I55" s="883"/>
      <c r="J55" s="883"/>
      <c r="K55" s="883"/>
    </row>
    <row r="56" spans="2:11" ht="15" thickBot="1" x14ac:dyDescent="0.4">
      <c r="B56" s="889" t="s">
        <v>270</v>
      </c>
      <c r="C56" s="886" t="s">
        <v>1012</v>
      </c>
      <c r="D56" s="882"/>
      <c r="E56" s="884"/>
      <c r="F56" s="882"/>
      <c r="G56" s="882"/>
      <c r="H56" s="882"/>
      <c r="I56" s="883"/>
      <c r="J56" s="883"/>
      <c r="K56" s="883"/>
    </row>
    <row r="57" spans="2:11" ht="15" thickBot="1" x14ac:dyDescent="0.4">
      <c r="B57" s="880">
        <v>1</v>
      </c>
      <c r="C57" s="897" t="s">
        <v>586</v>
      </c>
      <c r="D57" s="882" t="s">
        <v>802</v>
      </c>
      <c r="E57" s="896">
        <v>1</v>
      </c>
      <c r="F57" s="882">
        <f t="shared" ref="F57:F79" si="12">G57/E57*10^5</f>
        <v>15643208.75</v>
      </c>
      <c r="G57" s="882">
        <f t="shared" ref="G57:G78" si="13">I57*$G$1</f>
        <v>156.43208749999999</v>
      </c>
      <c r="H57" s="882">
        <f t="shared" ref="H57:H78" si="14">I57*$H$1</f>
        <v>22.084529999999997</v>
      </c>
      <c r="I57" s="883">
        <f>SUM(BOQ_G!F83:F92)</f>
        <v>184.03774999999999</v>
      </c>
      <c r="J57" s="883">
        <f t="shared" ref="J57:J78" si="15">I57*$I$1</f>
        <v>25.397209499999999</v>
      </c>
      <c r="K57" s="883">
        <f t="shared" ref="K57:K78" si="16">I57+J57</f>
        <v>209.43495949999999</v>
      </c>
    </row>
    <row r="58" spans="2:11" ht="15" thickBot="1" x14ac:dyDescent="0.4">
      <c r="B58" s="880">
        <v>2</v>
      </c>
      <c r="C58" s="768" t="s">
        <v>663</v>
      </c>
      <c r="D58" s="882" t="s">
        <v>449</v>
      </c>
      <c r="E58" s="896">
        <f>SUM(BOQ_G!E94:E100)</f>
        <v>13120</v>
      </c>
      <c r="F58" s="882">
        <f t="shared" si="12"/>
        <v>120.41234756097563</v>
      </c>
      <c r="G58" s="882">
        <f t="shared" si="13"/>
        <v>15.798100000000002</v>
      </c>
      <c r="H58" s="882">
        <f t="shared" si="14"/>
        <v>2.2303200000000003</v>
      </c>
      <c r="I58" s="883">
        <f>SUM(BOQ_G!F94:F100)</f>
        <v>18.586000000000002</v>
      </c>
      <c r="J58" s="883">
        <f t="shared" si="15"/>
        <v>2.5648680000000006</v>
      </c>
      <c r="K58" s="883">
        <f t="shared" si="16"/>
        <v>21.150868000000003</v>
      </c>
    </row>
    <row r="59" spans="2:11" ht="15" thickBot="1" x14ac:dyDescent="0.4">
      <c r="B59" s="880">
        <v>3</v>
      </c>
      <c r="C59" s="768" t="s">
        <v>1013</v>
      </c>
      <c r="D59" s="882" t="s">
        <v>449</v>
      </c>
      <c r="E59" s="896">
        <f>SUM(BOQ_G!E102:E103)</f>
        <v>340</v>
      </c>
      <c r="F59" s="882">
        <f t="shared" si="12"/>
        <v>329.5</v>
      </c>
      <c r="G59" s="882">
        <f t="shared" si="13"/>
        <v>1.1203000000000001</v>
      </c>
      <c r="H59" s="882">
        <f t="shared" si="14"/>
        <v>0.15816</v>
      </c>
      <c r="I59" s="883">
        <f>SUM(BOQ_G!F102:F103)</f>
        <v>1.3180000000000001</v>
      </c>
      <c r="J59" s="883">
        <f t="shared" si="15"/>
        <v>0.18188400000000002</v>
      </c>
      <c r="K59" s="883">
        <f t="shared" si="16"/>
        <v>1.499884</v>
      </c>
    </row>
    <row r="60" spans="2:11" ht="15" thickBot="1" x14ac:dyDescent="0.4">
      <c r="B60" s="880">
        <v>4</v>
      </c>
      <c r="C60" s="768" t="s">
        <v>674</v>
      </c>
      <c r="D60" s="882" t="s">
        <v>802</v>
      </c>
      <c r="E60" s="884">
        <v>1</v>
      </c>
      <c r="F60" s="882">
        <f t="shared" si="12"/>
        <v>1189319.9999999998</v>
      </c>
      <c r="G60" s="882">
        <f t="shared" si="13"/>
        <v>11.893199999999998</v>
      </c>
      <c r="H60" s="882">
        <f t="shared" si="14"/>
        <v>1.6790399999999999</v>
      </c>
      <c r="I60" s="883">
        <f>SUM(BOQ_G!F105:F107)</f>
        <v>13.991999999999999</v>
      </c>
      <c r="J60" s="883">
        <f t="shared" si="15"/>
        <v>1.9308959999999999</v>
      </c>
      <c r="K60" s="883">
        <f t="shared" si="16"/>
        <v>15.922896</v>
      </c>
    </row>
    <row r="61" spans="2:11" ht="15" thickBot="1" x14ac:dyDescent="0.4">
      <c r="B61" s="880">
        <v>5</v>
      </c>
      <c r="C61" s="768" t="s">
        <v>679</v>
      </c>
      <c r="D61" s="882" t="s">
        <v>449</v>
      </c>
      <c r="E61" s="896">
        <f>SUM(BOQ_G!E109:E112)</f>
        <v>6227.2000000000007</v>
      </c>
      <c r="F61" s="882">
        <f t="shared" si="12"/>
        <v>18.906330292908528</v>
      </c>
      <c r="G61" s="882">
        <f t="shared" si="13"/>
        <v>1.177335</v>
      </c>
      <c r="H61" s="882">
        <f t="shared" si="14"/>
        <v>0.166212</v>
      </c>
      <c r="I61" s="883">
        <f>SUM(BOQ_G!F109:F112)</f>
        <v>1.3851</v>
      </c>
      <c r="J61" s="883">
        <f t="shared" si="15"/>
        <v>0.1911438</v>
      </c>
      <c r="K61" s="883">
        <f t="shared" si="16"/>
        <v>1.5762438000000001</v>
      </c>
    </row>
    <row r="62" spans="2:11" ht="15" thickBot="1" x14ac:dyDescent="0.4">
      <c r="B62" s="880"/>
      <c r="C62" s="769" t="s">
        <v>1000</v>
      </c>
      <c r="D62" s="882"/>
      <c r="E62" s="896"/>
      <c r="F62" s="882"/>
      <c r="G62" s="887">
        <f t="shared" si="13"/>
        <v>186.42102249999999</v>
      </c>
      <c r="H62" s="887">
        <f t="shared" si="14"/>
        <v>26.318261999999997</v>
      </c>
      <c r="I62" s="888">
        <f>SUM(I57:I61)</f>
        <v>219.31885</v>
      </c>
      <c r="J62" s="888">
        <f>SUM(J57:J61)</f>
        <v>30.266001299999999</v>
      </c>
      <c r="K62" s="888">
        <f>SUM(K57:K61)</f>
        <v>249.5848513</v>
      </c>
    </row>
    <row r="63" spans="2:11" ht="15" thickBot="1" x14ac:dyDescent="0.4">
      <c r="B63" s="880"/>
      <c r="C63" s="769"/>
      <c r="D63" s="882"/>
      <c r="E63" s="896"/>
      <c r="F63" s="882"/>
      <c r="G63" s="882"/>
      <c r="H63" s="882"/>
      <c r="I63" s="888"/>
      <c r="J63" s="888"/>
      <c r="K63" s="888"/>
    </row>
    <row r="64" spans="2:11" ht="15" thickBot="1" x14ac:dyDescent="0.4">
      <c r="B64" s="889" t="s">
        <v>556</v>
      </c>
      <c r="C64" s="769" t="s">
        <v>926</v>
      </c>
      <c r="D64" s="882"/>
      <c r="E64" s="896"/>
      <c r="F64" s="882"/>
      <c r="G64" s="882"/>
      <c r="H64" s="882"/>
      <c r="I64" s="883"/>
      <c r="J64" s="883"/>
      <c r="K64" s="883"/>
    </row>
    <row r="65" spans="2:11" ht="15" thickBot="1" x14ac:dyDescent="0.4">
      <c r="B65" s="880">
        <v>1</v>
      </c>
      <c r="C65" s="768" t="s">
        <v>1014</v>
      </c>
      <c r="D65" s="882" t="s">
        <v>28</v>
      </c>
      <c r="E65" s="896">
        <f>SUM(BOQ_G!E114:E116)</f>
        <v>46</v>
      </c>
      <c r="F65" s="882">
        <f t="shared" si="12"/>
        <v>4697391.0326086953</v>
      </c>
      <c r="G65" s="882">
        <f t="shared" si="13"/>
        <v>2160.7998749999997</v>
      </c>
      <c r="H65" s="882">
        <f t="shared" si="14"/>
        <v>305.05409999999995</v>
      </c>
      <c r="I65" s="883">
        <f>SUM(BOQ_G!F114:F116)</f>
        <v>2542.1174999999998</v>
      </c>
      <c r="J65" s="883">
        <f t="shared" si="15"/>
        <v>350.81221499999998</v>
      </c>
      <c r="K65" s="883">
        <f t="shared" si="16"/>
        <v>2892.9297149999998</v>
      </c>
    </row>
    <row r="66" spans="2:11" ht="15" thickBot="1" x14ac:dyDescent="0.4">
      <c r="B66" s="880">
        <v>2</v>
      </c>
      <c r="C66" s="768" t="s">
        <v>1015</v>
      </c>
      <c r="D66" s="882" t="s">
        <v>28</v>
      </c>
      <c r="E66" s="896">
        <f>SUM(BOQ_G!E118:E121)</f>
        <v>30</v>
      </c>
      <c r="F66" s="882">
        <f t="shared" si="12"/>
        <v>1452656.7999999998</v>
      </c>
      <c r="G66" s="882">
        <f t="shared" si="13"/>
        <v>435.79703999999998</v>
      </c>
      <c r="H66" s="882">
        <f t="shared" si="14"/>
        <v>61.524287999999999</v>
      </c>
      <c r="I66" s="883">
        <f>SUM(BOQ_G!F118:F121)</f>
        <v>512.70240000000001</v>
      </c>
      <c r="J66" s="883">
        <f t="shared" si="15"/>
        <v>70.752931200000006</v>
      </c>
      <c r="K66" s="883">
        <f t="shared" si="16"/>
        <v>583.45533120000005</v>
      </c>
    </row>
    <row r="67" spans="2:11" ht="15" thickBot="1" x14ac:dyDescent="0.4">
      <c r="B67" s="880">
        <v>3</v>
      </c>
      <c r="C67" s="768" t="s">
        <v>588</v>
      </c>
      <c r="D67" s="882" t="s">
        <v>802</v>
      </c>
      <c r="E67" s="884">
        <v>1</v>
      </c>
      <c r="F67" s="882">
        <f t="shared" si="12"/>
        <v>62263179.999999978</v>
      </c>
      <c r="G67" s="882">
        <f t="shared" si="13"/>
        <v>622.63179999999977</v>
      </c>
      <c r="H67" s="882">
        <f t="shared" si="14"/>
        <v>87.900959999999969</v>
      </c>
      <c r="I67" s="883">
        <f>SUM(BOQ_G!F123:F131)</f>
        <v>732.50799999999981</v>
      </c>
      <c r="J67" s="883">
        <f t="shared" si="15"/>
        <v>101.08610399999998</v>
      </c>
      <c r="K67" s="883">
        <f t="shared" si="16"/>
        <v>833.59410399999979</v>
      </c>
    </row>
    <row r="68" spans="2:11" ht="15" thickBot="1" x14ac:dyDescent="0.4">
      <c r="B68" s="880">
        <v>4</v>
      </c>
      <c r="C68" s="768" t="s">
        <v>590</v>
      </c>
      <c r="D68" s="882" t="s">
        <v>28</v>
      </c>
      <c r="E68" s="896">
        <f>SUM(BOQ_G!E135:E154)</f>
        <v>149</v>
      </c>
      <c r="F68" s="882">
        <f t="shared" si="12"/>
        <v>77070.469798657708</v>
      </c>
      <c r="G68" s="882">
        <f t="shared" si="13"/>
        <v>114.83499999999999</v>
      </c>
      <c r="H68" s="882">
        <f t="shared" si="14"/>
        <v>16.212</v>
      </c>
      <c r="I68" s="883">
        <f>SUM(BOQ_G!F135:F154)</f>
        <v>135.1</v>
      </c>
      <c r="J68" s="883">
        <f t="shared" si="15"/>
        <v>18.643800000000002</v>
      </c>
      <c r="K68" s="883">
        <f t="shared" si="16"/>
        <v>153.74379999999999</v>
      </c>
    </row>
    <row r="69" spans="2:11" ht="15" thickBot="1" x14ac:dyDescent="0.4">
      <c r="B69" s="880"/>
      <c r="C69" s="769" t="s">
        <v>1000</v>
      </c>
      <c r="D69" s="882"/>
      <c r="E69" s="896"/>
      <c r="F69" s="882"/>
      <c r="G69" s="887">
        <f t="shared" si="13"/>
        <v>3334.0637149999998</v>
      </c>
      <c r="H69" s="887">
        <f t="shared" si="14"/>
        <v>470.69134799999995</v>
      </c>
      <c r="I69" s="888">
        <f>SUM(I65:I68)</f>
        <v>3922.4278999999997</v>
      </c>
      <c r="J69" s="888">
        <f>SUM(J65:J68)</f>
        <v>541.29505019999999</v>
      </c>
      <c r="K69" s="888">
        <f>SUM(K65:K68)</f>
        <v>4463.7229502</v>
      </c>
    </row>
    <row r="70" spans="2:11" ht="15" thickBot="1" x14ac:dyDescent="0.4">
      <c r="B70" s="880"/>
      <c r="C70" s="769"/>
      <c r="D70" s="882"/>
      <c r="E70" s="896"/>
      <c r="F70" s="882"/>
      <c r="G70" s="882"/>
      <c r="H70" s="882"/>
      <c r="I70" s="888"/>
      <c r="J70" s="888"/>
      <c r="K70" s="888"/>
    </row>
    <row r="71" spans="2:11" ht="15" thickBot="1" x14ac:dyDescent="0.4">
      <c r="B71" s="889" t="s">
        <v>595</v>
      </c>
      <c r="C71" s="769" t="s">
        <v>924</v>
      </c>
      <c r="D71" s="882"/>
      <c r="E71" s="896"/>
      <c r="F71" s="882"/>
      <c r="G71" s="882"/>
      <c r="H71" s="882"/>
      <c r="I71" s="883"/>
      <c r="J71" s="883"/>
      <c r="K71" s="883"/>
    </row>
    <row r="72" spans="2:11" ht="15" thickBot="1" x14ac:dyDescent="0.4">
      <c r="B72" s="880">
        <v>5</v>
      </c>
      <c r="C72" s="768" t="s">
        <v>592</v>
      </c>
      <c r="D72" s="882" t="s">
        <v>802</v>
      </c>
      <c r="E72" s="884">
        <v>1</v>
      </c>
      <c r="F72" s="882">
        <f t="shared" si="12"/>
        <v>37267018.520000011</v>
      </c>
      <c r="G72" s="882">
        <f t="shared" si="13"/>
        <v>372.67018520000011</v>
      </c>
      <c r="H72" s="882">
        <f t="shared" si="14"/>
        <v>52.612261440000012</v>
      </c>
      <c r="I72" s="883">
        <f>SUM(BOQ_G!F156:F164)</f>
        <v>438.43551200000013</v>
      </c>
      <c r="J72" s="883">
        <f t="shared" si="15"/>
        <v>60.50410065600002</v>
      </c>
      <c r="K72" s="883">
        <f t="shared" si="16"/>
        <v>498.93961265600012</v>
      </c>
    </row>
    <row r="73" spans="2:11" ht="15" thickBot="1" x14ac:dyDescent="0.4">
      <c r="B73" s="880">
        <v>6</v>
      </c>
      <c r="C73" s="768" t="s">
        <v>880</v>
      </c>
      <c r="D73" s="882" t="s">
        <v>802</v>
      </c>
      <c r="E73" s="884">
        <v>1</v>
      </c>
      <c r="F73" s="882">
        <f t="shared" si="12"/>
        <v>43861359.999999993</v>
      </c>
      <c r="G73" s="882">
        <f t="shared" si="13"/>
        <v>438.61359999999996</v>
      </c>
      <c r="H73" s="882">
        <f t="shared" si="14"/>
        <v>61.921919999999993</v>
      </c>
      <c r="I73" s="883">
        <f>SUM(BOQ_G!F166:F174)</f>
        <v>516.01599999999996</v>
      </c>
      <c r="J73" s="883">
        <f t="shared" si="15"/>
        <v>71.210207999999994</v>
      </c>
      <c r="K73" s="883">
        <f t="shared" si="16"/>
        <v>587.22620799999993</v>
      </c>
    </row>
    <row r="74" spans="2:11" ht="15" thickBot="1" x14ac:dyDescent="0.4">
      <c r="B74" s="880">
        <v>7</v>
      </c>
      <c r="C74" s="768" t="s">
        <v>951</v>
      </c>
      <c r="D74" s="882" t="s">
        <v>359</v>
      </c>
      <c r="E74" s="896">
        <f>SUM(BOQ_G!E176:E177)</f>
        <v>2400</v>
      </c>
      <c r="F74" s="882">
        <f t="shared" si="12"/>
        <v>2833.333333333333</v>
      </c>
      <c r="G74" s="882">
        <f t="shared" si="13"/>
        <v>68</v>
      </c>
      <c r="H74" s="882">
        <f t="shared" si="14"/>
        <v>9.6</v>
      </c>
      <c r="I74" s="883">
        <f>SUM(BOQ_G!F176:F177)</f>
        <v>80</v>
      </c>
      <c r="J74" s="883">
        <f t="shared" si="15"/>
        <v>11.040000000000001</v>
      </c>
      <c r="K74" s="883">
        <f t="shared" si="16"/>
        <v>91.04</v>
      </c>
    </row>
    <row r="75" spans="2:11" ht="15" thickBot="1" x14ac:dyDescent="0.4">
      <c r="B75" s="880"/>
      <c r="C75" s="769" t="s">
        <v>1000</v>
      </c>
      <c r="D75" s="882"/>
      <c r="E75" s="896"/>
      <c r="F75" s="882"/>
      <c r="G75" s="887">
        <f t="shared" si="13"/>
        <v>879.28378520000001</v>
      </c>
      <c r="H75" s="887">
        <f t="shared" si="14"/>
        <v>124.13418144000001</v>
      </c>
      <c r="I75" s="888">
        <f>SUM(I72:I74)</f>
        <v>1034.4515120000001</v>
      </c>
      <c r="J75" s="888">
        <f>SUM(J72:J74)</f>
        <v>142.75430865600001</v>
      </c>
      <c r="K75" s="888">
        <f>SUM(K72:K74)</f>
        <v>1177.205820656</v>
      </c>
    </row>
    <row r="76" spans="2:11" ht="15" thickBot="1" x14ac:dyDescent="0.4">
      <c r="B76" s="880"/>
      <c r="C76" s="769"/>
      <c r="D76" s="882"/>
      <c r="E76" s="896"/>
      <c r="F76" s="882"/>
      <c r="G76" s="882"/>
      <c r="H76" s="882"/>
      <c r="I76" s="888"/>
      <c r="J76" s="888"/>
      <c r="K76" s="888"/>
    </row>
    <row r="77" spans="2:11" ht="15" thickBot="1" x14ac:dyDescent="0.4">
      <c r="B77" s="889" t="s">
        <v>576</v>
      </c>
      <c r="C77" s="769" t="s">
        <v>1029</v>
      </c>
      <c r="D77" s="882"/>
      <c r="E77" s="896"/>
      <c r="F77" s="882"/>
      <c r="G77" s="882"/>
      <c r="H77" s="882"/>
      <c r="I77" s="883"/>
      <c r="J77" s="883"/>
      <c r="K77" s="883"/>
    </row>
    <row r="78" spans="2:11" ht="15" thickBot="1" x14ac:dyDescent="0.4">
      <c r="B78" s="880">
        <v>1</v>
      </c>
      <c r="C78" s="768" t="s">
        <v>585</v>
      </c>
      <c r="D78" s="882" t="s">
        <v>802</v>
      </c>
      <c r="E78" s="884">
        <v>1</v>
      </c>
      <c r="F78" s="882">
        <f t="shared" si="12"/>
        <v>37400000</v>
      </c>
      <c r="G78" s="882">
        <f t="shared" si="13"/>
        <v>374</v>
      </c>
      <c r="H78" s="882">
        <f t="shared" si="14"/>
        <v>52.8</v>
      </c>
      <c r="I78" s="883">
        <f>SUM(BOQ_G!F179:F188)</f>
        <v>440</v>
      </c>
      <c r="J78" s="883">
        <f t="shared" si="15"/>
        <v>60.720000000000006</v>
      </c>
      <c r="K78" s="883">
        <f t="shared" si="16"/>
        <v>500.72</v>
      </c>
    </row>
    <row r="79" spans="2:11" ht="15" thickBot="1" x14ac:dyDescent="0.4">
      <c r="B79" s="880">
        <v>2</v>
      </c>
      <c r="C79" s="768" t="s">
        <v>718</v>
      </c>
      <c r="D79" s="882" t="s">
        <v>802</v>
      </c>
      <c r="E79" s="884">
        <v>1</v>
      </c>
      <c r="F79" s="882">
        <f t="shared" si="12"/>
        <v>0</v>
      </c>
      <c r="G79" s="882">
        <f>I79*$G$1</f>
        <v>0</v>
      </c>
      <c r="H79" s="882">
        <f>I79*$H$1</f>
        <v>0</v>
      </c>
      <c r="I79" s="883">
        <f>SUM(BOQ_G!F190:F193)</f>
        <v>0</v>
      </c>
      <c r="J79" s="883">
        <f>I79*$I$1</f>
        <v>0</v>
      </c>
      <c r="K79" s="883">
        <f>I79+J79</f>
        <v>0</v>
      </c>
    </row>
    <row r="80" spans="2:11" ht="15" thickBot="1" x14ac:dyDescent="0.4">
      <c r="B80" s="880"/>
      <c r="C80" s="769" t="s">
        <v>1000</v>
      </c>
      <c r="D80" s="882"/>
      <c r="E80" s="884"/>
      <c r="F80" s="882"/>
      <c r="G80" s="887">
        <f>I80*$G$1</f>
        <v>374</v>
      </c>
      <c r="H80" s="887">
        <f>I80*$H$1</f>
        <v>52.8</v>
      </c>
      <c r="I80" s="888">
        <f>SUM(I78:I79)</f>
        <v>440</v>
      </c>
      <c r="J80" s="888">
        <f>SUM(J78:J79)</f>
        <v>60.720000000000006</v>
      </c>
      <c r="K80" s="888">
        <f>SUM(K78:K79)</f>
        <v>500.72</v>
      </c>
    </row>
    <row r="81" spans="2:11" ht="15" thickBot="1" x14ac:dyDescent="0.4">
      <c r="B81" s="880"/>
      <c r="C81" s="769"/>
      <c r="D81" s="882"/>
      <c r="E81" s="884"/>
      <c r="F81" s="882"/>
      <c r="G81" s="882"/>
      <c r="H81" s="882"/>
      <c r="I81" s="883"/>
      <c r="J81" s="883"/>
      <c r="K81" s="883"/>
    </row>
    <row r="82" spans="2:11" ht="15" thickBot="1" x14ac:dyDescent="0.4">
      <c r="B82" s="880"/>
      <c r="C82" s="769" t="s">
        <v>811</v>
      </c>
      <c r="D82" s="882"/>
      <c r="E82" s="884"/>
      <c r="F82" s="882"/>
      <c r="G82" s="887">
        <f>I82*$G$1</f>
        <v>8239.6095541499981</v>
      </c>
      <c r="H82" s="887">
        <f>I82*$H$1</f>
        <v>1163.2389958799997</v>
      </c>
      <c r="I82" s="888">
        <f>I80+I75+I69+I62+I54</f>
        <v>9693.6582989999988</v>
      </c>
      <c r="J82" s="888">
        <f>J80+J75+J69+J62+J54</f>
        <v>1337.7248452620001</v>
      </c>
      <c r="K82" s="888">
        <f>K80+K75+K69+K62+K54</f>
        <v>11031.383144261999</v>
      </c>
    </row>
    <row r="83" spans="2:11" ht="15" thickBot="1" x14ac:dyDescent="0.4">
      <c r="B83" s="880"/>
      <c r="C83" s="768"/>
      <c r="D83" s="882"/>
      <c r="E83" s="884"/>
      <c r="F83" s="882"/>
      <c r="G83" s="882"/>
      <c r="H83" s="882"/>
      <c r="I83" s="883"/>
      <c r="J83" s="883"/>
      <c r="K83" s="883"/>
    </row>
    <row r="84" spans="2:11" x14ac:dyDescent="0.35">
      <c r="B84" s="898"/>
      <c r="C84" s="899"/>
      <c r="D84" s="900"/>
      <c r="E84" s="898"/>
      <c r="F84" s="900"/>
      <c r="G84" s="900"/>
      <c r="H84" s="900"/>
      <c r="I84" s="893">
        <f>I82+I45+I17+I9</f>
        <v>84002.501768798596</v>
      </c>
      <c r="J84" s="893">
        <f>J82+J45+J17+J9</f>
        <v>11592.345244094209</v>
      </c>
      <c r="K84" s="893">
        <f>K82+K45+K17+K9</f>
        <v>95594.847012892802</v>
      </c>
    </row>
    <row r="85" spans="2:11" ht="15" thickBot="1" x14ac:dyDescent="0.4">
      <c r="B85" s="758" t="s">
        <v>1018</v>
      </c>
      <c r="G85" s="905"/>
    </row>
    <row r="86" spans="2:11" ht="28.5" thickBot="1" x14ac:dyDescent="0.4">
      <c r="B86" s="774" t="s">
        <v>993</v>
      </c>
      <c r="C86" s="766" t="s">
        <v>994</v>
      </c>
      <c r="D86" s="775" t="s">
        <v>72</v>
      </c>
      <c r="E86" s="775" t="s">
        <v>290</v>
      </c>
      <c r="F86" s="767" t="s">
        <v>996</v>
      </c>
      <c r="G86" s="774" t="s">
        <v>1006</v>
      </c>
      <c r="H86" s="776" t="s">
        <v>1028</v>
      </c>
      <c r="I86" s="767" t="s">
        <v>1024</v>
      </c>
      <c r="J86" s="767" t="s">
        <v>1023</v>
      </c>
      <c r="K86" s="767" t="s">
        <v>1016</v>
      </c>
    </row>
    <row r="87" spans="2:11" ht="15" thickBot="1" x14ac:dyDescent="0.4">
      <c r="B87" s="889" t="s">
        <v>268</v>
      </c>
      <c r="C87" s="886" t="s">
        <v>433</v>
      </c>
      <c r="D87" s="884"/>
      <c r="E87" s="884"/>
      <c r="F87" s="884"/>
      <c r="G87" s="884"/>
      <c r="H87" s="884"/>
      <c r="I87" s="884"/>
      <c r="J87" s="884"/>
      <c r="K87" s="884"/>
    </row>
    <row r="88" spans="2:11" ht="15" thickBot="1" x14ac:dyDescent="0.4">
      <c r="B88" s="880">
        <v>1</v>
      </c>
      <c r="C88" s="881" t="s">
        <v>718</v>
      </c>
      <c r="D88" s="884" t="s">
        <v>1017</v>
      </c>
      <c r="E88" s="884">
        <f>BOQ_G!E196</f>
        <v>15582</v>
      </c>
      <c r="F88" s="882">
        <f>G88/E88*10^5</f>
        <v>574.6</v>
      </c>
      <c r="G88" s="882">
        <f>I88*$G$1</f>
        <v>89.534171999999998</v>
      </c>
      <c r="H88" s="882">
        <f>I88*$H$1</f>
        <v>12.6401184</v>
      </c>
      <c r="I88" s="882">
        <f>BOQ_G!F196</f>
        <v>105.33432000000001</v>
      </c>
      <c r="J88" s="883">
        <f>I88*$I$1</f>
        <v>14.536136160000002</v>
      </c>
      <c r="K88" s="883">
        <f>I88+J88</f>
        <v>119.87045616</v>
      </c>
    </row>
    <row r="89" spans="2:11" ht="15" thickBot="1" x14ac:dyDescent="0.4">
      <c r="B89" s="880">
        <v>2</v>
      </c>
      <c r="C89" s="881" t="s">
        <v>598</v>
      </c>
      <c r="D89" s="884" t="s">
        <v>1017</v>
      </c>
      <c r="E89" s="884">
        <f>BOQ_G!E197</f>
        <v>20000</v>
      </c>
      <c r="F89" s="882">
        <f>G89/E89*10^5</f>
        <v>574.59999999999991</v>
      </c>
      <c r="G89" s="882">
        <f>I89*$G$1</f>
        <v>114.91999999999999</v>
      </c>
      <c r="H89" s="882">
        <f>I89*$H$1</f>
        <v>16.223999999999997</v>
      </c>
      <c r="I89" s="882">
        <f>BOQ_G!F197</f>
        <v>135.19999999999999</v>
      </c>
      <c r="J89" s="883">
        <f>I89*$I$1</f>
        <v>18.657599999999999</v>
      </c>
      <c r="K89" s="883">
        <f>I89+J89</f>
        <v>153.85759999999999</v>
      </c>
    </row>
    <row r="90" spans="2:11" ht="15" thickBot="1" x14ac:dyDescent="0.4">
      <c r="B90" s="880">
        <v>3</v>
      </c>
      <c r="C90" s="881" t="s">
        <v>600</v>
      </c>
      <c r="D90" s="884" t="s">
        <v>1017</v>
      </c>
      <c r="E90" s="884">
        <f>BOQ_G!E199</f>
        <v>10000</v>
      </c>
      <c r="F90" s="882">
        <f>G90/E90*10^5</f>
        <v>574.59999999999991</v>
      </c>
      <c r="G90" s="882">
        <f>I90*$G$1</f>
        <v>57.459999999999994</v>
      </c>
      <c r="H90" s="882">
        <f>I90*$H$1</f>
        <v>8.1119999999999983</v>
      </c>
      <c r="I90" s="882">
        <f>BOQ_G!F199</f>
        <v>67.599999999999994</v>
      </c>
      <c r="J90" s="883">
        <f>I90*$I$1</f>
        <v>9.3287999999999993</v>
      </c>
      <c r="K90" s="883">
        <f>I90+J90</f>
        <v>76.928799999999995</v>
      </c>
    </row>
    <row r="91" spans="2:11" ht="15" thickBot="1" x14ac:dyDescent="0.4">
      <c r="B91" s="880"/>
      <c r="C91" s="886"/>
      <c r="D91" s="901"/>
      <c r="E91" s="901"/>
      <c r="F91" s="901"/>
      <c r="G91" s="901"/>
      <c r="H91" s="901"/>
      <c r="I91" s="901"/>
      <c r="J91" s="901"/>
      <c r="K91" s="901"/>
    </row>
    <row r="92" spans="2:11" ht="15" thickBot="1" x14ac:dyDescent="0.4">
      <c r="B92" s="880"/>
      <c r="C92" s="886" t="s">
        <v>811</v>
      </c>
      <c r="D92" s="901"/>
      <c r="E92" s="901"/>
      <c r="F92" s="901"/>
      <c r="G92" s="887">
        <f>I92*$G$1</f>
        <v>261.91417200000001</v>
      </c>
      <c r="H92" s="887">
        <f>I92*$H$1</f>
        <v>36.976118399999997</v>
      </c>
      <c r="I92" s="887">
        <f>SUM(I88:I90)</f>
        <v>308.13432</v>
      </c>
      <c r="J92" s="1231">
        <f>SUM(J88:J90)</f>
        <v>42.522536160000001</v>
      </c>
      <c r="K92" s="1231">
        <f>SUM(K88:K90)</f>
        <v>350.65685615999996</v>
      </c>
    </row>
    <row r="93" spans="2:11" ht="15" thickBot="1" x14ac:dyDescent="0.4">
      <c r="B93" s="880"/>
      <c r="C93" s="886"/>
      <c r="D93" s="901"/>
      <c r="E93" s="901"/>
      <c r="F93" s="901"/>
      <c r="G93" s="901"/>
      <c r="H93" s="901"/>
      <c r="I93" s="901"/>
      <c r="J93" s="901"/>
      <c r="K93" s="901"/>
    </row>
    <row r="95" spans="2:11" ht="15" thickBot="1" x14ac:dyDescent="0.4">
      <c r="B95" s="758" t="s">
        <v>1021</v>
      </c>
    </row>
    <row r="96" spans="2:11" ht="28.5" thickBot="1" x14ac:dyDescent="0.4">
      <c r="B96" s="774" t="s">
        <v>993</v>
      </c>
      <c r="C96" s="766" t="s">
        <v>994</v>
      </c>
      <c r="D96" s="775" t="s">
        <v>72</v>
      </c>
      <c r="E96" s="775" t="s">
        <v>290</v>
      </c>
      <c r="F96" s="767" t="s">
        <v>996</v>
      </c>
      <c r="G96" s="774" t="s">
        <v>1006</v>
      </c>
      <c r="H96" s="776" t="s">
        <v>1028</v>
      </c>
      <c r="I96" s="767" t="s">
        <v>1024</v>
      </c>
      <c r="J96" s="767" t="s">
        <v>1023</v>
      </c>
      <c r="K96" s="767" t="s">
        <v>1016</v>
      </c>
    </row>
    <row r="97" spans="2:11" ht="15" thickBot="1" x14ac:dyDescent="0.4">
      <c r="B97" s="889" t="s">
        <v>268</v>
      </c>
      <c r="C97" s="886" t="s">
        <v>1022</v>
      </c>
      <c r="D97" s="884"/>
      <c r="E97" s="884"/>
      <c r="F97" s="884"/>
      <c r="G97" s="884"/>
      <c r="H97" s="884"/>
      <c r="I97" s="884"/>
      <c r="J97" s="884"/>
      <c r="K97" s="884"/>
    </row>
    <row r="98" spans="2:11" ht="15" thickBot="1" x14ac:dyDescent="0.4">
      <c r="B98" s="880">
        <v>1</v>
      </c>
      <c r="C98" s="881" t="s">
        <v>934</v>
      </c>
      <c r="D98" s="884" t="s">
        <v>28</v>
      </c>
      <c r="E98" s="896">
        <f>BOQ_G!E202</f>
        <v>1</v>
      </c>
      <c r="F98" s="882">
        <f>G98/E98*10^5</f>
        <v>1700000</v>
      </c>
      <c r="G98" s="882">
        <f>I98*$G$1</f>
        <v>17</v>
      </c>
      <c r="H98" s="882">
        <f>I98*$H$1</f>
        <v>2.4</v>
      </c>
      <c r="I98" s="896">
        <f>BOQ_G!F202</f>
        <v>20</v>
      </c>
      <c r="J98" s="883">
        <f>I98*$I$1</f>
        <v>2.7600000000000002</v>
      </c>
      <c r="K98" s="883">
        <f>I98+J98</f>
        <v>22.76</v>
      </c>
    </row>
    <row r="99" spans="2:11" ht="15" thickBot="1" x14ac:dyDescent="0.4">
      <c r="B99" s="880">
        <v>2</v>
      </c>
      <c r="C99" s="881" t="s">
        <v>1242</v>
      </c>
      <c r="D99" s="884" t="s">
        <v>28</v>
      </c>
      <c r="E99" s="896">
        <f>BOQ_G!E203</f>
        <v>4</v>
      </c>
      <c r="F99" s="882">
        <f>G99/E99*10^5</f>
        <v>4250000</v>
      </c>
      <c r="G99" s="882">
        <f>I99*$G$1</f>
        <v>170</v>
      </c>
      <c r="H99" s="882">
        <f>I99*$H$1</f>
        <v>24</v>
      </c>
      <c r="I99" s="896">
        <f>BOQ_G!F203</f>
        <v>200</v>
      </c>
      <c r="J99" s="883">
        <f>I99*$I$1</f>
        <v>27.6</v>
      </c>
      <c r="K99" s="883">
        <f>I99+J99</f>
        <v>227.6</v>
      </c>
    </row>
    <row r="100" spans="2:11" ht="15" thickBot="1" x14ac:dyDescent="0.4">
      <c r="B100" s="880">
        <v>3</v>
      </c>
      <c r="C100" s="881" t="s">
        <v>935</v>
      </c>
      <c r="D100" s="884" t="s">
        <v>28</v>
      </c>
      <c r="E100" s="896">
        <f>BOQ_G!E204</f>
        <v>6</v>
      </c>
      <c r="F100" s="882">
        <f>G100/E100*10^5</f>
        <v>850000</v>
      </c>
      <c r="G100" s="882">
        <f>I100*$G$1</f>
        <v>51</v>
      </c>
      <c r="H100" s="882">
        <f>I100*$H$1</f>
        <v>7.1999999999999993</v>
      </c>
      <c r="I100" s="896">
        <f>BOQ_G!F204</f>
        <v>60</v>
      </c>
      <c r="J100" s="883">
        <f>I100*$I$1</f>
        <v>8.2800000000000011</v>
      </c>
      <c r="K100" s="883">
        <f>I100+J100</f>
        <v>68.28</v>
      </c>
    </row>
    <row r="101" spans="2:11" ht="15" thickBot="1" x14ac:dyDescent="0.4">
      <c r="B101" s="880"/>
      <c r="C101" s="886"/>
      <c r="D101" s="901"/>
      <c r="E101" s="901"/>
      <c r="F101" s="901"/>
      <c r="G101" s="901"/>
      <c r="H101" s="901"/>
      <c r="I101" s="901"/>
      <c r="J101" s="901"/>
      <c r="K101" s="901"/>
    </row>
    <row r="102" spans="2:11" ht="15" thickBot="1" x14ac:dyDescent="0.4">
      <c r="B102" s="880"/>
      <c r="C102" s="886" t="s">
        <v>811</v>
      </c>
      <c r="D102" s="901"/>
      <c r="E102" s="901"/>
      <c r="F102" s="901"/>
      <c r="G102" s="887">
        <f>I102*$G$1</f>
        <v>238</v>
      </c>
      <c r="H102" s="887">
        <f>I102*$H$1</f>
        <v>33.6</v>
      </c>
      <c r="I102" s="901">
        <f>SUM(I97:I100)</f>
        <v>280</v>
      </c>
      <c r="J102" s="901">
        <f>SUM(J97:J100)</f>
        <v>38.64</v>
      </c>
      <c r="K102" s="901">
        <f>SUM(K97:K100)</f>
        <v>318.64</v>
      </c>
    </row>
    <row r="103" spans="2:11" ht="15" thickBot="1" x14ac:dyDescent="0.4">
      <c r="B103" s="880"/>
      <c r="C103" s="886"/>
      <c r="D103" s="901"/>
      <c r="E103" s="901"/>
      <c r="F103" s="901"/>
      <c r="G103" s="901"/>
      <c r="H103" s="901"/>
      <c r="I103" s="901"/>
      <c r="J103" s="901"/>
      <c r="K103" s="901"/>
    </row>
    <row r="105" spans="2:11" ht="15" thickBot="1" x14ac:dyDescent="0.4">
      <c r="B105" s="758" t="s">
        <v>1030</v>
      </c>
    </row>
    <row r="106" spans="2:11" ht="28.5" thickBot="1" x14ac:dyDescent="0.4">
      <c r="B106" s="774" t="s">
        <v>993</v>
      </c>
      <c r="C106" s="766" t="s">
        <v>994</v>
      </c>
      <c r="D106" s="775" t="s">
        <v>72</v>
      </c>
      <c r="E106" s="775" t="s">
        <v>290</v>
      </c>
      <c r="F106" s="767" t="s">
        <v>996</v>
      </c>
      <c r="G106" s="774" t="s">
        <v>1006</v>
      </c>
      <c r="H106" s="776" t="s">
        <v>1028</v>
      </c>
      <c r="I106" s="767" t="s">
        <v>1024</v>
      </c>
      <c r="J106" s="767" t="s">
        <v>1023</v>
      </c>
      <c r="K106" s="767" t="s">
        <v>1016</v>
      </c>
    </row>
    <row r="107" spans="2:11" ht="15" thickBot="1" x14ac:dyDescent="0.4">
      <c r="B107" s="889" t="s">
        <v>268</v>
      </c>
      <c r="C107" s="886" t="s">
        <v>596</v>
      </c>
      <c r="D107" s="884"/>
      <c r="E107" s="884"/>
      <c r="F107" s="884"/>
      <c r="G107" s="884"/>
      <c r="H107" s="884"/>
      <c r="I107" s="884"/>
      <c r="J107" s="884"/>
      <c r="K107" s="884"/>
    </row>
    <row r="108" spans="2:11" ht="15" thickBot="1" x14ac:dyDescent="0.4">
      <c r="B108" s="880">
        <v>1</v>
      </c>
      <c r="C108" s="881" t="s">
        <v>557</v>
      </c>
      <c r="D108" s="884" t="s">
        <v>28</v>
      </c>
      <c r="E108" s="896">
        <f>BOQ_G!E206</f>
        <v>2000</v>
      </c>
      <c r="F108" s="882">
        <f>G108/E108*10^5</f>
        <v>2550</v>
      </c>
      <c r="G108" s="882">
        <f>I108*$G$1</f>
        <v>51</v>
      </c>
      <c r="H108" s="882">
        <f>I108*$H$1</f>
        <v>7.1999999999999993</v>
      </c>
      <c r="I108" s="896">
        <f>BOQ_G!F206</f>
        <v>60</v>
      </c>
      <c r="J108" s="883">
        <f>I108*$I$1</f>
        <v>8.2800000000000011</v>
      </c>
      <c r="K108" s="883">
        <f>I108+J108</f>
        <v>68.28</v>
      </c>
    </row>
    <row r="109" spans="2:11" ht="15" thickBot="1" x14ac:dyDescent="0.4">
      <c r="B109" s="880">
        <v>2</v>
      </c>
      <c r="C109" s="881" t="s">
        <v>593</v>
      </c>
      <c r="D109" s="884" t="s">
        <v>28</v>
      </c>
      <c r="E109" s="896">
        <f>BOQ_G!E209</f>
        <v>1</v>
      </c>
      <c r="F109" s="882">
        <f>G109/E109*10^5</f>
        <v>425000</v>
      </c>
      <c r="G109" s="882">
        <f>I109*$G$1</f>
        <v>4.25</v>
      </c>
      <c r="H109" s="882">
        <f>I109*$H$1</f>
        <v>0.6</v>
      </c>
      <c r="I109" s="896">
        <f>BOQ_G!F209</f>
        <v>5</v>
      </c>
      <c r="J109" s="883">
        <f>I109*$I$1</f>
        <v>0.69000000000000006</v>
      </c>
      <c r="K109" s="883">
        <f>I109+J109</f>
        <v>5.69</v>
      </c>
    </row>
    <row r="110" spans="2:11" ht="15" thickBot="1" x14ac:dyDescent="0.4">
      <c r="B110" s="880">
        <v>3</v>
      </c>
      <c r="C110" s="881" t="s">
        <v>859</v>
      </c>
      <c r="D110" s="884" t="s">
        <v>28</v>
      </c>
      <c r="E110" s="884">
        <f>BOQ_G!E212</f>
        <v>1</v>
      </c>
      <c r="F110" s="882">
        <f>G110/E110*10^5</f>
        <v>850000</v>
      </c>
      <c r="G110" s="882">
        <f>I110*$G$1</f>
        <v>8.5</v>
      </c>
      <c r="H110" s="882">
        <f>I110*$H$1</f>
        <v>1.2</v>
      </c>
      <c r="I110" s="884">
        <f>BOQ_G!F212</f>
        <v>10</v>
      </c>
      <c r="J110" s="883">
        <f>I110*$I$1</f>
        <v>1.3800000000000001</v>
      </c>
      <c r="K110" s="883">
        <f>I110+J110</f>
        <v>11.38</v>
      </c>
    </row>
    <row r="111" spans="2:11" ht="15" thickBot="1" x14ac:dyDescent="0.4">
      <c r="B111" s="880">
        <v>4</v>
      </c>
      <c r="C111" s="881" t="s">
        <v>1221</v>
      </c>
      <c r="D111" s="901" t="s">
        <v>28</v>
      </c>
      <c r="E111" s="901">
        <v>1</v>
      </c>
      <c r="F111" s="901"/>
      <c r="G111" s="901"/>
      <c r="H111" s="901"/>
      <c r="I111" s="884">
        <f>BOQ_G!F214</f>
        <v>1000</v>
      </c>
      <c r="J111" s="884">
        <f>BOQ_G!G214</f>
        <v>138</v>
      </c>
      <c r="K111" s="884">
        <f>BOQ_G!H214</f>
        <v>1138</v>
      </c>
    </row>
    <row r="112" spans="2:11" ht="15" thickBot="1" x14ac:dyDescent="0.4">
      <c r="B112" s="880"/>
      <c r="C112" s="886" t="s">
        <v>811</v>
      </c>
      <c r="D112" s="901"/>
      <c r="E112" s="901"/>
      <c r="F112" s="901"/>
      <c r="G112" s="887">
        <f>I112*$G$1</f>
        <v>913.75</v>
      </c>
      <c r="H112" s="887">
        <f>I112*$H$1</f>
        <v>129</v>
      </c>
      <c r="I112" s="906">
        <f>SUM(I108:I111)</f>
        <v>1075</v>
      </c>
      <c r="J112" s="906">
        <f t="shared" ref="J112:K112" si="17">SUM(J108:J111)</f>
        <v>148.35</v>
      </c>
      <c r="K112" s="906">
        <f t="shared" si="17"/>
        <v>1223.3499999999999</v>
      </c>
    </row>
    <row r="113" spans="2:11" ht="15" thickBot="1" x14ac:dyDescent="0.4">
      <c r="B113" s="880"/>
      <c r="C113" s="886"/>
      <c r="D113" s="901"/>
      <c r="E113" s="901"/>
      <c r="F113" s="901"/>
      <c r="G113" s="901"/>
      <c r="H113" s="901"/>
      <c r="I113" s="901"/>
      <c r="J113" s="901"/>
      <c r="K113" s="901"/>
    </row>
    <row r="115" spans="2:11" x14ac:dyDescent="0.35">
      <c r="B115" s="907"/>
      <c r="C115" s="909" t="s">
        <v>1031</v>
      </c>
      <c r="D115" s="908"/>
      <c r="E115" s="908"/>
      <c r="F115" s="908"/>
      <c r="G115" s="910">
        <f>G112+G102+G92+G82+G45+G17+G9</f>
        <v>72815.790675478813</v>
      </c>
      <c r="H115" s="910">
        <f>H112+H102+H92+H82+H45+H17+H9</f>
        <v>10279.876330655832</v>
      </c>
      <c r="I115" s="910">
        <f>I112+I102+I92+I82+I45+I17+I9</f>
        <v>85665.636088798608</v>
      </c>
      <c r="J115" s="910">
        <f>J112+J102+J92+J82+J45+J17+J9</f>
        <v>11821.857780254208</v>
      </c>
      <c r="K115" s="910">
        <f>K112+K102+K92+K82+K45+K17+K9</f>
        <v>97487.493869052792</v>
      </c>
    </row>
    <row r="118" spans="2:11" ht="15" thickBot="1" x14ac:dyDescent="0.4">
      <c r="B118" s="758" t="s">
        <v>1019</v>
      </c>
    </row>
    <row r="119" spans="2:11" ht="28.5" thickBot="1" x14ac:dyDescent="0.4">
      <c r="B119" s="774" t="s">
        <v>993</v>
      </c>
      <c r="C119" s="766" t="s">
        <v>994</v>
      </c>
      <c r="D119" s="775" t="s">
        <v>72</v>
      </c>
      <c r="E119" s="775" t="s">
        <v>290</v>
      </c>
      <c r="F119" s="767" t="s">
        <v>996</v>
      </c>
      <c r="G119" s="774" t="s">
        <v>1006</v>
      </c>
      <c r="H119" s="776" t="s">
        <v>1028</v>
      </c>
      <c r="I119" s="767" t="s">
        <v>1024</v>
      </c>
      <c r="J119" s="767" t="s">
        <v>1023</v>
      </c>
      <c r="K119" s="767" t="s">
        <v>1016</v>
      </c>
    </row>
    <row r="120" spans="2:11" ht="15" thickBot="1" x14ac:dyDescent="0.4">
      <c r="B120" s="889" t="s">
        <v>268</v>
      </c>
      <c r="C120" s="886" t="s">
        <v>1020</v>
      </c>
      <c r="D120" s="884"/>
      <c r="E120" s="884"/>
      <c r="F120" s="884"/>
      <c r="G120" s="884"/>
      <c r="H120" s="884"/>
      <c r="I120" s="884"/>
      <c r="J120" s="884"/>
      <c r="K120" s="884"/>
    </row>
    <row r="121" spans="2:11" ht="15" thickBot="1" x14ac:dyDescent="0.4">
      <c r="B121" s="880">
        <v>1</v>
      </c>
      <c r="C121" s="881" t="s">
        <v>846</v>
      </c>
      <c r="D121" s="884" t="s">
        <v>28</v>
      </c>
      <c r="E121" s="896">
        <f>BOQ_I!E17</f>
        <v>15.0205</v>
      </c>
      <c r="F121" s="882">
        <f>G121/E121*10^5</f>
        <v>8499999.9999999981</v>
      </c>
      <c r="G121" s="882">
        <f>I121*$G$1</f>
        <v>1276.7424999999998</v>
      </c>
      <c r="H121" s="882">
        <f>I121*$H$1</f>
        <v>180.24599999999998</v>
      </c>
      <c r="I121" s="896">
        <f>BOQ_I!F3</f>
        <v>1502.05</v>
      </c>
      <c r="J121" s="883">
        <f>BOQ_I!G19</f>
        <v>270.36899999999997</v>
      </c>
      <c r="K121" s="883">
        <f>I121+J121</f>
        <v>1772.4189999999999</v>
      </c>
    </row>
    <row r="122" spans="2:11" ht="15" thickBot="1" x14ac:dyDescent="0.4">
      <c r="B122" s="880">
        <v>2</v>
      </c>
      <c r="C122" s="881" t="s">
        <v>1144</v>
      </c>
      <c r="D122" s="884" t="s">
        <v>1007</v>
      </c>
      <c r="E122" s="896">
        <f>BOQ_I!E21</f>
        <v>0.61250000000000004</v>
      </c>
      <c r="F122" s="882">
        <f>G122/E122*10^5</f>
        <v>10200000</v>
      </c>
      <c r="G122" s="882">
        <f>I122*$G$1</f>
        <v>62.475000000000001</v>
      </c>
      <c r="H122" s="882">
        <f>I122*$H$1</f>
        <v>8.82</v>
      </c>
      <c r="I122" s="896">
        <f>BOQ_I!F4</f>
        <v>73.5</v>
      </c>
      <c r="J122" s="883">
        <f>BOQ_I!G22</f>
        <v>13.229999999999999</v>
      </c>
      <c r="K122" s="883">
        <f>I122+J122</f>
        <v>86.73</v>
      </c>
    </row>
    <row r="123" spans="2:11" ht="15" thickBot="1" x14ac:dyDescent="0.4">
      <c r="B123" s="880"/>
      <c r="C123" s="886"/>
      <c r="D123" s="901"/>
      <c r="E123" s="901"/>
      <c r="F123" s="901"/>
      <c r="G123" s="901"/>
      <c r="H123" s="901"/>
      <c r="I123" s="901"/>
      <c r="J123" s="901"/>
      <c r="K123" s="901"/>
    </row>
    <row r="124" spans="2:11" ht="15" thickBot="1" x14ac:dyDescent="0.4">
      <c r="B124" s="880"/>
      <c r="C124" s="886" t="s">
        <v>811</v>
      </c>
      <c r="D124" s="901"/>
      <c r="E124" s="901"/>
      <c r="F124" s="901"/>
      <c r="G124" s="887">
        <f>I124*$G$1</f>
        <v>1339.2175</v>
      </c>
      <c r="H124" s="887">
        <f>I124*$H$1</f>
        <v>189.06599999999997</v>
      </c>
      <c r="I124" s="901">
        <f>SUM(I120:I122)</f>
        <v>1575.55</v>
      </c>
      <c r="J124" s="901">
        <f>SUM(J120:J122)</f>
        <v>283.59899999999999</v>
      </c>
      <c r="K124" s="901">
        <f>SUM(K120:K122)</f>
        <v>1859.1489999999999</v>
      </c>
    </row>
    <row r="125" spans="2:11" ht="15" thickBot="1" x14ac:dyDescent="0.4">
      <c r="B125" s="880"/>
      <c r="C125" s="886"/>
      <c r="D125" s="901"/>
      <c r="E125" s="901"/>
      <c r="F125" s="901"/>
      <c r="G125" s="901"/>
      <c r="H125" s="901"/>
      <c r="I125" s="901"/>
      <c r="J125" s="901"/>
      <c r="K125" s="901"/>
    </row>
    <row r="127" spans="2:11" x14ac:dyDescent="0.35">
      <c r="B127" s="907"/>
      <c r="C127" s="909" t="s">
        <v>1032</v>
      </c>
      <c r="D127" s="908"/>
      <c r="E127" s="908"/>
      <c r="F127" s="908"/>
      <c r="G127" s="910">
        <f>G124</f>
        <v>1339.2175</v>
      </c>
      <c r="H127" s="910">
        <f>H124</f>
        <v>189.06599999999997</v>
      </c>
      <c r="I127" s="910">
        <f>I124</f>
        <v>1575.55</v>
      </c>
      <c r="J127" s="910">
        <f>J124</f>
        <v>283.59899999999999</v>
      </c>
      <c r="K127" s="910">
        <f>K124</f>
        <v>1859.1489999999999</v>
      </c>
    </row>
    <row r="129" spans="2:12" ht="15" thickBot="1" x14ac:dyDescent="0.4">
      <c r="C129" s="1013" t="s">
        <v>573</v>
      </c>
      <c r="D129" s="1013"/>
      <c r="E129" s="1013"/>
      <c r="F129" s="1013"/>
      <c r="G129" s="1167">
        <f>G127+G115+H242</f>
        <v>82014.655282975829</v>
      </c>
      <c r="H129" s="1167">
        <f>H127+H115+I242</f>
        <v>11578.539569361295</v>
      </c>
      <c r="I129" s="1167">
        <f>I127+I115+J242</f>
        <v>96487.829744677467</v>
      </c>
      <c r="J129" s="1167">
        <f>J127+J115+K242</f>
        <v>13769.852638312401</v>
      </c>
      <c r="K129" s="1167">
        <f>K127+K115+L242</f>
        <v>110257.68238298985</v>
      </c>
    </row>
    <row r="130" spans="2:12" ht="15" thickTop="1" x14ac:dyDescent="0.35"/>
    <row r="131" spans="2:12" x14ac:dyDescent="0.35">
      <c r="G131" s="938"/>
      <c r="H131" s="938"/>
      <c r="I131" s="204">
        <f>Working!F30+Working!F26+Working!F21</f>
        <v>96488.354744677432</v>
      </c>
      <c r="J131" s="204">
        <f>Working!G30+Working!G26+Working!G21</f>
        <v>13769.925088312402</v>
      </c>
      <c r="K131" s="204">
        <f>Working!H30+Working!H26+Working!H21</f>
        <v>110258.27983298985</v>
      </c>
    </row>
    <row r="133" spans="2:12" ht="15" thickBot="1" x14ac:dyDescent="0.4">
      <c r="B133" s="951"/>
      <c r="C133" s="953"/>
      <c r="D133" s="952"/>
      <c r="E133" s="952"/>
      <c r="F133" s="952"/>
      <c r="G133" s="952"/>
      <c r="H133" s="952"/>
      <c r="I133" s="952"/>
      <c r="J133" s="952"/>
      <c r="K133" s="952"/>
    </row>
    <row r="134" spans="2:12" ht="28" x14ac:dyDescent="0.35">
      <c r="B134" s="959"/>
      <c r="C134" s="1180" t="s">
        <v>1146</v>
      </c>
      <c r="D134" s="1182" t="s">
        <v>1147</v>
      </c>
      <c r="E134" s="1178" t="s">
        <v>1148</v>
      </c>
      <c r="F134" s="955"/>
      <c r="G134" s="961"/>
    </row>
    <row r="135" spans="2:12" ht="28.5" thickBot="1" x14ac:dyDescent="0.4">
      <c r="B135" s="959"/>
      <c r="C135" s="1181"/>
      <c r="D135" s="1183"/>
      <c r="E135" s="1179" t="s">
        <v>1149</v>
      </c>
      <c r="F135" s="955"/>
      <c r="G135" s="961"/>
    </row>
    <row r="136" spans="2:12" ht="15" thickBot="1" x14ac:dyDescent="0.4">
      <c r="B136" s="866"/>
      <c r="C136" s="768" t="s">
        <v>1150</v>
      </c>
      <c r="D136" s="883">
        <f>Working!D51</f>
        <v>1216.4388427354725</v>
      </c>
      <c r="E136" s="1184">
        <f>D136/Input!$E$6</f>
        <v>5.9852334320777043</v>
      </c>
      <c r="F136" s="572"/>
      <c r="G136" s="783"/>
    </row>
    <row r="137" spans="2:12" ht="15" thickBot="1" x14ac:dyDescent="0.4">
      <c r="B137" s="866"/>
      <c r="C137" s="768" t="s">
        <v>1151</v>
      </c>
      <c r="D137" s="883">
        <f ca="1">Working!D52</f>
        <v>26.123189689629463</v>
      </c>
      <c r="E137" s="1184">
        <f ca="1">D137/Input!$E$6</f>
        <v>0.12853370246816309</v>
      </c>
      <c r="F137" s="572"/>
      <c r="G137" s="783"/>
    </row>
    <row r="138" spans="2:12" ht="15" thickBot="1" x14ac:dyDescent="0.4">
      <c r="B138" s="962"/>
      <c r="C138" s="769" t="s">
        <v>1152</v>
      </c>
      <c r="D138" s="888">
        <f ca="1">D136+D137</f>
        <v>1242.562032425102</v>
      </c>
      <c r="E138" s="1185">
        <f ca="1">D138/Input!$E$6</f>
        <v>6.1137671345458671</v>
      </c>
      <c r="F138" s="486"/>
      <c r="G138" s="783"/>
    </row>
    <row r="139" spans="2:12" x14ac:dyDescent="0.35">
      <c r="B139" s="866"/>
      <c r="C139" s="955"/>
      <c r="D139" s="956"/>
      <c r="E139" s="572"/>
      <c r="F139" s="572"/>
      <c r="G139" s="783"/>
    </row>
    <row r="140" spans="2:12" ht="15" thickBot="1" x14ac:dyDescent="0.4">
      <c r="B140" s="866"/>
      <c r="C140" s="955"/>
      <c r="D140" s="956"/>
      <c r="E140" s="572"/>
      <c r="F140" s="572"/>
      <c r="G140" s="783"/>
    </row>
    <row r="141" spans="2:12" ht="28.5" thickBot="1" x14ac:dyDescent="0.4">
      <c r="B141" s="866"/>
      <c r="C141" s="774" t="s">
        <v>55</v>
      </c>
      <c r="D141" s="775" t="s">
        <v>80</v>
      </c>
      <c r="E141" s="775" t="s">
        <v>4</v>
      </c>
      <c r="F141" s="775" t="s">
        <v>208</v>
      </c>
      <c r="G141" s="775" t="s">
        <v>1154</v>
      </c>
      <c r="H141" s="1189" t="s">
        <v>78</v>
      </c>
      <c r="I141" s="775" t="s">
        <v>180</v>
      </c>
      <c r="J141" s="775" t="s">
        <v>209</v>
      </c>
      <c r="K141" s="776" t="s">
        <v>1155</v>
      </c>
    </row>
    <row r="142" spans="2:12" ht="15" thickBot="1" x14ac:dyDescent="0.4">
      <c r="B142" s="866"/>
      <c r="C142" s="885" t="s">
        <v>1156</v>
      </c>
      <c r="D142" s="1187">
        <f t="array" aca="1" ref="D142:D168" ca="1">TRANSPOSE(Working!E409:AE409)</f>
        <v>0</v>
      </c>
      <c r="E142" s="1188">
        <f t="array" ref="E142:E168">TRANSPOSE(Working!E410:AE410)</f>
        <v>0</v>
      </c>
      <c r="F142" s="1187">
        <f t="array" aca="1" ref="F142:F168" ca="1">TRANSPOSE(Working!E411:AE411)</f>
        <v>0</v>
      </c>
      <c r="G142" s="1187">
        <f t="array" aca="1" ref="G142:G168" ca="1">TRANSPOSE(Working!E412:AE412)</f>
        <v>0</v>
      </c>
      <c r="H142" s="1187">
        <f t="array" ref="H142:H168">TRANSPOSE(Working!E415:AE415)</f>
        <v>0</v>
      </c>
      <c r="I142" s="1187">
        <f t="array" ref="I142:I168" ca="1">TRANSPOSE(Working!E416:AE416)</f>
        <v>-582.04857646593382</v>
      </c>
      <c r="J142" s="1187">
        <f t="array" ref="J142:J168">TRANSPOSE(Working!E417:AE417)</f>
        <v>0</v>
      </c>
      <c r="K142" s="1187">
        <f t="array" aca="1" ref="K142:K168" ca="1">TRANSPOSE(Working!E419:AE419)</f>
        <v>-582.04857646593382</v>
      </c>
      <c r="L142" s="1190"/>
    </row>
    <row r="143" spans="2:12" ht="15" thickBot="1" x14ac:dyDescent="0.4">
      <c r="B143" s="866"/>
      <c r="C143" s="885" t="s">
        <v>1157</v>
      </c>
      <c r="D143" s="1187">
        <f ca="1"/>
        <v>28.450351351382608</v>
      </c>
      <c r="E143" s="1188">
        <f ca="1"/>
        <v>28.934333529846327</v>
      </c>
      <c r="F143" s="1187">
        <f ca="1"/>
        <v>-3.3936623899294616</v>
      </c>
      <c r="G143" s="1187">
        <f ca="1"/>
        <v>18.672217381508435</v>
      </c>
      <c r="H143" s="1187">
        <f ca="1"/>
        <v>-25.678932309182528</v>
      </c>
      <c r="I143" s="1187">
        <f ca="1"/>
        <v>-660.51345595916791</v>
      </c>
      <c r="J143" s="1187">
        <v>0</v>
      </c>
      <c r="K143" s="1187">
        <f ca="1"/>
        <v>-612.42477842314963</v>
      </c>
    </row>
    <row r="144" spans="2:12" ht="15" thickBot="1" x14ac:dyDescent="0.4">
      <c r="B144" s="866"/>
      <c r="C144" s="885" t="s">
        <v>1158</v>
      </c>
      <c r="D144" s="1187">
        <f ca="1"/>
        <v>44.852208100825635</v>
      </c>
      <c r="E144" s="1188">
        <f ca="1"/>
        <v>58.027646914252252</v>
      </c>
      <c r="F144" s="1187">
        <f ca="1"/>
        <v>-8.7355623441454071</v>
      </c>
      <c r="G144" s="1187">
        <f ca="1"/>
        <v>48.708431671063991</v>
      </c>
      <c r="H144" s="1187">
        <f ca="1"/>
        <v>0.1936129354570113</v>
      </c>
      <c r="I144" s="1187">
        <f ca="1"/>
        <v>0</v>
      </c>
      <c r="J144" s="1187">
        <v>0</v>
      </c>
      <c r="K144" s="1187">
        <f ca="1"/>
        <v>145.2444460734373</v>
      </c>
    </row>
    <row r="145" spans="2:11" ht="15" thickBot="1" x14ac:dyDescent="0.4">
      <c r="B145" s="866"/>
      <c r="C145" s="885" t="s">
        <v>1159</v>
      </c>
      <c r="D145" s="1187">
        <f ca="1"/>
        <v>45.317477940230916</v>
      </c>
      <c r="E145" s="1188">
        <f ca="1"/>
        <v>58.027646914252252</v>
      </c>
      <c r="F145" s="1187">
        <f ca="1"/>
        <v>-8.1368901042636406</v>
      </c>
      <c r="G145" s="1187">
        <f ca="1"/>
        <v>45.229257980273701</v>
      </c>
      <c r="H145" s="1187">
        <f ca="1"/>
        <v>0.11121479288888025</v>
      </c>
      <c r="I145" s="1187">
        <f ca="1"/>
        <v>0</v>
      </c>
      <c r="J145" s="1187">
        <v>0</v>
      </c>
      <c r="K145" s="1187">
        <f ca="1"/>
        <v>142.73722404347927</v>
      </c>
    </row>
    <row r="146" spans="2:11" ht="15" thickBot="1" x14ac:dyDescent="0.4">
      <c r="B146" s="962"/>
      <c r="C146" s="885" t="s">
        <v>1160</v>
      </c>
      <c r="D146" s="1187">
        <f ca="1"/>
        <v>45.775084650991964</v>
      </c>
      <c r="E146" s="1188">
        <f ca="1"/>
        <v>58.027646914252252</v>
      </c>
      <c r="F146" s="1187">
        <f ca="1"/>
        <v>-7.5383932152382309</v>
      </c>
      <c r="G146" s="1187">
        <f ca="1"/>
        <v>41.750084289483418</v>
      </c>
      <c r="H146" s="1187">
        <f ca="1"/>
        <v>9.9367162311818191E-2</v>
      </c>
      <c r="I146" s="1187">
        <f ca="1"/>
        <v>0</v>
      </c>
      <c r="J146" s="1187">
        <v>0</v>
      </c>
      <c r="K146" s="1187">
        <f ca="1"/>
        <v>140.29373590414897</v>
      </c>
    </row>
    <row r="147" spans="2:11" ht="15" thickBot="1" x14ac:dyDescent="0.4">
      <c r="B147" s="866"/>
      <c r="C147" s="885" t="s">
        <v>1161</v>
      </c>
      <c r="D147" s="1187">
        <f ca="1"/>
        <v>46.223194141680501</v>
      </c>
      <c r="E147" s="1188">
        <f ca="1"/>
        <v>58.027646914252252</v>
      </c>
      <c r="F147" s="1187">
        <f ca="1"/>
        <v>-6.9400773717889779</v>
      </c>
      <c r="G147" s="1187">
        <f ca="1"/>
        <v>38.270910598693128</v>
      </c>
      <c r="H147" s="1187">
        <f ca="1"/>
        <v>8.7134766368706096E-2</v>
      </c>
      <c r="I147" s="1187">
        <f ca="1"/>
        <v>0</v>
      </c>
      <c r="J147" s="1187">
        <v>0</v>
      </c>
      <c r="K147" s="1187">
        <f ca="1"/>
        <v>137.84123977795406</v>
      </c>
    </row>
    <row r="148" spans="2:11" ht="15" thickBot="1" x14ac:dyDescent="0.4">
      <c r="B148" s="866"/>
      <c r="C148" s="885" t="s">
        <v>1162</v>
      </c>
      <c r="D148" s="1187">
        <f ca="1"/>
        <v>46.659896134097636</v>
      </c>
      <c r="E148" s="1188">
        <f ca="1"/>
        <v>58.027646914252252</v>
      </c>
      <c r="F148" s="1187">
        <f ca="1"/>
        <v>-6.3419486024842406</v>
      </c>
      <c r="G148" s="1187">
        <f ca="1"/>
        <v>34.791736907902845</v>
      </c>
      <c r="H148" s="1187">
        <f ca="1"/>
        <v>7.4495048486472371E-2</v>
      </c>
      <c r="I148" s="1187">
        <f ca="1"/>
        <v>0</v>
      </c>
      <c r="J148" s="1187">
        <v>0</v>
      </c>
      <c r="K148" s="1187">
        <f ca="1"/>
        <v>135.37783193307149</v>
      </c>
    </row>
    <row r="149" spans="2:11" ht="15" thickBot="1" x14ac:dyDescent="0.4">
      <c r="B149" s="866"/>
      <c r="C149" s="885" t="s">
        <v>1163</v>
      </c>
      <c r="D149" s="1187">
        <f ca="1"/>
        <v>47.083199995339719</v>
      </c>
      <c r="E149" s="1188">
        <f ca="1"/>
        <v>58.027646914252252</v>
      </c>
      <c r="F149" s="1187">
        <f ca="1"/>
        <v>-5.7440132864922058</v>
      </c>
      <c r="G149" s="1187">
        <f ca="1"/>
        <v>31.312563217112558</v>
      </c>
      <c r="H149" s="1187">
        <f ca="1"/>
        <v>6.1424320287976286E-2</v>
      </c>
      <c r="I149" s="1187">
        <f ca="1"/>
        <v>0</v>
      </c>
      <c r="J149" s="1187">
        <v>0</v>
      </c>
      <c r="K149" s="1187">
        <f ca="1"/>
        <v>132.90152884369198</v>
      </c>
    </row>
    <row r="150" spans="2:11" ht="15" thickBot="1" x14ac:dyDescent="0.4">
      <c r="B150" s="962"/>
      <c r="C150" s="885" t="s">
        <v>1164</v>
      </c>
      <c r="D150" s="1187">
        <f ca="1"/>
        <v>47.491030356284476</v>
      </c>
      <c r="E150" s="1188">
        <f ca="1"/>
        <v>58.027646914252252</v>
      </c>
      <c r="F150" s="1187">
        <f ca="1"/>
        <v>-5.1462781712084755</v>
      </c>
      <c r="G150" s="1187">
        <f ca="1"/>
        <v>27.833389526322271</v>
      </c>
      <c r="H150" s="1187">
        <f ca="1"/>
        <v>4.789770238276958E-2</v>
      </c>
      <c r="I150" s="1187">
        <f ca="1"/>
        <v>0</v>
      </c>
      <c r="J150" s="1187">
        <v>0</v>
      </c>
      <c r="K150" s="1187">
        <f ca="1"/>
        <v>130.41026283439442</v>
      </c>
    </row>
    <row r="151" spans="2:11" ht="15" thickBot="1" x14ac:dyDescent="0.4">
      <c r="B151" s="866"/>
      <c r="C151" s="885" t="s">
        <v>1165</v>
      </c>
      <c r="D151" s="1187">
        <f ca="1"/>
        <v>47.881222505336879</v>
      </c>
      <c r="E151" s="1188">
        <f ca="1"/>
        <v>58.027646914252252</v>
      </c>
      <c r="F151" s="1187">
        <f ca="1"/>
        <v>-4.5487503908055587</v>
      </c>
      <c r="G151" s="1187">
        <f ca="1"/>
        <v>24.354215835531988</v>
      </c>
      <c r="H151" s="1187">
        <f ca="1"/>
        <v>3.3889062079332177E-2</v>
      </c>
      <c r="I151" s="1187">
        <f ca="1"/>
        <v>0</v>
      </c>
      <c r="J151" s="1187">
        <v>0</v>
      </c>
      <c r="K151" s="1187">
        <f ca="1"/>
        <v>127.90187750115172</v>
      </c>
    </row>
    <row r="152" spans="2:11" ht="15" thickBot="1" x14ac:dyDescent="0.4">
      <c r="B152" s="866"/>
      <c r="C152" s="885" t="s">
        <v>1166</v>
      </c>
      <c r="D152" s="1187">
        <f ca="1"/>
        <v>48.251517545692884</v>
      </c>
      <c r="E152" s="1188">
        <f ca="1"/>
        <v>58.027646914252252</v>
      </c>
      <c r="F152" s="1187">
        <f ca="1"/>
        <v>-3.9514374857521721</v>
      </c>
      <c r="G152" s="1187">
        <f ca="1"/>
        <v>20.875042144741702</v>
      </c>
      <c r="H152" s="1187">
        <f ca="1"/>
        <v>1.9370947858046605E-2</v>
      </c>
      <c r="I152" s="1187">
        <f ca="1"/>
        <v>0</v>
      </c>
      <c r="J152" s="1187">
        <v>0</v>
      </c>
      <c r="K152" s="1187">
        <f ca="1"/>
        <v>125.37412289729677</v>
      </c>
    </row>
    <row r="153" spans="2:11" ht="15" thickBot="1" x14ac:dyDescent="0.4">
      <c r="B153" s="866"/>
      <c r="C153" s="885" t="s">
        <v>1167</v>
      </c>
      <c r="D153" s="1187">
        <f ca="1"/>
        <v>48.59955730376592</v>
      </c>
      <c r="E153" s="1188">
        <f ca="1"/>
        <v>58.027646914252252</v>
      </c>
      <c r="F153" s="1187">
        <f ca="1"/>
        <v>-3.3543474233528499</v>
      </c>
      <c r="G153" s="1187">
        <f ca="1"/>
        <v>17.395868453951422</v>
      </c>
      <c r="H153" s="1187">
        <f ca="1"/>
        <v>4.3145204357841749E-3</v>
      </c>
      <c r="I153" s="1187">
        <f ca="1"/>
        <v>0</v>
      </c>
      <c r="J153" s="1187">
        <v>0</v>
      </c>
      <c r="K153" s="1187">
        <f ca="1"/>
        <v>122.824650472169</v>
      </c>
    </row>
    <row r="154" spans="2:11" ht="15" thickBot="1" x14ac:dyDescent="0.4">
      <c r="B154" s="954"/>
      <c r="C154" s="885" t="s">
        <v>1168</v>
      </c>
      <c r="D154" s="1187">
        <f ca="1"/>
        <v>48.922878975776541</v>
      </c>
      <c r="E154" s="1188">
        <f ca="1"/>
        <v>58.027646914252252</v>
      </c>
      <c r="F154" s="1187">
        <f ca="1"/>
        <v>-2.7574886193608852</v>
      </c>
      <c r="G154" s="1187">
        <f ca="1"/>
        <v>13.916694763161136</v>
      </c>
      <c r="H154" s="1187">
        <f ca="1"/>
        <v>-1.1310519755973303E-2</v>
      </c>
      <c r="I154" s="1187">
        <f ca="1"/>
        <v>0</v>
      </c>
      <c r="J154" s="1187">
        <v>0</v>
      </c>
      <c r="K154" s="1187">
        <f ca="1"/>
        <v>120.25100774951849</v>
      </c>
    </row>
    <row r="155" spans="2:11" ht="15" thickBot="1" x14ac:dyDescent="0.4">
      <c r="B155" s="962"/>
      <c r="C155" s="885" t="s">
        <v>1169</v>
      </c>
      <c r="D155" s="1187">
        <f ca="1"/>
        <v>49.218909498827664</v>
      </c>
      <c r="E155" s="1188">
        <f ca="1"/>
        <v>58.027646914252252</v>
      </c>
      <c r="F155" s="1187">
        <f ca="1"/>
        <v>-2.1608699607205035</v>
      </c>
      <c r="G155" s="1187">
        <f ca="1"/>
        <v>10.437521072370851</v>
      </c>
      <c r="H155" s="1187">
        <f ca="1"/>
        <v>-2.7536008866693606E-2</v>
      </c>
      <c r="I155" s="1187">
        <f ca="1"/>
        <v>0</v>
      </c>
      <c r="J155" s="1187">
        <v>0</v>
      </c>
      <c r="K155" s="1187">
        <f ca="1"/>
        <v>117.65063273207375</v>
      </c>
    </row>
    <row r="156" spans="2:11" ht="15" thickBot="1" x14ac:dyDescent="0.4">
      <c r="B156" s="962"/>
      <c r="C156" s="885" t="s">
        <v>1170</v>
      </c>
      <c r="D156" s="1187">
        <f ca="1"/>
        <v>49.484959632074009</v>
      </c>
      <c r="E156" s="1188">
        <f ca="1"/>
        <v>58.027646914252252</v>
      </c>
      <c r="F156" s="1187">
        <f ca="1"/>
        <v>-1.5645008294970126</v>
      </c>
      <c r="G156" s="1187">
        <f ca="1"/>
        <v>6.9583473815805652</v>
      </c>
      <c r="H156" s="1187">
        <f ca="1"/>
        <v>-4.4395399893353726E-2</v>
      </c>
      <c r="I156" s="1187">
        <f ca="1"/>
        <v>0</v>
      </c>
      <c r="J156" s="1187">
        <v>0</v>
      </c>
      <c r="K156" s="1187">
        <f ca="1"/>
        <v>115.02084801796744</v>
      </c>
    </row>
    <row r="157" spans="2:11" ht="15" thickBot="1" x14ac:dyDescent="0.4">
      <c r="B157" s="866"/>
      <c r="C157" s="885" t="s">
        <v>1171</v>
      </c>
      <c r="D157" s="1187">
        <f ca="1"/>
        <v>49.71821773284249</v>
      </c>
      <c r="E157" s="1188">
        <f ca="1"/>
        <v>58.027646914252252</v>
      </c>
      <c r="F157" s="1187">
        <f ca="1"/>
        <v>-0.96839112805677463</v>
      </c>
      <c r="G157" s="1187">
        <f ca="1"/>
        <v>3.4791736907902795</v>
      </c>
      <c r="H157" s="1187">
        <f ca="1"/>
        <v>-6.1923847125104459E-2</v>
      </c>
      <c r="I157" s="1187">
        <f ca="1"/>
        <v>0</v>
      </c>
      <c r="J157" s="1187">
        <v>0</v>
      </c>
      <c r="K157" s="1187">
        <f ca="1"/>
        <v>112.35885461396866</v>
      </c>
    </row>
    <row r="158" spans="2:11" ht="15" thickBot="1" x14ac:dyDescent="0.4">
      <c r="B158" s="866"/>
      <c r="C158" s="885" t="s">
        <v>1172</v>
      </c>
      <c r="D158" s="1187">
        <f ca="1"/>
        <v>76.678541290956332</v>
      </c>
      <c r="E158" s="1188">
        <f ca="1"/>
        <v>24.851240648502035</v>
      </c>
      <c r="F158" s="1187">
        <f ca="1"/>
        <v>-0.52180785689698739</v>
      </c>
      <c r="G158" s="1187">
        <f ca="1"/>
        <v>0.86979342269756865</v>
      </c>
      <c r="H158" s="1187">
        <f ca="1"/>
        <v>-8.015829498476279E-2</v>
      </c>
      <c r="I158" s="1187">
        <f ca="1"/>
        <v>0</v>
      </c>
      <c r="J158" s="1187">
        <v>0</v>
      </c>
      <c r="K158" s="1187">
        <f ca="1"/>
        <v>103.96865411448212</v>
      </c>
    </row>
    <row r="159" spans="2:11" ht="15" thickBot="1" x14ac:dyDescent="0.4">
      <c r="B159" s="866"/>
      <c r="C159" s="885" t="s">
        <v>1173</v>
      </c>
      <c r="D159" s="1187">
        <f ca="1"/>
        <v>74.675647115299896</v>
      </c>
      <c r="E159" s="1188">
        <f ca="1"/>
        <v>24.851240648502035</v>
      </c>
      <c r="F159" s="1187">
        <f ca="1"/>
        <v>-0.37401859118901404</v>
      </c>
      <c r="G159" s="1187">
        <f ca="1"/>
        <v>0</v>
      </c>
      <c r="H159" s="1187">
        <f ca="1"/>
        <v>-9.9137571496193289E-2</v>
      </c>
      <c r="I159" s="1187">
        <f ca="1"/>
        <v>0</v>
      </c>
      <c r="J159" s="1187">
        <v>0</v>
      </c>
      <c r="K159" s="1187">
        <f ca="1"/>
        <v>101.23332712086622</v>
      </c>
    </row>
    <row r="160" spans="2:11" ht="15" thickBot="1" x14ac:dyDescent="0.4">
      <c r="B160" s="866"/>
      <c r="C160" s="885" t="s">
        <v>1174</v>
      </c>
      <c r="D160" s="1187">
        <f ca="1"/>
        <v>71.91018754183537</v>
      </c>
      <c r="E160" s="1188">
        <f ca="1"/>
        <v>24.851240648502035</v>
      </c>
      <c r="F160" s="1187">
        <f ca="1"/>
        <v>-0.37577840744223373</v>
      </c>
      <c r="G160" s="1187">
        <f ca="1"/>
        <v>0</v>
      </c>
      <c r="H160" s="1187">
        <f ca="1"/>
        <v>-0.11890248662002989</v>
      </c>
      <c r="I160" s="1187">
        <f ca="1"/>
        <v>0</v>
      </c>
      <c r="J160" s="1187">
        <v>0</v>
      </c>
      <c r="K160" s="1187">
        <f ca="1"/>
        <v>98.456598155495598</v>
      </c>
    </row>
    <row r="161" spans="2:11" ht="15" thickBot="1" x14ac:dyDescent="0.4">
      <c r="B161" s="866"/>
      <c r="C161" s="885" t="s">
        <v>1175</v>
      </c>
      <c r="D161" s="1187">
        <f ca="1"/>
        <v>69.099329276745735</v>
      </c>
      <c r="E161" s="1188">
        <f ca="1"/>
        <v>24.851240648502035</v>
      </c>
      <c r="F161" s="1187">
        <f ca="1"/>
        <v>-0.37784301703872952</v>
      </c>
      <c r="G161" s="1187">
        <f ca="1"/>
        <v>0</v>
      </c>
      <c r="H161" s="1187">
        <f ca="1"/>
        <v>-0.139495935711345</v>
      </c>
      <c r="I161" s="1187">
        <f ca="1"/>
        <v>0</v>
      </c>
      <c r="J161" s="1187">
        <v>0</v>
      </c>
      <c r="K161" s="1187">
        <f ca="1"/>
        <v>95.635113356173292</v>
      </c>
    </row>
    <row r="162" spans="2:11" ht="15" thickBot="1" x14ac:dyDescent="0.4">
      <c r="B162" s="866"/>
      <c r="C162" s="885" t="s">
        <v>1176</v>
      </c>
      <c r="D162" s="1187">
        <f ca="1"/>
        <v>65.598945543862868</v>
      </c>
      <c r="E162" s="1188">
        <f ca="1"/>
        <v>24.851240648502035</v>
      </c>
      <c r="F162" s="1187">
        <f ca="1"/>
        <v>-0.39797672808430268</v>
      </c>
      <c r="G162" s="1187">
        <f ca="1"/>
        <v>0</v>
      </c>
      <c r="H162" s="1187">
        <f ca="1"/>
        <v>-0.16096300836749933</v>
      </c>
      <c r="I162" s="1187">
        <f ca="1"/>
        <v>0</v>
      </c>
      <c r="J162" s="1187">
        <v>0</v>
      </c>
      <c r="K162" s="1187">
        <f ca="1"/>
        <v>92.107011899060367</v>
      </c>
    </row>
    <row r="163" spans="2:11" ht="15" thickBot="1" x14ac:dyDescent="0.4">
      <c r="B163" s="866"/>
      <c r="C163" s="885" t="s">
        <v>1177</v>
      </c>
      <c r="D163" s="1187">
        <f ca="1"/>
        <v>54.159917606885244</v>
      </c>
      <c r="E163" s="1188">
        <f ca="1"/>
        <v>24.851240648502035</v>
      </c>
      <c r="F163" s="1187">
        <f ca="1"/>
        <v>-0.65054766204644032</v>
      </c>
      <c r="G163" s="1187">
        <f ca="1"/>
        <v>0</v>
      </c>
      <c r="H163" s="1187">
        <f ca="1"/>
        <v>-0.18335110294737333</v>
      </c>
      <c r="I163" s="1187">
        <f ca="1"/>
        <v>0</v>
      </c>
      <c r="J163" s="1187">
        <v>0</v>
      </c>
      <c r="K163" s="1187">
        <f ca="1"/>
        <v>80.408838966169952</v>
      </c>
    </row>
    <row r="164" spans="2:11" ht="15" thickBot="1" x14ac:dyDescent="0.4">
      <c r="B164" s="866"/>
      <c r="C164" s="885" t="s">
        <v>1178</v>
      </c>
      <c r="D164" s="1187">
        <f ca="1"/>
        <v>51.364473770403535</v>
      </c>
      <c r="E164" s="1188">
        <f ca="1"/>
        <v>24.851240648502035</v>
      </c>
      <c r="F164" s="1187">
        <f ca="1"/>
        <v>-0.66365822147423081</v>
      </c>
      <c r="G164" s="1187">
        <f ca="1"/>
        <v>0</v>
      </c>
      <c r="H164" s="1187">
        <f ca="1"/>
        <v>-0.20671004705866736</v>
      </c>
      <c r="I164" s="1187">
        <f ca="1"/>
        <v>0</v>
      </c>
      <c r="J164" s="1187">
        <v>0</v>
      </c>
      <c r="K164" s="1187">
        <f ca="1"/>
        <v>77.594754367707978</v>
      </c>
    </row>
    <row r="165" spans="2:11" ht="15" thickBot="1" x14ac:dyDescent="0.4">
      <c r="B165" s="866"/>
      <c r="C165" s="885" t="s">
        <v>1179</v>
      </c>
      <c r="D165" s="1187">
        <f ca="1"/>
        <v>48.512015178272534</v>
      </c>
      <c r="E165" s="1188">
        <f ca="1"/>
        <v>24.851240648502035</v>
      </c>
      <c r="F165" s="1187">
        <f ca="1"/>
        <v>-0.67853722466765976</v>
      </c>
      <c r="G165" s="1187">
        <f ca="1"/>
        <v>0</v>
      </c>
      <c r="H165" s="1187">
        <f ca="1"/>
        <v>-0.23109222432497489</v>
      </c>
      <c r="I165" s="1187">
        <f ca="1"/>
        <v>0</v>
      </c>
      <c r="J165" s="1187">
        <v>0</v>
      </c>
      <c r="K165" s="1187">
        <f ca="1"/>
        <v>74.72296629946527</v>
      </c>
    </row>
    <row r="166" spans="2:11" ht="15" thickBot="1" x14ac:dyDescent="0.4">
      <c r="B166" s="866"/>
      <c r="C166" s="885" t="s">
        <v>1180</v>
      </c>
      <c r="D166" s="1187">
        <f ca="1"/>
        <v>45.598538017828837</v>
      </c>
      <c r="E166" s="1188">
        <f ca="1"/>
        <v>24.851240648502035</v>
      </c>
      <c r="F166" s="1187">
        <f ca="1"/>
        <v>-0.69548184925123735</v>
      </c>
      <c r="G166" s="1187">
        <f ca="1"/>
        <v>0</v>
      </c>
      <c r="H166" s="1187">
        <f ca="1"/>
        <v>-0.25655270776094241</v>
      </c>
      <c r="I166" s="1187">
        <f ca="1"/>
        <v>0</v>
      </c>
      <c r="J166" s="1187">
        <v>0</v>
      </c>
      <c r="K166" s="1187">
        <f ca="1"/>
        <v>71.789211702046401</v>
      </c>
    </row>
    <row r="167" spans="2:11" ht="15" thickBot="1" x14ac:dyDescent="0.4">
      <c r="B167" s="962"/>
      <c r="C167" s="885" t="s">
        <v>1181</v>
      </c>
      <c r="D167" s="1187">
        <f ca="1"/>
        <v>42.619845103510826</v>
      </c>
      <c r="E167" s="1188">
        <f ca="1"/>
        <v>24.851240648502035</v>
      </c>
      <c r="F167" s="1187">
        <f ca="1"/>
        <v>-0.71487385305576501</v>
      </c>
      <c r="G167" s="1187">
        <f ca="1"/>
        <v>0</v>
      </c>
      <c r="H167" s="1187">
        <f ca="1"/>
        <v>-0.28314940010067957</v>
      </c>
      <c r="I167" s="1187">
        <f ca="1"/>
        <v>0</v>
      </c>
      <c r="J167" s="1187">
        <v>0</v>
      </c>
      <c r="K167" s="1187">
        <f ca="1"/>
        <v>68.78895172734282</v>
      </c>
    </row>
    <row r="168" spans="2:11" ht="15" thickBot="1" x14ac:dyDescent="0.4">
      <c r="B168" s="866"/>
      <c r="C168" s="885" t="s">
        <v>1182</v>
      </c>
      <c r="D168" s="1187">
        <f ca="1"/>
        <v>28.844392750351386</v>
      </c>
      <c r="E168" s="1188">
        <f ca="1"/>
        <v>12.425620324251017</v>
      </c>
      <c r="F168" s="1187">
        <f ca="1"/>
        <v>-0.37268912840277557</v>
      </c>
      <c r="G168" s="1187">
        <f ca="1"/>
        <v>0</v>
      </c>
      <c r="H168" s="1187">
        <f ca="1"/>
        <v>-3.2060910066423993</v>
      </c>
      <c r="I168" s="1187">
        <f ca="1"/>
        <v>0</v>
      </c>
      <c r="J168" s="1187">
        <f ca="1"/>
        <v>170.35959589873397</v>
      </c>
      <c r="K168" s="1187">
        <f ca="1"/>
        <v>206.2406310461331</v>
      </c>
    </row>
    <row r="169" spans="2:11" x14ac:dyDescent="0.35">
      <c r="B169" s="866"/>
      <c r="C169" s="482"/>
      <c r="D169" s="956"/>
      <c r="E169" s="835"/>
      <c r="F169" s="823"/>
      <c r="G169" s="836"/>
      <c r="H169" s="836"/>
      <c r="I169" s="836"/>
    </row>
    <row r="170" spans="2:11" x14ac:dyDescent="0.35">
      <c r="B170" s="866"/>
      <c r="C170" s="482"/>
      <c r="D170" s="1191">
        <f ca="1">Working!D421</f>
        <v>8.7955956594178986E-2</v>
      </c>
      <c r="E170" s="835"/>
      <c r="F170" s="823"/>
      <c r="G170" s="836"/>
      <c r="H170" s="836"/>
      <c r="I170" s="836"/>
    </row>
    <row r="171" spans="2:11" ht="15" thickBot="1" x14ac:dyDescent="0.4">
      <c r="B171" s="866"/>
      <c r="C171" s="482"/>
      <c r="D171" s="956"/>
      <c r="E171" s="835"/>
      <c r="F171" s="823"/>
      <c r="G171" s="836"/>
      <c r="H171" s="836"/>
      <c r="I171" s="836"/>
    </row>
    <row r="172" spans="2:11" ht="56.5" thickBot="1" x14ac:dyDescent="0.4">
      <c r="B172" s="866"/>
      <c r="C172" s="774" t="s">
        <v>55</v>
      </c>
      <c r="D172" s="775" t="s">
        <v>1189</v>
      </c>
      <c r="E172" s="775" t="s">
        <v>1190</v>
      </c>
      <c r="F172" s="775" t="s">
        <v>1197</v>
      </c>
      <c r="G172" s="776" t="s">
        <v>1191</v>
      </c>
      <c r="H172" s="836"/>
      <c r="I172" s="836"/>
    </row>
    <row r="173" spans="2:11" ht="15" thickBot="1" x14ac:dyDescent="0.4">
      <c r="B173" s="866"/>
      <c r="C173" s="885"/>
      <c r="D173" s="901" t="s">
        <v>1192</v>
      </c>
      <c r="E173" s="901" t="s">
        <v>1193</v>
      </c>
      <c r="F173" s="901" t="s">
        <v>1194</v>
      </c>
      <c r="G173" s="901" t="s">
        <v>1195</v>
      </c>
      <c r="H173" s="836"/>
      <c r="I173" s="836"/>
    </row>
    <row r="174" spans="2:11" ht="15" thickBot="1" x14ac:dyDescent="0.4">
      <c r="B174" s="866"/>
      <c r="C174" s="885" t="s">
        <v>1157</v>
      </c>
      <c r="D174" s="1188" cm="1">
        <f t="array" ref="D174:D199">TRANSPOSE(Working!F449:AE449)</f>
        <v>170.96053889396021</v>
      </c>
      <c r="E174" s="1188" cm="1">
        <f t="array" ref="E174:E199">TRANSPOSE(Working!F453:AE453)</f>
        <v>69.062798788854522</v>
      </c>
      <c r="F174" s="1188" cm="1">
        <f t="array" aca="1" ref="F174:F199" ca="1">TRANSPOSE(Working!F454:AE454)</f>
        <v>89.815003537659209</v>
      </c>
      <c r="G174" s="1188">
        <f ca="1">E174-F174</f>
        <v>-20.752204748804687</v>
      </c>
      <c r="H174" s="836"/>
      <c r="I174" s="836"/>
    </row>
    <row r="175" spans="2:11" ht="15" thickBot="1" x14ac:dyDescent="0.4">
      <c r="B175" s="962"/>
      <c r="C175" s="885" t="s">
        <v>1159</v>
      </c>
      <c r="D175" s="1188">
        <v>337.50830376468201</v>
      </c>
      <c r="E175" s="1188">
        <v>139.06983206612446</v>
      </c>
      <c r="F175" s="1188">
        <f ca="1"/>
        <v>177.31173341361759</v>
      </c>
      <c r="G175" s="1188">
        <f t="shared" ref="G175:G199" ca="1" si="18">E175-F175</f>
        <v>-38.241901347493126</v>
      </c>
      <c r="H175" s="957"/>
      <c r="I175" s="957"/>
    </row>
    <row r="176" spans="2:11" ht="15" thickBot="1" x14ac:dyDescent="0.4">
      <c r="B176" s="866"/>
      <c r="C176" s="885" t="s">
        <v>1160</v>
      </c>
      <c r="D176" s="1188">
        <v>333.28944996762351</v>
      </c>
      <c r="E176" s="1188">
        <v>140.07808834860387</v>
      </c>
      <c r="F176" s="1188">
        <f ca="1"/>
        <v>175.09533674594738</v>
      </c>
      <c r="G176" s="1188">
        <f t="shared" ca="1" si="18"/>
        <v>-35.017248397343508</v>
      </c>
      <c r="H176" s="836"/>
      <c r="I176" s="836"/>
    </row>
    <row r="177" spans="2:9" ht="15" thickBot="1" x14ac:dyDescent="0.4">
      <c r="B177" s="866"/>
      <c r="C177" s="885" t="s">
        <v>1161</v>
      </c>
      <c r="D177" s="1188">
        <v>329.12333184302821</v>
      </c>
      <c r="E177" s="1188">
        <v>141.09365448913124</v>
      </c>
      <c r="F177" s="1188">
        <f ca="1"/>
        <v>172.90664503662305</v>
      </c>
      <c r="G177" s="1188">
        <f t="shared" ca="1" si="18"/>
        <v>-31.812990547491808</v>
      </c>
      <c r="H177" s="836"/>
      <c r="I177" s="836"/>
    </row>
    <row r="178" spans="2:9" ht="15" thickBot="1" x14ac:dyDescent="0.4">
      <c r="B178" s="866"/>
      <c r="C178" s="885" t="s">
        <v>1162</v>
      </c>
      <c r="D178" s="1188">
        <v>325.0092901949904</v>
      </c>
      <c r="E178" s="1188">
        <v>142.11658348417748</v>
      </c>
      <c r="F178" s="1188">
        <f ca="1"/>
        <v>170.74531197366528</v>
      </c>
      <c r="G178" s="1188">
        <f t="shared" ca="1" si="18"/>
        <v>-28.628728489487798</v>
      </c>
      <c r="H178" s="957"/>
      <c r="I178" s="957"/>
    </row>
    <row r="179" spans="2:9" ht="15" thickBot="1" x14ac:dyDescent="0.4">
      <c r="B179" s="866"/>
      <c r="C179" s="885" t="s">
        <v>1163</v>
      </c>
      <c r="D179" s="1188">
        <v>320.94667406755303</v>
      </c>
      <c r="E179" s="1188">
        <v>143.14692871443776</v>
      </c>
      <c r="F179" s="1188">
        <f ca="1"/>
        <v>168.61099557399447</v>
      </c>
      <c r="G179" s="1188">
        <f t="shared" ca="1" si="18"/>
        <v>-25.464066859556709</v>
      </c>
      <c r="H179" s="836"/>
      <c r="I179" s="836"/>
    </row>
    <row r="180" spans="2:9" ht="15" thickBot="1" x14ac:dyDescent="0.4">
      <c r="B180" s="866"/>
      <c r="C180" s="885" t="s">
        <v>1164</v>
      </c>
      <c r="D180" s="1188">
        <v>316.9348406417086</v>
      </c>
      <c r="E180" s="1188">
        <v>144.18474394761742</v>
      </c>
      <c r="F180" s="1188">
        <f ca="1"/>
        <v>166.50335812931954</v>
      </c>
      <c r="G180" s="1188">
        <f t="shared" ca="1" si="18"/>
        <v>-22.318614181702117</v>
      </c>
      <c r="H180" s="836"/>
      <c r="I180" s="836"/>
    </row>
    <row r="181" spans="2:9" ht="15" thickBot="1" x14ac:dyDescent="0.4">
      <c r="B181" s="866"/>
      <c r="C181" s="885" t="s">
        <v>1165</v>
      </c>
      <c r="D181" s="1188">
        <v>312.97315513368727</v>
      </c>
      <c r="E181" s="1188">
        <v>145.23008334123767</v>
      </c>
      <c r="F181" s="1188">
        <f ca="1"/>
        <v>164.42206615270305</v>
      </c>
      <c r="G181" s="1188">
        <f t="shared" ca="1" si="18"/>
        <v>-19.19198281146538</v>
      </c>
      <c r="H181" s="836"/>
      <c r="I181" s="836"/>
    </row>
    <row r="182" spans="2:9" ht="15" thickBot="1" x14ac:dyDescent="0.4">
      <c r="B182" s="866"/>
      <c r="C182" s="885" t="s">
        <v>1166</v>
      </c>
      <c r="D182" s="1188">
        <v>309.06099069451619</v>
      </c>
      <c r="E182" s="1188">
        <v>146.28300144546168</v>
      </c>
      <c r="F182" s="1188">
        <f ca="1"/>
        <v>162.36679032579428</v>
      </c>
      <c r="G182" s="1188">
        <f t="shared" ca="1" si="18"/>
        <v>-16.083788880332605</v>
      </c>
      <c r="H182" s="957"/>
      <c r="I182" s="957"/>
    </row>
    <row r="183" spans="2:9" ht="15" thickBot="1" x14ac:dyDescent="0.4">
      <c r="B183" s="866"/>
      <c r="C183" s="885" t="s">
        <v>1167</v>
      </c>
      <c r="D183" s="1188">
        <v>305.19772831083475</v>
      </c>
      <c r="E183" s="1188">
        <v>147.34355320594125</v>
      </c>
      <c r="F183" s="1188">
        <f ca="1"/>
        <v>160.33720544672184</v>
      </c>
      <c r="G183" s="1188">
        <f t="shared" ca="1" si="18"/>
        <v>-12.993652240780591</v>
      </c>
      <c r="H183" s="836"/>
      <c r="I183" s="836"/>
    </row>
    <row r="184" spans="2:9" ht="15" thickBot="1" x14ac:dyDescent="0.4">
      <c r="B184" s="866"/>
      <c r="C184" s="885" t="s">
        <v>1168</v>
      </c>
      <c r="D184" s="1188">
        <v>301.38275670694935</v>
      </c>
      <c r="E184" s="1188">
        <v>148.41179396668434</v>
      </c>
      <c r="F184" s="1188">
        <f ca="1"/>
        <v>158.33299037863782</v>
      </c>
      <c r="G184" s="1188">
        <f t="shared" ca="1" si="18"/>
        <v>-9.9211964119534741</v>
      </c>
      <c r="H184" s="836"/>
      <c r="I184" s="836"/>
    </row>
    <row r="185" spans="2:9" ht="15" thickBot="1" x14ac:dyDescent="0.4">
      <c r="B185" s="866"/>
      <c r="C185" s="885" t="s">
        <v>1169</v>
      </c>
      <c r="D185" s="1188">
        <v>297.6154722481125</v>
      </c>
      <c r="E185" s="1188">
        <v>149.4877794729428</v>
      </c>
      <c r="F185" s="1188">
        <f ca="1"/>
        <v>156.35382799890488</v>
      </c>
      <c r="G185" s="1188">
        <f t="shared" ca="1" si="18"/>
        <v>-6.8660485259620714</v>
      </c>
      <c r="H185" s="836"/>
      <c r="I185" s="836"/>
    </row>
    <row r="186" spans="2:9" ht="15" thickBot="1" x14ac:dyDescent="0.4">
      <c r="B186" s="866"/>
      <c r="C186" s="885" t="s">
        <v>1170</v>
      </c>
      <c r="D186" s="1188">
        <v>293.89527884501109</v>
      </c>
      <c r="E186" s="1188">
        <v>150.57156587412166</v>
      </c>
      <c r="F186" s="1188">
        <f ca="1"/>
        <v>154.39940514891856</v>
      </c>
      <c r="G186" s="1188">
        <f t="shared" ca="1" si="18"/>
        <v>-3.8278392747969008</v>
      </c>
      <c r="H186" s="836"/>
      <c r="I186" s="836"/>
    </row>
    <row r="187" spans="2:9" ht="15" thickBot="1" x14ac:dyDescent="0.4">
      <c r="B187" s="962"/>
      <c r="C187" s="885" t="s">
        <v>1171</v>
      </c>
      <c r="D187" s="1188">
        <v>290.2215878594485</v>
      </c>
      <c r="E187" s="1188">
        <v>151.66320972670908</v>
      </c>
      <c r="F187" s="1188">
        <f ca="1"/>
        <v>152.46941258455712</v>
      </c>
      <c r="G187" s="1188">
        <f t="shared" ca="1" si="18"/>
        <v>-0.80620285784803514</v>
      </c>
      <c r="H187" s="955"/>
      <c r="I187" s="955"/>
    </row>
    <row r="188" spans="2:9" ht="15" thickBot="1" x14ac:dyDescent="0.4">
      <c r="B188" s="956"/>
      <c r="C188" s="885" t="s">
        <v>1172</v>
      </c>
      <c r="D188" s="1188">
        <v>286.59381801120537</v>
      </c>
      <c r="E188" s="1188">
        <v>152.76276799722768</v>
      </c>
      <c r="F188" s="1188">
        <f ca="1"/>
        <v>150.56354492725012</v>
      </c>
      <c r="G188" s="1188">
        <f t="shared" ca="1" si="18"/>
        <v>2.1992230699775632</v>
      </c>
      <c r="H188" s="836"/>
      <c r="I188" s="836"/>
    </row>
    <row r="189" spans="2:9" ht="15" thickBot="1" x14ac:dyDescent="0.4">
      <c r="B189" s="956"/>
      <c r="C189" s="885" t="s">
        <v>1173</v>
      </c>
      <c r="D189" s="1188">
        <v>283.01139528606535</v>
      </c>
      <c r="E189" s="1188">
        <v>153.87029806520763</v>
      </c>
      <c r="F189" s="1188">
        <f ca="1"/>
        <v>148.68150061565953</v>
      </c>
      <c r="G189" s="1188">
        <f t="shared" ca="1" si="18"/>
        <v>5.1887974495481046</v>
      </c>
      <c r="H189" s="836"/>
      <c r="I189" s="836"/>
    </row>
    <row r="190" spans="2:9" ht="15" thickBot="1" x14ac:dyDescent="0.4">
      <c r="B190" s="956"/>
      <c r="C190" s="885" t="s">
        <v>1174</v>
      </c>
      <c r="D190" s="1188">
        <v>279.47375284498952</v>
      </c>
      <c r="E190" s="1188">
        <v>154.98585772618037</v>
      </c>
      <c r="F190" s="1188">
        <f ca="1"/>
        <v>146.82298185796378</v>
      </c>
      <c r="G190" s="1188">
        <f t="shared" ca="1" si="18"/>
        <v>8.1628758682165881</v>
      </c>
      <c r="H190" s="836"/>
      <c r="I190" s="836"/>
    </row>
    <row r="191" spans="2:9" ht="15" thickBot="1" x14ac:dyDescent="0.4">
      <c r="B191" s="962"/>
      <c r="C191" s="885" t="s">
        <v>1175</v>
      </c>
      <c r="D191" s="1188">
        <v>275.98033093442717</v>
      </c>
      <c r="E191" s="1188">
        <v>156.1095051946952</v>
      </c>
      <c r="F191" s="1188">
        <f ca="1"/>
        <v>144.98769458473924</v>
      </c>
      <c r="G191" s="1188">
        <f t="shared" ca="1" si="18"/>
        <v>11.121810609955958</v>
      </c>
      <c r="H191" s="955"/>
      <c r="I191" s="955"/>
    </row>
    <row r="192" spans="2:9" ht="15" thickBot="1" x14ac:dyDescent="0.4">
      <c r="B192" s="958"/>
      <c r="C192" s="885" t="s">
        <v>1176</v>
      </c>
      <c r="D192" s="1188">
        <v>272.53057679774685</v>
      </c>
      <c r="E192" s="1188">
        <v>157.24129910735672</v>
      </c>
      <c r="F192" s="1188">
        <f ca="1"/>
        <v>143.17534840242999</v>
      </c>
      <c r="G192" s="1188">
        <f t="shared" ca="1" si="18"/>
        <v>14.065950704926735</v>
      </c>
      <c r="H192" s="836"/>
      <c r="I192" s="836"/>
    </row>
    <row r="193" spans="2:12" ht="15" thickBot="1" x14ac:dyDescent="0.4">
      <c r="B193" s="958"/>
      <c r="C193" s="885" t="s">
        <v>1177</v>
      </c>
      <c r="D193" s="1188">
        <v>269.12394458777499</v>
      </c>
      <c r="E193" s="1188">
        <v>158.38129852588506</v>
      </c>
      <c r="F193" s="1188">
        <f ca="1"/>
        <v>141.38565654739961</v>
      </c>
      <c r="G193" s="1188">
        <f t="shared" ca="1" si="18"/>
        <v>16.995641978485452</v>
      </c>
      <c r="H193" s="836"/>
      <c r="I193" s="836"/>
    </row>
    <row r="194" spans="2:12" ht="15" thickBot="1" x14ac:dyDescent="0.4">
      <c r="B194" s="958"/>
      <c r="C194" s="885" t="s">
        <v>1178</v>
      </c>
      <c r="D194" s="1188">
        <v>265.75989528042783</v>
      </c>
      <c r="E194" s="1188">
        <v>159.52956294019776</v>
      </c>
      <c r="F194" s="1188">
        <f ca="1"/>
        <v>139.61833584055714</v>
      </c>
      <c r="G194" s="1188">
        <f t="shared" ca="1" si="18"/>
        <v>19.911227099640627</v>
      </c>
      <c r="H194" s="836"/>
      <c r="I194" s="836"/>
    </row>
    <row r="195" spans="2:12" ht="15" thickBot="1" x14ac:dyDescent="0.4">
      <c r="B195" s="958"/>
      <c r="C195" s="885" t="s">
        <v>1179</v>
      </c>
      <c r="D195" s="1188">
        <v>262.43789658942251</v>
      </c>
      <c r="E195" s="1188">
        <v>160.6861522715142</v>
      </c>
      <c r="F195" s="1188">
        <f ca="1"/>
        <v>137.8731066425502</v>
      </c>
      <c r="G195" s="1188">
        <f t="shared" ca="1" si="18"/>
        <v>22.813045628964005</v>
      </c>
      <c r="H195" s="836"/>
      <c r="I195" s="836"/>
    </row>
    <row r="196" spans="2:12" ht="15" thickBot="1" x14ac:dyDescent="0.4">
      <c r="B196" s="958"/>
      <c r="C196" s="885" t="s">
        <v>1180</v>
      </c>
      <c r="D196" s="1188">
        <v>259.15742288205473</v>
      </c>
      <c r="E196" s="1188">
        <v>161.85112687548269</v>
      </c>
      <c r="F196" s="1188">
        <f ca="1"/>
        <v>136.14969280951831</v>
      </c>
      <c r="G196" s="1188">
        <f t="shared" ca="1" si="18"/>
        <v>25.701434065964378</v>
      </c>
      <c r="H196" s="486"/>
      <c r="I196" s="486"/>
    </row>
    <row r="197" spans="2:12" ht="15" thickBot="1" x14ac:dyDescent="0.4">
      <c r="B197" s="958"/>
      <c r="C197" s="885" t="s">
        <v>1181</v>
      </c>
      <c r="D197" s="1188">
        <v>255.91795509602909</v>
      </c>
      <c r="E197" s="1188">
        <v>163.02454754532999</v>
      </c>
      <c r="F197" s="1188">
        <f ca="1"/>
        <v>134.44782164939937</v>
      </c>
      <c r="G197" s="1188">
        <f t="shared" ca="1" si="18"/>
        <v>28.576725895930622</v>
      </c>
      <c r="H197" s="836"/>
      <c r="I197" s="836"/>
    </row>
    <row r="198" spans="2:12" ht="15" thickBot="1" x14ac:dyDescent="0.4">
      <c r="B198" s="958"/>
      <c r="C198" s="885" t="s">
        <v>1196</v>
      </c>
      <c r="D198" s="1188">
        <v>252.71898065732873</v>
      </c>
      <c r="E198" s="1188">
        <v>164.20647551503365</v>
      </c>
      <c r="F198" s="1188">
        <f ca="1"/>
        <v>132.76722387878186</v>
      </c>
      <c r="G198" s="1188">
        <f t="shared" ca="1" si="18"/>
        <v>31.439251636251782</v>
      </c>
      <c r="H198" s="836"/>
      <c r="I198" s="836"/>
    </row>
    <row r="199" spans="2:12" ht="15" thickBot="1" x14ac:dyDescent="0.4">
      <c r="B199" s="958"/>
      <c r="C199" s="885"/>
      <c r="D199" s="1206">
        <v>147.01904533227525</v>
      </c>
      <c r="E199" s="1206">
        <v>96.477513658964625</v>
      </c>
      <c r="F199" s="1206">
        <f ca="1"/>
        <v>77.237216038560803</v>
      </c>
      <c r="G199" s="1188">
        <f t="shared" ca="1" si="18"/>
        <v>19.240297620403823</v>
      </c>
      <c r="H199" s="836"/>
      <c r="I199" s="836"/>
    </row>
    <row r="200" spans="2:12" ht="15" thickBot="1" x14ac:dyDescent="0.4">
      <c r="B200" s="958"/>
      <c r="C200" s="1266" t="s">
        <v>1238</v>
      </c>
      <c r="D200" s="1267"/>
      <c r="E200" s="1267"/>
      <c r="F200" s="1267"/>
      <c r="G200" s="1268"/>
      <c r="H200" s="836"/>
      <c r="I200" s="836"/>
    </row>
    <row r="201" spans="2:12" x14ac:dyDescent="0.35">
      <c r="B201" s="962"/>
      <c r="C201" s="960"/>
      <c r="D201" s="956"/>
      <c r="E201" s="482"/>
      <c r="F201" s="955"/>
      <c r="G201" s="963"/>
      <c r="H201" s="955"/>
      <c r="I201" s="955"/>
    </row>
    <row r="202" spans="2:12" x14ac:dyDescent="0.35">
      <c r="B202" s="956"/>
      <c r="C202" s="486"/>
      <c r="D202" s="956"/>
      <c r="E202" s="835"/>
      <c r="F202" s="823"/>
      <c r="G202" s="836">
        <f ca="1">SUM(G174:G199)</f>
        <v>-66.510183946753216</v>
      </c>
      <c r="H202" s="836"/>
      <c r="I202" s="836"/>
    </row>
    <row r="203" spans="2:12" x14ac:dyDescent="0.35">
      <c r="B203" s="956"/>
      <c r="C203" s="955"/>
      <c r="D203" s="956"/>
      <c r="E203" s="835"/>
      <c r="F203" s="823"/>
      <c r="G203" s="836"/>
      <c r="H203" s="836"/>
      <c r="I203" s="836"/>
    </row>
    <row r="204" spans="2:12" x14ac:dyDescent="0.35">
      <c r="B204" s="956"/>
      <c r="D204" s="758" t="s">
        <v>1025</v>
      </c>
    </row>
    <row r="205" spans="2:12" x14ac:dyDescent="0.35">
      <c r="B205" s="956"/>
    </row>
    <row r="206" spans="2:12" x14ac:dyDescent="0.35">
      <c r="B206" s="956"/>
    </row>
    <row r="207" spans="2:12" x14ac:dyDescent="0.35">
      <c r="B207" s="956"/>
      <c r="C207" s="1159" t="s">
        <v>773</v>
      </c>
      <c r="D207" s="1160"/>
      <c r="E207" s="1161"/>
      <c r="F207" s="1160"/>
      <c r="G207" s="1160"/>
      <c r="H207" s="1160"/>
      <c r="I207" s="1160"/>
      <c r="J207" s="1160"/>
      <c r="K207" s="1160"/>
      <c r="L207" s="1160"/>
    </row>
    <row r="208" spans="2:12" x14ac:dyDescent="0.35">
      <c r="B208" s="956"/>
      <c r="C208" s="519" t="s">
        <v>448</v>
      </c>
      <c r="D208" s="519" t="s">
        <v>15</v>
      </c>
      <c r="E208" s="520" t="s">
        <v>865</v>
      </c>
      <c r="F208" s="520" t="s">
        <v>290</v>
      </c>
      <c r="G208" s="520" t="s">
        <v>1033</v>
      </c>
      <c r="H208" s="520" t="s">
        <v>1006</v>
      </c>
      <c r="I208" s="520" t="s">
        <v>1028</v>
      </c>
      <c r="J208" s="520" t="s">
        <v>807</v>
      </c>
      <c r="K208" s="520" t="s">
        <v>120</v>
      </c>
      <c r="L208" s="520" t="s">
        <v>798</v>
      </c>
    </row>
    <row r="209" spans="2:12" x14ac:dyDescent="0.35">
      <c r="B209" s="956"/>
      <c r="C209" s="521"/>
      <c r="D209" s="522" t="s">
        <v>808</v>
      </c>
      <c r="E209" s="523"/>
      <c r="F209" s="523"/>
      <c r="G209" s="523"/>
      <c r="H209" s="523"/>
      <c r="I209" s="523"/>
      <c r="J209" s="521" t="s">
        <v>743</v>
      </c>
      <c r="K209" s="521" t="s">
        <v>743</v>
      </c>
      <c r="L209" s="521" t="s">
        <v>743</v>
      </c>
    </row>
    <row r="210" spans="2:12" x14ac:dyDescent="0.35">
      <c r="B210" s="956"/>
      <c r="C210" s="333">
        <v>1</v>
      </c>
      <c r="D210" s="512" t="s">
        <v>738</v>
      </c>
      <c r="E210" s="333" t="s">
        <v>863</v>
      </c>
      <c r="F210" s="333">
        <v>4</v>
      </c>
      <c r="G210" s="393">
        <v>1321.9839999999999</v>
      </c>
      <c r="H210" s="393">
        <f t="shared" ref="H210:H218" si="19">J210*G$1</f>
        <v>4494.7455999999993</v>
      </c>
      <c r="I210" s="393">
        <f t="shared" ref="I210:I218" si="20">K210*H$1</f>
        <v>114.21941759999999</v>
      </c>
      <c r="J210" s="393">
        <v>5287.9359999999997</v>
      </c>
      <c r="K210" s="513">
        <v>951.8284799999999</v>
      </c>
      <c r="L210" s="912">
        <v>6239.7644799999998</v>
      </c>
    </row>
    <row r="211" spans="2:12" x14ac:dyDescent="0.35">
      <c r="B211" s="956"/>
      <c r="C211" s="333">
        <v>2</v>
      </c>
      <c r="D211" s="512" t="s">
        <v>282</v>
      </c>
      <c r="E211" s="333" t="s">
        <v>863</v>
      </c>
      <c r="F211" s="333">
        <v>12</v>
      </c>
      <c r="G211" s="393">
        <v>20.534000000000002</v>
      </c>
      <c r="H211" s="393">
        <f t="shared" si="19"/>
        <v>209.4468</v>
      </c>
      <c r="I211" s="393">
        <f t="shared" si="20"/>
        <v>5.3224127999999995</v>
      </c>
      <c r="J211" s="393">
        <v>246.40800000000002</v>
      </c>
      <c r="K211" s="513">
        <v>44.353439999999999</v>
      </c>
      <c r="L211" s="912">
        <v>290.76143999999999</v>
      </c>
    </row>
    <row r="212" spans="2:12" x14ac:dyDescent="0.35">
      <c r="B212" s="956"/>
      <c r="C212" s="333">
        <v>3</v>
      </c>
      <c r="D212" s="512" t="s">
        <v>742</v>
      </c>
      <c r="E212" s="333" t="s">
        <v>863</v>
      </c>
      <c r="F212" s="333">
        <v>8</v>
      </c>
      <c r="G212" s="393">
        <v>13.023125</v>
      </c>
      <c r="H212" s="393">
        <f t="shared" si="19"/>
        <v>88.557249999999996</v>
      </c>
      <c r="I212" s="393">
        <f t="shared" si="20"/>
        <v>2.2503959999999998</v>
      </c>
      <c r="J212" s="393">
        <v>104.185</v>
      </c>
      <c r="K212" s="513">
        <v>18.753299999999999</v>
      </c>
      <c r="L212" s="912">
        <v>122.9383</v>
      </c>
    </row>
    <row r="213" spans="2:12" x14ac:dyDescent="0.35">
      <c r="B213" s="956"/>
      <c r="C213" s="333">
        <v>4</v>
      </c>
      <c r="D213" s="512" t="s">
        <v>283</v>
      </c>
      <c r="E213" s="333" t="s">
        <v>863</v>
      </c>
      <c r="F213" s="333">
        <v>4</v>
      </c>
      <c r="G213" s="393">
        <v>19.829999999999998</v>
      </c>
      <c r="H213" s="393">
        <f t="shared" si="19"/>
        <v>67.421999999999997</v>
      </c>
      <c r="I213" s="393">
        <f t="shared" si="20"/>
        <v>1.7133119999999997</v>
      </c>
      <c r="J213" s="393">
        <v>79.319999999999993</v>
      </c>
      <c r="K213" s="513">
        <v>14.277599999999998</v>
      </c>
      <c r="L213" s="912">
        <v>93.597599999999986</v>
      </c>
    </row>
    <row r="214" spans="2:12" x14ac:dyDescent="0.35">
      <c r="B214" s="956"/>
      <c r="C214" s="333">
        <v>5</v>
      </c>
      <c r="D214" s="512" t="s">
        <v>741</v>
      </c>
      <c r="E214" s="333" t="s">
        <v>866</v>
      </c>
      <c r="F214" s="333">
        <v>60</v>
      </c>
      <c r="G214" s="393">
        <v>20.5915</v>
      </c>
      <c r="H214" s="393">
        <f t="shared" si="19"/>
        <v>1050.1665</v>
      </c>
      <c r="I214" s="393">
        <f t="shared" si="20"/>
        <v>26.686583999999996</v>
      </c>
      <c r="J214" s="393">
        <v>1235.49</v>
      </c>
      <c r="K214" s="513">
        <v>222.38819999999998</v>
      </c>
      <c r="L214" s="912">
        <v>1457.8782000000001</v>
      </c>
    </row>
    <row r="215" spans="2:12" x14ac:dyDescent="0.35">
      <c r="B215" s="956"/>
      <c r="C215" s="333">
        <v>6</v>
      </c>
      <c r="D215" s="512" t="s">
        <v>284</v>
      </c>
      <c r="E215" s="333" t="s">
        <v>863</v>
      </c>
      <c r="F215" s="333">
        <v>4</v>
      </c>
      <c r="G215" s="393">
        <v>41.547999999999995</v>
      </c>
      <c r="H215" s="393">
        <f t="shared" si="19"/>
        <v>141.26319999999998</v>
      </c>
      <c r="I215" s="393">
        <f t="shared" si="20"/>
        <v>3.5897471999999992</v>
      </c>
      <c r="J215" s="393">
        <v>166.19199999999998</v>
      </c>
      <c r="K215" s="513">
        <v>29.914559999999994</v>
      </c>
      <c r="L215" s="912">
        <v>196.10655999999997</v>
      </c>
    </row>
    <row r="216" spans="2:12" x14ac:dyDescent="0.35">
      <c r="B216" s="956"/>
      <c r="C216" s="333">
        <v>7</v>
      </c>
      <c r="D216" s="512" t="s">
        <v>740</v>
      </c>
      <c r="E216" s="333" t="s">
        <v>863</v>
      </c>
      <c r="F216" s="333">
        <v>3</v>
      </c>
      <c r="G216" s="393">
        <v>41.547999999999995</v>
      </c>
      <c r="H216" s="393">
        <f t="shared" si="19"/>
        <v>105.94739999999997</v>
      </c>
      <c r="I216" s="393">
        <f t="shared" si="20"/>
        <v>2.6923103999999993</v>
      </c>
      <c r="J216" s="393">
        <v>124.64399999999998</v>
      </c>
      <c r="K216" s="513">
        <v>22.435919999999996</v>
      </c>
      <c r="L216" s="912">
        <v>147.07991999999996</v>
      </c>
    </row>
    <row r="217" spans="2:12" x14ac:dyDescent="0.35">
      <c r="B217" s="956"/>
      <c r="C217" s="333">
        <v>8</v>
      </c>
      <c r="D217" s="512" t="s">
        <v>739</v>
      </c>
      <c r="E217" s="333" t="s">
        <v>863</v>
      </c>
      <c r="F217" s="333">
        <v>1</v>
      </c>
      <c r="G217" s="393">
        <v>41.547999999999995</v>
      </c>
      <c r="H217" s="393">
        <f t="shared" si="19"/>
        <v>35.315799999999996</v>
      </c>
      <c r="I217" s="393">
        <f t="shared" si="20"/>
        <v>0.89743679999999981</v>
      </c>
      <c r="J217" s="393">
        <v>41.547999999999995</v>
      </c>
      <c r="K217" s="513">
        <v>7.4786399999999986</v>
      </c>
      <c r="L217" s="912">
        <v>49.026639999999993</v>
      </c>
    </row>
    <row r="218" spans="2:12" x14ac:dyDescent="0.35">
      <c r="B218" s="956"/>
      <c r="C218" s="333">
        <v>9</v>
      </c>
      <c r="D218" s="512" t="s">
        <v>286</v>
      </c>
      <c r="E218" s="333" t="s">
        <v>863</v>
      </c>
      <c r="F218" s="333">
        <v>1</v>
      </c>
      <c r="G218" s="393">
        <v>408.00999999999993</v>
      </c>
      <c r="H218" s="393">
        <f t="shared" si="19"/>
        <v>346.80849999999992</v>
      </c>
      <c r="I218" s="393">
        <f t="shared" si="20"/>
        <v>8.8130159999999975</v>
      </c>
      <c r="J218" s="393">
        <v>408.00999999999993</v>
      </c>
      <c r="K218" s="513">
        <v>73.441799999999986</v>
      </c>
      <c r="L218" s="912">
        <v>481.45179999999993</v>
      </c>
    </row>
    <row r="219" spans="2:12" ht="15" thickBot="1" x14ac:dyDescent="0.4">
      <c r="B219" s="956"/>
      <c r="C219" s="925" t="s">
        <v>268</v>
      </c>
      <c r="D219" s="926" t="s">
        <v>445</v>
      </c>
      <c r="E219" s="927"/>
      <c r="F219" s="928"/>
      <c r="G219" s="924"/>
      <c r="H219" s="1162">
        <f>J219*$G$1</f>
        <v>6539.6730500000003</v>
      </c>
      <c r="I219" s="1162">
        <f>J219*$H$1</f>
        <v>923.24796000000003</v>
      </c>
      <c r="J219" s="929">
        <v>7693.7330000000002</v>
      </c>
      <c r="K219" s="929">
        <v>1384.8719399999995</v>
      </c>
      <c r="L219" s="929">
        <v>9078.6049400000011</v>
      </c>
    </row>
    <row r="220" spans="2:12" x14ac:dyDescent="0.35">
      <c r="B220" s="956"/>
      <c r="C220" s="521"/>
      <c r="D220" s="522" t="s">
        <v>271</v>
      </c>
      <c r="E220" s="523"/>
      <c r="F220" s="533"/>
      <c r="G220" s="533"/>
      <c r="H220" s="533"/>
      <c r="I220" s="533"/>
      <c r="J220" s="533"/>
      <c r="K220" s="533"/>
      <c r="L220" s="533"/>
    </row>
    <row r="221" spans="2:12" x14ac:dyDescent="0.35">
      <c r="B221" s="956"/>
      <c r="C221" s="435"/>
      <c r="D221" s="529" t="s">
        <v>338</v>
      </c>
      <c r="E221" s="529"/>
      <c r="F221" s="436"/>
      <c r="G221" s="540"/>
      <c r="H221" s="540"/>
      <c r="I221" s="540"/>
      <c r="J221" s="540"/>
      <c r="K221" s="540"/>
      <c r="L221" s="540"/>
    </row>
    <row r="222" spans="2:12" x14ac:dyDescent="0.35">
      <c r="B222" s="962"/>
      <c r="C222" s="333">
        <v>1</v>
      </c>
      <c r="D222" s="460" t="s">
        <v>339</v>
      </c>
      <c r="E222" s="41" t="s">
        <v>867</v>
      </c>
      <c r="F222" s="392">
        <v>4</v>
      </c>
      <c r="G222" s="911">
        <f>H222/F222</f>
        <v>35.132184359999997</v>
      </c>
      <c r="H222" s="393">
        <f t="shared" ref="H222:I226" si="21">J222*G$1</f>
        <v>140.52873743999999</v>
      </c>
      <c r="I222" s="393">
        <f t="shared" si="21"/>
        <v>3.5710832102399994</v>
      </c>
      <c r="J222" s="395">
        <v>165.3279264</v>
      </c>
      <c r="K222" s="392">
        <v>29.759026751999997</v>
      </c>
      <c r="L222" s="392">
        <v>195.08695315199998</v>
      </c>
    </row>
    <row r="223" spans="2:12" x14ac:dyDescent="0.35">
      <c r="B223" s="866"/>
      <c r="C223" s="333">
        <v>2</v>
      </c>
      <c r="D223" s="460" t="s">
        <v>340</v>
      </c>
      <c r="E223" s="41" t="s">
        <v>867</v>
      </c>
      <c r="F223" s="392">
        <v>4</v>
      </c>
      <c r="G223" s="911">
        <f>H223/F223</f>
        <v>102.30993125000002</v>
      </c>
      <c r="H223" s="393">
        <f t="shared" si="21"/>
        <v>409.23972500000008</v>
      </c>
      <c r="I223" s="393">
        <f t="shared" si="21"/>
        <v>10.399503600000001</v>
      </c>
      <c r="J223" s="395">
        <v>481.45850000000007</v>
      </c>
      <c r="K223" s="392">
        <v>86.662530000000004</v>
      </c>
      <c r="L223" s="392">
        <v>568.12103000000002</v>
      </c>
    </row>
    <row r="224" spans="2:12" x14ac:dyDescent="0.35">
      <c r="B224" s="866"/>
      <c r="C224" s="333">
        <v>3</v>
      </c>
      <c r="D224" s="460" t="s">
        <v>356</v>
      </c>
      <c r="E224" s="41" t="s">
        <v>867</v>
      </c>
      <c r="F224" s="392">
        <v>4</v>
      </c>
      <c r="G224" s="911">
        <f>H224/F224</f>
        <v>3.37263</v>
      </c>
      <c r="H224" s="393">
        <f t="shared" si="21"/>
        <v>13.49052</v>
      </c>
      <c r="I224" s="393">
        <f t="shared" si="21"/>
        <v>0.34281791999999994</v>
      </c>
      <c r="J224" s="395">
        <v>15.8712</v>
      </c>
      <c r="K224" s="392">
        <v>2.8568159999999998</v>
      </c>
      <c r="L224" s="392">
        <v>18.728016</v>
      </c>
    </row>
    <row r="225" spans="3:12" x14ac:dyDescent="0.35">
      <c r="C225" s="333">
        <v>4</v>
      </c>
      <c r="D225" s="460" t="s">
        <v>360</v>
      </c>
      <c r="E225" s="41" t="s">
        <v>867</v>
      </c>
      <c r="F225" s="392">
        <v>4</v>
      </c>
      <c r="G225" s="911">
        <f>H225/F225</f>
        <v>0.34271999999999997</v>
      </c>
      <c r="H225" s="393">
        <f t="shared" si="21"/>
        <v>1.3708799999999999</v>
      </c>
      <c r="I225" s="393">
        <f t="shared" si="21"/>
        <v>3.4836479999999996E-2</v>
      </c>
      <c r="J225" s="395">
        <v>1.6128</v>
      </c>
      <c r="K225" s="392">
        <v>0.29030400000000001</v>
      </c>
      <c r="L225" s="392">
        <v>1.9031039999999999</v>
      </c>
    </row>
    <row r="226" spans="3:12" x14ac:dyDescent="0.35">
      <c r="C226" s="333">
        <v>5</v>
      </c>
      <c r="D226" s="460" t="s">
        <v>362</v>
      </c>
      <c r="E226" s="41" t="s">
        <v>867</v>
      </c>
      <c r="F226" s="392">
        <v>4</v>
      </c>
      <c r="G226" s="911">
        <f>H226/F226</f>
        <v>0.32712855625000004</v>
      </c>
      <c r="H226" s="393">
        <f t="shared" si="21"/>
        <v>1.3085142250000001</v>
      </c>
      <c r="I226" s="393">
        <f t="shared" si="21"/>
        <v>3.3251655599999999E-2</v>
      </c>
      <c r="J226" s="395">
        <v>1.5394285000000001</v>
      </c>
      <c r="K226" s="392">
        <v>0.27709713000000002</v>
      </c>
      <c r="L226" s="392">
        <v>1.8165256300000001</v>
      </c>
    </row>
    <row r="227" spans="3:12" x14ac:dyDescent="0.35">
      <c r="C227" s="435"/>
      <c r="D227" s="529" t="s">
        <v>799</v>
      </c>
      <c r="E227" s="529"/>
      <c r="F227" s="436"/>
      <c r="G227" s="540"/>
      <c r="H227" s="540"/>
      <c r="I227" s="540"/>
      <c r="J227" s="542"/>
      <c r="K227" s="540"/>
      <c r="L227" s="540"/>
    </row>
    <row r="228" spans="3:12" x14ac:dyDescent="0.35">
      <c r="C228" s="333">
        <v>1</v>
      </c>
      <c r="D228" s="460" t="s">
        <v>367</v>
      </c>
      <c r="E228" s="41" t="s">
        <v>867</v>
      </c>
      <c r="F228" s="392">
        <v>1</v>
      </c>
      <c r="G228" s="911">
        <f>H228/F228</f>
        <v>1.8972000000000002</v>
      </c>
      <c r="H228" s="393">
        <f t="shared" ref="H228:I234" si="22">J228*G$1</f>
        <v>1.8972000000000002</v>
      </c>
      <c r="I228" s="393">
        <f t="shared" si="22"/>
        <v>4.8211199999999996E-2</v>
      </c>
      <c r="J228" s="395">
        <v>2.2320000000000002</v>
      </c>
      <c r="K228" s="392">
        <v>0.40176000000000001</v>
      </c>
      <c r="L228" s="392">
        <v>2.6337600000000001</v>
      </c>
    </row>
    <row r="229" spans="3:12" x14ac:dyDescent="0.35">
      <c r="C229" s="333">
        <v>2</v>
      </c>
      <c r="D229" s="460" t="s">
        <v>726</v>
      </c>
      <c r="E229" s="41" t="s">
        <v>867</v>
      </c>
      <c r="F229" s="392">
        <v>1</v>
      </c>
      <c r="G229" s="911">
        <f t="shared" ref="G229:G234" si="23">H229/F229</f>
        <v>136.01173679999999</v>
      </c>
      <c r="H229" s="393">
        <f t="shared" si="22"/>
        <v>136.01173679999999</v>
      </c>
      <c r="I229" s="393">
        <f t="shared" si="22"/>
        <v>3.456298252799999</v>
      </c>
      <c r="J229" s="395">
        <v>160.01380799999998</v>
      </c>
      <c r="K229" s="392">
        <v>28.802485439999995</v>
      </c>
      <c r="L229" s="392">
        <v>188.81629343999998</v>
      </c>
    </row>
    <row r="230" spans="3:12" x14ac:dyDescent="0.35">
      <c r="C230" s="333">
        <v>3</v>
      </c>
      <c r="D230" s="460" t="s">
        <v>374</v>
      </c>
      <c r="E230" s="41" t="s">
        <v>867</v>
      </c>
      <c r="F230" s="392">
        <v>1</v>
      </c>
      <c r="G230" s="911">
        <f t="shared" si="23"/>
        <v>26.996000000000002</v>
      </c>
      <c r="H230" s="393">
        <f t="shared" si="22"/>
        <v>26.996000000000002</v>
      </c>
      <c r="I230" s="393">
        <f t="shared" si="22"/>
        <v>0.68601599999999996</v>
      </c>
      <c r="J230" s="395">
        <v>31.76</v>
      </c>
      <c r="K230" s="392">
        <v>5.7168000000000001</v>
      </c>
      <c r="L230" s="392">
        <v>37.476800000000004</v>
      </c>
    </row>
    <row r="231" spans="3:12" x14ac:dyDescent="0.35">
      <c r="C231" s="333">
        <v>4</v>
      </c>
      <c r="D231" s="460" t="s">
        <v>377</v>
      </c>
      <c r="E231" s="41" t="s">
        <v>867</v>
      </c>
      <c r="F231" s="392">
        <v>1</v>
      </c>
      <c r="G231" s="911">
        <f t="shared" si="23"/>
        <v>0.71399999999999997</v>
      </c>
      <c r="H231" s="393">
        <f t="shared" si="22"/>
        <v>0.71399999999999997</v>
      </c>
      <c r="I231" s="393">
        <f t="shared" si="22"/>
        <v>1.8144E-2</v>
      </c>
      <c r="J231" s="395">
        <v>0.84</v>
      </c>
      <c r="K231" s="392">
        <v>0.1512</v>
      </c>
      <c r="L231" s="392">
        <v>0.99119999999999997</v>
      </c>
    </row>
    <row r="232" spans="3:12" x14ac:dyDescent="0.35">
      <c r="C232" s="333">
        <v>5</v>
      </c>
      <c r="D232" s="459" t="s">
        <v>379</v>
      </c>
      <c r="E232" s="41" t="s">
        <v>867</v>
      </c>
      <c r="F232" s="392">
        <v>1</v>
      </c>
      <c r="G232" s="911">
        <f t="shared" si="23"/>
        <v>90.78</v>
      </c>
      <c r="H232" s="393">
        <f t="shared" si="22"/>
        <v>90.78</v>
      </c>
      <c r="I232" s="393">
        <f t="shared" si="22"/>
        <v>2.30688</v>
      </c>
      <c r="J232" s="395">
        <v>106.8</v>
      </c>
      <c r="K232" s="392">
        <v>19.224</v>
      </c>
      <c r="L232" s="392">
        <v>126.024</v>
      </c>
    </row>
    <row r="233" spans="3:12" x14ac:dyDescent="0.35">
      <c r="C233" s="333">
        <v>6</v>
      </c>
      <c r="D233" s="459" t="s">
        <v>278</v>
      </c>
      <c r="E233" s="41" t="s">
        <v>867</v>
      </c>
      <c r="F233" s="392">
        <v>1</v>
      </c>
      <c r="G233" s="911">
        <f t="shared" si="23"/>
        <v>28.296918833250007</v>
      </c>
      <c r="H233" s="393">
        <f t="shared" si="22"/>
        <v>28.296918833250007</v>
      </c>
      <c r="I233" s="393">
        <f t="shared" si="22"/>
        <v>0.71907464329200022</v>
      </c>
      <c r="J233" s="395">
        <v>33.290492745000009</v>
      </c>
      <c r="K233" s="392">
        <v>5.9922886941000018</v>
      </c>
      <c r="L233" s="392">
        <v>39.282781439100013</v>
      </c>
    </row>
    <row r="234" spans="3:12" x14ac:dyDescent="0.35">
      <c r="C234" s="333">
        <v>7</v>
      </c>
      <c r="D234" s="459" t="s">
        <v>385</v>
      </c>
      <c r="E234" s="41" t="s">
        <v>867</v>
      </c>
      <c r="F234" s="392">
        <v>1</v>
      </c>
      <c r="G234" s="911">
        <f t="shared" si="23"/>
        <v>110.58245019877255</v>
      </c>
      <c r="H234" s="393">
        <f t="shared" si="22"/>
        <v>110.58245019877255</v>
      </c>
      <c r="I234" s="393">
        <f t="shared" si="22"/>
        <v>2.8100952050511609</v>
      </c>
      <c r="J234" s="395">
        <v>130.09700023385005</v>
      </c>
      <c r="K234" s="392">
        <v>23.417460042093008</v>
      </c>
      <c r="L234" s="392">
        <v>153.51446027594307</v>
      </c>
    </row>
    <row r="235" spans="3:12" ht="15" thickBot="1" x14ac:dyDescent="0.4">
      <c r="C235" s="918" t="s">
        <v>270</v>
      </c>
      <c r="D235" s="919" t="s">
        <v>832</v>
      </c>
      <c r="E235" s="919"/>
      <c r="F235" s="923">
        <v>1</v>
      </c>
      <c r="G235" s="924"/>
      <c r="H235" s="1162">
        <f>J235*$G$1</f>
        <v>961.2166824970227</v>
      </c>
      <c r="I235" s="1162">
        <f>J235*$H$1</f>
        <v>135.70117870546201</v>
      </c>
      <c r="J235" s="922">
        <v>1130.8431558788502</v>
      </c>
      <c r="K235" s="923">
        <v>203.55176805819301</v>
      </c>
      <c r="L235" s="922">
        <v>1334.3949239370431</v>
      </c>
    </row>
    <row r="236" spans="3:12" x14ac:dyDescent="0.35">
      <c r="C236" s="521"/>
      <c r="D236" s="522" t="s">
        <v>810</v>
      </c>
      <c r="E236" s="523"/>
      <c r="F236" s="533"/>
      <c r="G236" s="533"/>
      <c r="H236" s="533"/>
      <c r="I236" s="533"/>
      <c r="J236" s="533"/>
      <c r="K236" s="533"/>
      <c r="L236" s="533"/>
    </row>
    <row r="237" spans="3:12" x14ac:dyDescent="0.35">
      <c r="C237" s="333">
        <v>1</v>
      </c>
      <c r="D237" s="512" t="s">
        <v>285</v>
      </c>
      <c r="E237" s="333" t="s">
        <v>867</v>
      </c>
      <c r="F237" s="392">
        <v>2</v>
      </c>
      <c r="G237" s="913">
        <v>42.777999999999999</v>
      </c>
      <c r="H237" s="393">
        <f t="shared" ref="H237:I239" si="24">J237*G$1</f>
        <v>72.7226</v>
      </c>
      <c r="I237" s="393">
        <f t="shared" si="24"/>
        <v>1.8480095999999999</v>
      </c>
      <c r="J237" s="395">
        <v>85.555999999999997</v>
      </c>
      <c r="K237" s="392">
        <v>15.400079999999999</v>
      </c>
      <c r="L237" s="392">
        <v>100.95608</v>
      </c>
    </row>
    <row r="238" spans="3:12" x14ac:dyDescent="0.35">
      <c r="C238" s="333">
        <v>2</v>
      </c>
      <c r="D238" s="512" t="s">
        <v>288</v>
      </c>
      <c r="E238" s="333" t="s">
        <v>868</v>
      </c>
      <c r="F238" s="392">
        <v>300</v>
      </c>
      <c r="G238" s="913">
        <v>0.64763999999999988</v>
      </c>
      <c r="H238" s="393">
        <f t="shared" si="24"/>
        <v>165.14819999999997</v>
      </c>
      <c r="I238" s="393">
        <f t="shared" si="24"/>
        <v>4.1967071999999987</v>
      </c>
      <c r="J238" s="395">
        <v>194.29199999999997</v>
      </c>
      <c r="K238" s="392">
        <v>34.972559999999994</v>
      </c>
      <c r="L238" s="392">
        <v>229.26455999999996</v>
      </c>
    </row>
    <row r="239" spans="3:12" x14ac:dyDescent="0.35">
      <c r="C239" s="333">
        <v>3</v>
      </c>
      <c r="D239" s="512" t="s">
        <v>809</v>
      </c>
      <c r="E239" s="333" t="s">
        <v>869</v>
      </c>
      <c r="F239" s="392">
        <v>1</v>
      </c>
      <c r="G239" s="913">
        <v>142.21949999999998</v>
      </c>
      <c r="H239" s="393">
        <f t="shared" si="24"/>
        <v>120.88657499999998</v>
      </c>
      <c r="I239" s="393">
        <f t="shared" si="24"/>
        <v>3.0719411999999995</v>
      </c>
      <c r="J239" s="395">
        <v>142.21949999999998</v>
      </c>
      <c r="K239" s="392">
        <v>25.599509999999995</v>
      </c>
      <c r="L239" s="392">
        <v>167.81900999999999</v>
      </c>
    </row>
    <row r="240" spans="3:12" x14ac:dyDescent="0.35">
      <c r="C240" s="918" t="s">
        <v>272</v>
      </c>
      <c r="D240" s="919" t="s">
        <v>833</v>
      </c>
      <c r="E240" s="919"/>
      <c r="F240" s="920"/>
      <c r="G240" s="921"/>
      <c r="H240" s="1163">
        <f>J240*$G$1</f>
        <v>358.75737499999991</v>
      </c>
      <c r="I240" s="1163">
        <f>J240*$H$1</f>
        <v>50.648099999999992</v>
      </c>
      <c r="J240" s="922">
        <v>422.06749999999994</v>
      </c>
      <c r="K240" s="923">
        <v>75.972149999999985</v>
      </c>
      <c r="L240" s="922">
        <v>498.03964999999994</v>
      </c>
    </row>
    <row r="241" spans="3:12" x14ac:dyDescent="0.35">
      <c r="C241" s="10"/>
      <c r="D241" s="10"/>
      <c r="E241" s="10"/>
      <c r="F241" s="10"/>
      <c r="G241" s="10"/>
      <c r="H241" s="10"/>
      <c r="I241" s="10"/>
      <c r="J241" s="10"/>
      <c r="K241" s="10"/>
      <c r="L241" s="10"/>
    </row>
    <row r="242" spans="3:12" ht="15" thickBot="1" x14ac:dyDescent="0.4">
      <c r="C242" s="1164"/>
      <c r="D242" s="1158" t="s">
        <v>1145</v>
      </c>
      <c r="E242" s="1165"/>
      <c r="F242" s="1165"/>
      <c r="G242" s="1165"/>
      <c r="H242" s="1166">
        <f>H240+H235+H219</f>
        <v>7859.6471074970232</v>
      </c>
      <c r="I242" s="1166">
        <f t="shared" ref="I242:L242" si="25">I240+I235+I219</f>
        <v>1109.5972387054621</v>
      </c>
      <c r="J242" s="1166">
        <f t="shared" si="25"/>
        <v>9246.64365587885</v>
      </c>
      <c r="K242" s="1166">
        <f t="shared" si="25"/>
        <v>1664.3958580581925</v>
      </c>
      <c r="L242" s="1166">
        <f t="shared" si="25"/>
        <v>10911.039513937045</v>
      </c>
    </row>
    <row r="243" spans="3:12" ht="15.5" thickTop="1" thickBot="1" x14ac:dyDescent="0.4"/>
    <row r="244" spans="3:12" x14ac:dyDescent="0.35">
      <c r="C244" s="1269" t="s">
        <v>1146</v>
      </c>
      <c r="D244" s="1271" t="s">
        <v>1250</v>
      </c>
      <c r="E244" s="1252" t="s">
        <v>120</v>
      </c>
      <c r="F244" s="1273" t="s">
        <v>988</v>
      </c>
    </row>
    <row r="245" spans="3:12" ht="15" thickBot="1" x14ac:dyDescent="0.4">
      <c r="C245" s="1270"/>
      <c r="D245" s="1272"/>
      <c r="E245" s="1253" t="s">
        <v>1251</v>
      </c>
      <c r="F245" s="1274"/>
    </row>
    <row r="246" spans="3:12" ht="15" thickBot="1" x14ac:dyDescent="0.4">
      <c r="C246" s="768" t="s">
        <v>1225</v>
      </c>
      <c r="D246" s="1254"/>
      <c r="E246" s="1254"/>
      <c r="F246" s="1255"/>
    </row>
    <row r="247" spans="3:12" ht="15" thickBot="1" x14ac:dyDescent="0.4">
      <c r="C247" s="768" t="s">
        <v>1227</v>
      </c>
      <c r="D247" s="1257">
        <f>I9</f>
        <v>38728.48272</v>
      </c>
      <c r="E247" s="1257">
        <f t="shared" ref="E247:F247" si="26">J9</f>
        <v>5344.5306153600004</v>
      </c>
      <c r="F247" s="1257">
        <f t="shared" si="26"/>
        <v>44073.013335360003</v>
      </c>
    </row>
    <row r="248" spans="3:12" ht="15" thickBot="1" x14ac:dyDescent="0.4">
      <c r="C248" s="768" t="s">
        <v>1228</v>
      </c>
      <c r="D248" s="1257">
        <f>I17</f>
        <v>2650.5</v>
      </c>
      <c r="E248" s="1257">
        <f t="shared" ref="E248:F248" si="27">J17</f>
        <v>365.76900000000006</v>
      </c>
      <c r="F248" s="1257">
        <f t="shared" si="27"/>
        <v>3016.2690000000002</v>
      </c>
    </row>
    <row r="249" spans="3:12" ht="15" thickBot="1" x14ac:dyDescent="0.4">
      <c r="C249" s="768" t="s">
        <v>1229</v>
      </c>
      <c r="D249" s="1257">
        <f>I45</f>
        <v>32929.860749798601</v>
      </c>
      <c r="E249" s="1257">
        <f t="shared" ref="E249:F249" si="28">J45</f>
        <v>4544.320783472207</v>
      </c>
      <c r="F249" s="1257">
        <f t="shared" si="28"/>
        <v>37474.181533270799</v>
      </c>
    </row>
    <row r="250" spans="3:12" ht="15" thickBot="1" x14ac:dyDescent="0.4">
      <c r="C250" s="768" t="s">
        <v>1230</v>
      </c>
      <c r="D250" s="1257">
        <f>I82</f>
        <v>9693.6582989999988</v>
      </c>
      <c r="E250" s="1257">
        <f t="shared" ref="E250:F250" si="29">J82</f>
        <v>1337.7248452620001</v>
      </c>
      <c r="F250" s="1257">
        <f t="shared" si="29"/>
        <v>11031.383144261999</v>
      </c>
    </row>
    <row r="251" spans="3:12" ht="15" thickBot="1" x14ac:dyDescent="0.4">
      <c r="C251" s="768" t="s">
        <v>929</v>
      </c>
      <c r="D251" s="1257">
        <f>I92</f>
        <v>308.13432</v>
      </c>
      <c r="E251" s="1257">
        <f t="shared" ref="E251:F251" si="30">J92</f>
        <v>42.522536160000001</v>
      </c>
      <c r="F251" s="1257">
        <f t="shared" si="30"/>
        <v>350.65685615999996</v>
      </c>
    </row>
    <row r="252" spans="3:12" ht="15" thickBot="1" x14ac:dyDescent="0.4">
      <c r="C252" s="768" t="s">
        <v>1231</v>
      </c>
      <c r="D252" s="1257">
        <f>I124</f>
        <v>1575.55</v>
      </c>
      <c r="E252" s="1257">
        <f t="shared" ref="E252:F252" si="31">J124</f>
        <v>283.59899999999999</v>
      </c>
      <c r="F252" s="1257">
        <f t="shared" si="31"/>
        <v>1859.1489999999999</v>
      </c>
    </row>
    <row r="253" spans="3:12" ht="15" thickBot="1" x14ac:dyDescent="0.4">
      <c r="C253" s="768" t="s">
        <v>1022</v>
      </c>
      <c r="D253" s="1257">
        <f>I102</f>
        <v>280</v>
      </c>
      <c r="E253" s="1257">
        <f t="shared" ref="E253:F253" si="32">J102</f>
        <v>38.64</v>
      </c>
      <c r="F253" s="1257">
        <f t="shared" si="32"/>
        <v>318.64</v>
      </c>
    </row>
    <row r="254" spans="3:12" ht="15" thickBot="1" x14ac:dyDescent="0.4">
      <c r="C254" s="768" t="s">
        <v>596</v>
      </c>
      <c r="D254" s="1257">
        <f>I112</f>
        <v>1075</v>
      </c>
      <c r="E254" s="1257">
        <f t="shared" ref="E254:F254" si="33">J112</f>
        <v>148.35</v>
      </c>
      <c r="F254" s="1257">
        <f t="shared" si="33"/>
        <v>1223.3499999999999</v>
      </c>
      <c r="G254" s="1256"/>
    </row>
    <row r="255" spans="3:12" ht="15" thickBot="1" x14ac:dyDescent="0.4">
      <c r="C255" s="768" t="s">
        <v>1233</v>
      </c>
      <c r="D255" s="1257">
        <f>J242</f>
        <v>9246.64365587885</v>
      </c>
      <c r="E255" s="1257">
        <f t="shared" ref="E255:F255" si="34">K242</f>
        <v>1664.3958580581925</v>
      </c>
      <c r="F255" s="1257">
        <f t="shared" si="34"/>
        <v>10911.039513937045</v>
      </c>
    </row>
    <row r="256" spans="3:12" ht="15" thickBot="1" x14ac:dyDescent="0.4">
      <c r="C256" s="768" t="s">
        <v>1234</v>
      </c>
      <c r="D256" s="1257"/>
      <c r="E256" s="1257"/>
      <c r="F256" s="1258">
        <f>E267</f>
        <v>11385.604440557396</v>
      </c>
    </row>
    <row r="257" spans="3:7" ht="15" thickBot="1" x14ac:dyDescent="0.4">
      <c r="C257" s="769" t="s">
        <v>968</v>
      </c>
      <c r="D257" s="1259"/>
      <c r="E257" s="1259"/>
      <c r="F257" s="1260">
        <f>SUM(F246:F256)</f>
        <v>121643.28682354724</v>
      </c>
      <c r="G257" s="938"/>
    </row>
    <row r="258" spans="3:7" ht="15" thickBot="1" x14ac:dyDescent="0.4">
      <c r="C258" s="768" t="s">
        <v>1151</v>
      </c>
      <c r="D258" s="1257"/>
      <c r="E258" s="1257"/>
      <c r="F258" s="1258">
        <f ca="1">Working!H37</f>
        <v>2612.3189689629462</v>
      </c>
    </row>
    <row r="259" spans="3:7" ht="15" thickBot="1" x14ac:dyDescent="0.4">
      <c r="C259" s="769" t="s">
        <v>1235</v>
      </c>
      <c r="D259" s="1259"/>
      <c r="E259" s="1259"/>
      <c r="F259" s="1260">
        <f ca="1">F257+F258</f>
        <v>124255.60579251019</v>
      </c>
    </row>
    <row r="262" spans="3:7" ht="15" thickBot="1" x14ac:dyDescent="0.4">
      <c r="C262" t="s">
        <v>1234</v>
      </c>
    </row>
    <row r="263" spans="3:7" ht="15" thickBot="1" x14ac:dyDescent="0.4">
      <c r="C263" s="774" t="s">
        <v>993</v>
      </c>
      <c r="D263" s="766" t="s">
        <v>994</v>
      </c>
      <c r="E263" s="767" t="s">
        <v>1016</v>
      </c>
    </row>
    <row r="264" spans="3:7" ht="15" thickBot="1" x14ac:dyDescent="0.4">
      <c r="C264" s="880">
        <v>1</v>
      </c>
      <c r="D264" s="881" t="s">
        <v>1252</v>
      </c>
      <c r="E264" s="883">
        <f>Working!H32</f>
        <v>10753.630441764024</v>
      </c>
    </row>
    <row r="265" spans="3:7" ht="15" thickBot="1" x14ac:dyDescent="0.4">
      <c r="C265" s="880">
        <v>2</v>
      </c>
      <c r="D265" s="881" t="s">
        <v>1253</v>
      </c>
      <c r="E265" s="883">
        <f>Working!H33</f>
        <v>386.25079879337136</v>
      </c>
    </row>
    <row r="266" spans="3:7" ht="15" thickBot="1" x14ac:dyDescent="0.4">
      <c r="C266" s="880">
        <v>3</v>
      </c>
      <c r="D266" s="881" t="s">
        <v>33</v>
      </c>
      <c r="E266" s="883">
        <f>Working!H34</f>
        <v>245.72319999999993</v>
      </c>
    </row>
    <row r="267" spans="3:7" ht="15" thickBot="1" x14ac:dyDescent="0.4">
      <c r="C267" s="880"/>
      <c r="D267" s="886" t="s">
        <v>811</v>
      </c>
      <c r="E267" s="888">
        <f>SUM(E264:E266)</f>
        <v>11385.604440557396</v>
      </c>
    </row>
  </sheetData>
  <mergeCells count="4">
    <mergeCell ref="C200:G200"/>
    <mergeCell ref="C244:C245"/>
    <mergeCell ref="D244:D245"/>
    <mergeCell ref="F244:F24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ACF39-7A4B-4554-B5A6-C6DB5B2F5D0F}">
  <sheetPr>
    <tabColor rgb="FFFFC000"/>
  </sheetPr>
  <dimension ref="A2:H35"/>
  <sheetViews>
    <sheetView showGridLines="0" topLeftCell="A6" workbookViewId="0">
      <selection activeCell="F22" sqref="F22"/>
    </sheetView>
  </sheetViews>
  <sheetFormatPr defaultRowHeight="14.5" x14ac:dyDescent="0.35"/>
  <cols>
    <col min="2" max="2" width="21.7265625" bestFit="1" customWidth="1"/>
    <col min="3" max="3" width="5.90625" bestFit="1" customWidth="1"/>
    <col min="6" max="6" width="27.36328125" bestFit="1" customWidth="1"/>
    <col min="7" max="7" width="11.54296875" bestFit="1" customWidth="1"/>
  </cols>
  <sheetData>
    <row r="2" spans="2:8" x14ac:dyDescent="0.35">
      <c r="B2" s="1275" t="s">
        <v>1076</v>
      </c>
      <c r="C2" s="1275"/>
      <c r="D2" s="1275"/>
      <c r="E2" s="1275"/>
      <c r="F2" s="1275"/>
      <c r="G2" s="1275"/>
      <c r="H2" s="1275"/>
    </row>
    <row r="3" spans="2:8" x14ac:dyDescent="0.35">
      <c r="B3" s="10"/>
      <c r="C3" s="10"/>
      <c r="D3" s="10"/>
      <c r="E3" s="10"/>
      <c r="F3" s="10"/>
      <c r="G3" s="13"/>
      <c r="H3" s="10"/>
    </row>
    <row r="4" spans="2:8" x14ac:dyDescent="0.35">
      <c r="B4" s="1276" t="s">
        <v>1048</v>
      </c>
      <c r="C4" s="1276"/>
      <c r="D4" s="1276"/>
      <c r="E4" s="10"/>
      <c r="F4" s="1276" t="s">
        <v>1055</v>
      </c>
      <c r="G4" s="1276"/>
      <c r="H4" s="1276"/>
    </row>
    <row r="5" spans="2:8" x14ac:dyDescent="0.35">
      <c r="B5" s="1100" t="s">
        <v>1049</v>
      </c>
      <c r="C5" s="1101" t="s">
        <v>67</v>
      </c>
      <c r="D5" s="1102">
        <f>Input!E4</f>
        <v>243.88799999999998</v>
      </c>
      <c r="E5" s="10"/>
      <c r="F5" s="1100" t="s">
        <v>1056</v>
      </c>
      <c r="G5" s="1103" t="s">
        <v>0</v>
      </c>
      <c r="H5" s="1104">
        <f>Input!E7</f>
        <v>0.19317816217459799</v>
      </c>
    </row>
    <row r="6" spans="2:8" x14ac:dyDescent="0.35">
      <c r="B6" s="1100" t="s">
        <v>1050</v>
      </c>
      <c r="C6" s="1101" t="s">
        <v>55</v>
      </c>
      <c r="D6" s="1105">
        <f>Input!E176</f>
        <v>45748</v>
      </c>
      <c r="E6" s="10"/>
      <c r="F6" s="1100" t="s">
        <v>1057</v>
      </c>
      <c r="G6" s="1103" t="s">
        <v>0</v>
      </c>
      <c r="H6" s="1104">
        <f>Input!I239</f>
        <v>5.0000000000000001E-3</v>
      </c>
    </row>
    <row r="7" spans="2:8" x14ac:dyDescent="0.35">
      <c r="B7" s="1100" t="s">
        <v>428</v>
      </c>
      <c r="C7" s="1101" t="s">
        <v>36</v>
      </c>
      <c r="D7" s="1106">
        <f>Input!E177</f>
        <v>18</v>
      </c>
      <c r="E7" s="10"/>
      <c r="F7" s="1100" t="s">
        <v>1239</v>
      </c>
      <c r="G7" s="1103" t="s">
        <v>0</v>
      </c>
      <c r="H7" s="1104">
        <f>Input!I240</f>
        <v>7.4999999999999997E-3</v>
      </c>
    </row>
    <row r="8" spans="2:8" x14ac:dyDescent="0.35">
      <c r="B8" s="1100" t="s">
        <v>1070</v>
      </c>
      <c r="C8" s="1101" t="s">
        <v>55</v>
      </c>
      <c r="D8" s="1105">
        <f>Input!E178</f>
        <v>46296</v>
      </c>
      <c r="E8" s="10"/>
    </row>
    <row r="9" spans="2:8" x14ac:dyDescent="0.35">
      <c r="B9" s="1100" t="s">
        <v>1071</v>
      </c>
      <c r="C9" s="1101" t="s">
        <v>55</v>
      </c>
      <c r="D9" s="1105">
        <f>Input!E180</f>
        <v>46477</v>
      </c>
      <c r="E9" s="10"/>
      <c r="F9" s="1276" t="s">
        <v>1058</v>
      </c>
      <c r="G9" s="1276"/>
      <c r="H9" s="1276"/>
    </row>
    <row r="10" spans="2:8" x14ac:dyDescent="0.35">
      <c r="B10" s="1100" t="s">
        <v>1051</v>
      </c>
      <c r="C10" s="1101" t="s">
        <v>36</v>
      </c>
      <c r="D10" s="1107">
        <f>Input!E179</f>
        <v>25</v>
      </c>
      <c r="E10" s="10"/>
      <c r="F10" s="1100" t="s">
        <v>1059</v>
      </c>
      <c r="G10" s="1103" t="s">
        <v>49</v>
      </c>
      <c r="H10" s="1107">
        <f>D10</f>
        <v>25</v>
      </c>
    </row>
    <row r="11" spans="2:8" x14ac:dyDescent="0.35">
      <c r="B11" s="1100" t="s">
        <v>1052</v>
      </c>
      <c r="C11" s="1101" t="s">
        <v>55</v>
      </c>
      <c r="D11" s="1105">
        <f>Input!E182</f>
        <v>55609</v>
      </c>
      <c r="E11" s="10"/>
      <c r="F11" s="1100" t="s">
        <v>1060</v>
      </c>
      <c r="G11" s="1103" t="s">
        <v>0</v>
      </c>
      <c r="H11" s="1104">
        <f>Input!H250</f>
        <v>4.6699999999999998E-2</v>
      </c>
    </row>
    <row r="12" spans="2:8" x14ac:dyDescent="0.35">
      <c r="B12" s="10"/>
      <c r="C12" s="10"/>
      <c r="D12" s="10"/>
      <c r="E12" s="10"/>
      <c r="F12" s="1100" t="s">
        <v>1061</v>
      </c>
      <c r="G12" s="1103" t="s">
        <v>0</v>
      </c>
      <c r="H12" s="1104">
        <f>Input!X250</f>
        <v>0.02</v>
      </c>
    </row>
    <row r="13" spans="2:8" x14ac:dyDescent="0.35">
      <c r="B13" s="1277" t="s">
        <v>1053</v>
      </c>
      <c r="C13" s="1278"/>
      <c r="D13" s="1279"/>
      <c r="E13" s="10"/>
      <c r="F13" s="10"/>
      <c r="G13" s="13"/>
      <c r="H13" s="10"/>
    </row>
    <row r="14" spans="2:8" x14ac:dyDescent="0.35">
      <c r="B14" s="1100" t="s">
        <v>861</v>
      </c>
      <c r="C14" s="1108" t="s">
        <v>1072</v>
      </c>
      <c r="D14" s="1109">
        <f ca="1">Output!H6/100</f>
        <v>1242.562032425102</v>
      </c>
      <c r="E14" s="10"/>
      <c r="F14" s="1175" t="s">
        <v>1062</v>
      </c>
      <c r="G14" s="1175"/>
      <c r="H14" s="1175"/>
    </row>
    <row r="15" spans="2:8" x14ac:dyDescent="0.35">
      <c r="B15" s="1100" t="s">
        <v>1054</v>
      </c>
      <c r="C15" s="1108" t="s">
        <v>0</v>
      </c>
      <c r="D15" s="1110">
        <f>Input!E245</f>
        <v>0.7</v>
      </c>
      <c r="E15" s="10"/>
      <c r="F15" s="1100" t="s">
        <v>1063</v>
      </c>
      <c r="G15" s="1103" t="s">
        <v>0</v>
      </c>
      <c r="H15" s="1104">
        <f>Input!E223</f>
        <v>0.22</v>
      </c>
    </row>
    <row r="16" spans="2:8" x14ac:dyDescent="0.35">
      <c r="B16" s="1100" t="s">
        <v>5</v>
      </c>
      <c r="C16" s="1108" t="s">
        <v>0</v>
      </c>
      <c r="D16" s="1110">
        <f>Input!E248</f>
        <v>0.30000000000000004</v>
      </c>
      <c r="E16" s="10"/>
      <c r="F16" s="10"/>
      <c r="G16" s="13"/>
      <c r="H16" s="10"/>
    </row>
    <row r="17" spans="1:8" x14ac:dyDescent="0.35">
      <c r="B17" s="1100" t="s">
        <v>112</v>
      </c>
      <c r="C17" s="1108" t="s">
        <v>0</v>
      </c>
      <c r="D17" s="1110">
        <f>1-D15-D16</f>
        <v>0</v>
      </c>
      <c r="E17" s="10"/>
      <c r="F17" s="1175" t="s">
        <v>1064</v>
      </c>
      <c r="G17" s="1175"/>
      <c r="H17" s="1175"/>
    </row>
    <row r="18" spans="1:8" x14ac:dyDescent="0.35">
      <c r="B18" s="1100" t="s">
        <v>1073</v>
      </c>
      <c r="C18" s="1108" t="s">
        <v>49</v>
      </c>
      <c r="D18" s="1106">
        <f>Input!E188</f>
        <v>0</v>
      </c>
      <c r="E18" s="10"/>
      <c r="F18" s="1100" t="s">
        <v>1074</v>
      </c>
      <c r="G18" s="1103" t="s">
        <v>1075</v>
      </c>
      <c r="H18" s="1106">
        <f>Input!E205</f>
        <v>5.4988000000000001</v>
      </c>
    </row>
    <row r="19" spans="1:8" x14ac:dyDescent="0.35">
      <c r="B19" s="1100" t="s">
        <v>50</v>
      </c>
      <c r="C19" s="1108" t="s">
        <v>49</v>
      </c>
      <c r="D19" s="1106">
        <f>Input!E189</f>
        <v>15</v>
      </c>
      <c r="E19" s="10"/>
      <c r="F19" s="1100" t="s">
        <v>1065</v>
      </c>
      <c r="G19" s="1111" t="s">
        <v>0</v>
      </c>
      <c r="H19" s="1112">
        <f>Input!E206</f>
        <v>5.2499999999999998E-2</v>
      </c>
    </row>
    <row r="20" spans="1:8" x14ac:dyDescent="0.35">
      <c r="B20" s="1100" t="s">
        <v>53</v>
      </c>
      <c r="C20" s="1108" t="s">
        <v>0</v>
      </c>
      <c r="D20" s="1104">
        <f>Input!E186</f>
        <v>0.06</v>
      </c>
      <c r="E20" s="10"/>
      <c r="F20" s="1100" t="s">
        <v>1066</v>
      </c>
      <c r="G20" s="1103" t="s">
        <v>0</v>
      </c>
      <c r="H20" s="1104">
        <f>Input!E218</f>
        <v>0.15</v>
      </c>
    </row>
    <row r="21" spans="1:8" x14ac:dyDescent="0.35">
      <c r="B21" s="1100" t="s">
        <v>965</v>
      </c>
      <c r="C21" s="1108" t="s">
        <v>0</v>
      </c>
      <c r="D21" s="1104">
        <f>Input!E192</f>
        <v>0.14000000000000001</v>
      </c>
      <c r="E21" s="10"/>
      <c r="F21" s="1100" t="s">
        <v>37</v>
      </c>
      <c r="G21" s="1103" t="s">
        <v>36</v>
      </c>
      <c r="H21" s="1113">
        <f>Input!E216</f>
        <v>1.5</v>
      </c>
    </row>
    <row r="22" spans="1:8" x14ac:dyDescent="0.35">
      <c r="B22" s="10"/>
      <c r="C22" s="10"/>
      <c r="D22" s="10"/>
      <c r="E22" s="10"/>
      <c r="F22" s="1100" t="s">
        <v>150</v>
      </c>
      <c r="G22" s="1103" t="s">
        <v>0</v>
      </c>
      <c r="H22" s="1104">
        <f>Input!E220</f>
        <v>0.115</v>
      </c>
    </row>
    <row r="23" spans="1:8" x14ac:dyDescent="0.35">
      <c r="B23" s="1114"/>
      <c r="C23" s="1114"/>
      <c r="E23" s="10"/>
      <c r="F23" s="1100" t="s">
        <v>1067</v>
      </c>
      <c r="G23" s="1103" t="s">
        <v>0</v>
      </c>
      <c r="H23" s="1104">
        <f>Input!E221</f>
        <v>0.25</v>
      </c>
    </row>
    <row r="24" spans="1:8" x14ac:dyDescent="0.35">
      <c r="A24" s="1203"/>
      <c r="B24" s="10"/>
      <c r="C24" s="10"/>
      <c r="D24" s="1212"/>
      <c r="E24" s="10"/>
      <c r="F24" s="10"/>
      <c r="G24" s="13"/>
      <c r="H24" s="10"/>
    </row>
    <row r="25" spans="1:8" x14ac:dyDescent="0.35">
      <c r="A25" s="1203"/>
      <c r="B25" s="10"/>
      <c r="C25" s="10"/>
      <c r="D25" s="79"/>
      <c r="E25" s="10"/>
      <c r="F25" s="1174" t="s">
        <v>1068</v>
      </c>
      <c r="G25" s="1174"/>
      <c r="H25" s="1174"/>
    </row>
    <row r="26" spans="1:8" x14ac:dyDescent="0.35">
      <c r="A26" s="1203"/>
      <c r="B26" s="10"/>
      <c r="C26" s="10"/>
      <c r="D26" s="10"/>
      <c r="E26" s="10"/>
      <c r="F26" s="1100" t="s">
        <v>29</v>
      </c>
      <c r="G26" s="1103" t="s">
        <v>0</v>
      </c>
      <c r="H26" s="1104">
        <f>Input!E228</f>
        <v>7.4760000000000007E-2</v>
      </c>
    </row>
    <row r="27" spans="1:8" x14ac:dyDescent="0.35">
      <c r="A27" s="1203"/>
      <c r="B27" s="10"/>
      <c r="F27" s="1100" t="s">
        <v>187</v>
      </c>
      <c r="G27" s="1103" t="s">
        <v>1069</v>
      </c>
      <c r="H27" s="1115">
        <f ca="1">Input!J2</f>
        <v>5.2535517329743424</v>
      </c>
    </row>
    <row r="28" spans="1:8" x14ac:dyDescent="0.35">
      <c r="A28" s="1203"/>
      <c r="B28" s="10"/>
    </row>
    <row r="29" spans="1:8" x14ac:dyDescent="0.35">
      <c r="A29" s="1203"/>
      <c r="B29" s="10"/>
      <c r="E29" s="892"/>
    </row>
    <row r="30" spans="1:8" x14ac:dyDescent="0.35">
      <c r="A30" s="1203"/>
    </row>
    <row r="31" spans="1:8" x14ac:dyDescent="0.35">
      <c r="A31" s="1203"/>
      <c r="B31" s="10"/>
    </row>
    <row r="32" spans="1:8" x14ac:dyDescent="0.35">
      <c r="A32" s="1203"/>
      <c r="B32" s="10"/>
    </row>
    <row r="33" spans="1:4" x14ac:dyDescent="0.35">
      <c r="A33" s="1203"/>
    </row>
    <row r="34" spans="1:4" x14ac:dyDescent="0.35">
      <c r="A34" s="1203"/>
      <c r="B34" s="10"/>
      <c r="D34" s="892"/>
    </row>
    <row r="35" spans="1:4" x14ac:dyDescent="0.35">
      <c r="A35" s="1203"/>
      <c r="B35" s="10"/>
      <c r="D35" s="1211"/>
    </row>
  </sheetData>
  <mergeCells count="5">
    <mergeCell ref="B2:H2"/>
    <mergeCell ref="B4:D4"/>
    <mergeCell ref="F4:H4"/>
    <mergeCell ref="F9:H9"/>
    <mergeCell ref="B13:D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03848-FF63-4E9D-BDF7-3E3618127474}">
  <sheetPr>
    <tabColor rgb="FFFFC000"/>
  </sheetPr>
  <dimension ref="A1:AE42"/>
  <sheetViews>
    <sheetView showGridLines="0" topLeftCell="E1" zoomScale="70" workbookViewId="0">
      <selection activeCell="F30" sqref="F30:AE36"/>
    </sheetView>
  </sheetViews>
  <sheetFormatPr defaultRowHeight="14.5" x14ac:dyDescent="0.35"/>
  <cols>
    <col min="2" max="2" width="28.54296875" bestFit="1" customWidth="1"/>
    <col min="3" max="3" width="8.7265625" bestFit="1" customWidth="1"/>
    <col min="4" max="4" width="9.08984375" bestFit="1" customWidth="1"/>
  </cols>
  <sheetData>
    <row r="1" spans="1:31" x14ac:dyDescent="0.35">
      <c r="A1" s="165"/>
      <c r="B1" s="166" t="s">
        <v>15</v>
      </c>
      <c r="C1" s="167" t="s">
        <v>14</v>
      </c>
      <c r="D1" s="168" t="s">
        <v>13</v>
      </c>
      <c r="E1" s="169">
        <f>YEAR(E2)</f>
        <v>2026</v>
      </c>
      <c r="F1" s="169">
        <f t="shared" ref="F1:AE1" si="0">E1+1</f>
        <v>2027</v>
      </c>
      <c r="G1" s="170">
        <f t="shared" si="0"/>
        <v>2028</v>
      </c>
      <c r="H1" s="170">
        <f t="shared" si="0"/>
        <v>2029</v>
      </c>
      <c r="I1" s="170">
        <f t="shared" si="0"/>
        <v>2030</v>
      </c>
      <c r="J1" s="170">
        <f t="shared" si="0"/>
        <v>2031</v>
      </c>
      <c r="K1" s="170">
        <f t="shared" si="0"/>
        <v>2032</v>
      </c>
      <c r="L1" s="170">
        <f t="shared" si="0"/>
        <v>2033</v>
      </c>
      <c r="M1" s="170">
        <f t="shared" si="0"/>
        <v>2034</v>
      </c>
      <c r="N1" s="170">
        <f t="shared" si="0"/>
        <v>2035</v>
      </c>
      <c r="O1" s="170">
        <f t="shared" si="0"/>
        <v>2036</v>
      </c>
      <c r="P1" s="170">
        <f t="shared" si="0"/>
        <v>2037</v>
      </c>
      <c r="Q1" s="170">
        <f t="shared" si="0"/>
        <v>2038</v>
      </c>
      <c r="R1" s="170">
        <f t="shared" si="0"/>
        <v>2039</v>
      </c>
      <c r="S1" s="170">
        <f t="shared" si="0"/>
        <v>2040</v>
      </c>
      <c r="T1" s="170">
        <f t="shared" si="0"/>
        <v>2041</v>
      </c>
      <c r="U1" s="170">
        <f t="shared" si="0"/>
        <v>2042</v>
      </c>
      <c r="V1" s="170">
        <f t="shared" si="0"/>
        <v>2043</v>
      </c>
      <c r="W1" s="170">
        <f t="shared" si="0"/>
        <v>2044</v>
      </c>
      <c r="X1" s="170">
        <f t="shared" si="0"/>
        <v>2045</v>
      </c>
      <c r="Y1" s="170">
        <f t="shared" si="0"/>
        <v>2046</v>
      </c>
      <c r="Z1" s="170">
        <f t="shared" si="0"/>
        <v>2047</v>
      </c>
      <c r="AA1" s="170">
        <f t="shared" si="0"/>
        <v>2048</v>
      </c>
      <c r="AB1" s="170">
        <f t="shared" si="0"/>
        <v>2049</v>
      </c>
      <c r="AC1" s="170">
        <f t="shared" si="0"/>
        <v>2050</v>
      </c>
      <c r="AD1" s="170">
        <f t="shared" si="0"/>
        <v>2051</v>
      </c>
      <c r="AE1" s="170">
        <f t="shared" si="0"/>
        <v>2052</v>
      </c>
    </row>
    <row r="2" spans="1:31" x14ac:dyDescent="0.35">
      <c r="A2" s="166"/>
      <c r="B2" s="166"/>
      <c r="C2" s="167"/>
      <c r="D2" s="171">
        <f>Input!D238</f>
        <v>45747</v>
      </c>
      <c r="E2" s="172">
        <f t="shared" ref="E2:AE2" si="1">EOMONTH(D2,12)</f>
        <v>46112</v>
      </c>
      <c r="F2" s="172">
        <f t="shared" si="1"/>
        <v>46477</v>
      </c>
      <c r="G2" s="173">
        <f t="shared" si="1"/>
        <v>46843</v>
      </c>
      <c r="H2" s="173">
        <f t="shared" si="1"/>
        <v>47208</v>
      </c>
      <c r="I2" s="173">
        <f t="shared" si="1"/>
        <v>47573</v>
      </c>
      <c r="J2" s="173">
        <f t="shared" si="1"/>
        <v>47938</v>
      </c>
      <c r="K2" s="173">
        <f t="shared" si="1"/>
        <v>48304</v>
      </c>
      <c r="L2" s="173">
        <f t="shared" si="1"/>
        <v>48669</v>
      </c>
      <c r="M2" s="173">
        <f t="shared" si="1"/>
        <v>49034</v>
      </c>
      <c r="N2" s="173">
        <f t="shared" si="1"/>
        <v>49399</v>
      </c>
      <c r="O2" s="173">
        <f t="shared" si="1"/>
        <v>49765</v>
      </c>
      <c r="P2" s="173">
        <f t="shared" si="1"/>
        <v>50130</v>
      </c>
      <c r="Q2" s="173">
        <f t="shared" si="1"/>
        <v>50495</v>
      </c>
      <c r="R2" s="173">
        <f t="shared" si="1"/>
        <v>50860</v>
      </c>
      <c r="S2" s="173">
        <f t="shared" si="1"/>
        <v>51226</v>
      </c>
      <c r="T2" s="173">
        <f t="shared" si="1"/>
        <v>51591</v>
      </c>
      <c r="U2" s="173">
        <f t="shared" si="1"/>
        <v>51956</v>
      </c>
      <c r="V2" s="173">
        <f t="shared" si="1"/>
        <v>52321</v>
      </c>
      <c r="W2" s="173">
        <f t="shared" si="1"/>
        <v>52687</v>
      </c>
      <c r="X2" s="173">
        <f t="shared" si="1"/>
        <v>53052</v>
      </c>
      <c r="Y2" s="173">
        <f t="shared" si="1"/>
        <v>53417</v>
      </c>
      <c r="Z2" s="173">
        <f t="shared" si="1"/>
        <v>53782</v>
      </c>
      <c r="AA2" s="173">
        <f t="shared" si="1"/>
        <v>54148</v>
      </c>
      <c r="AB2" s="173">
        <f t="shared" si="1"/>
        <v>54513</v>
      </c>
      <c r="AC2" s="173">
        <f t="shared" si="1"/>
        <v>54878</v>
      </c>
      <c r="AD2" s="173">
        <f t="shared" si="1"/>
        <v>55243</v>
      </c>
      <c r="AE2" s="173">
        <f t="shared" si="1"/>
        <v>55609</v>
      </c>
    </row>
    <row r="3" spans="1:31" x14ac:dyDescent="0.35">
      <c r="A3" s="792"/>
      <c r="B3" s="622" t="s">
        <v>983</v>
      </c>
      <c r="C3" s="793"/>
      <c r="D3" s="794">
        <v>0</v>
      </c>
      <c r="E3" s="795">
        <f>D3+1</f>
        <v>1</v>
      </c>
      <c r="F3" s="795">
        <f t="shared" ref="F3:AE3" si="2">E3+1</f>
        <v>2</v>
      </c>
      <c r="G3" s="795">
        <f t="shared" si="2"/>
        <v>3</v>
      </c>
      <c r="H3" s="795">
        <f t="shared" si="2"/>
        <v>4</v>
      </c>
      <c r="I3" s="795">
        <f t="shared" si="2"/>
        <v>5</v>
      </c>
      <c r="J3" s="795">
        <f t="shared" si="2"/>
        <v>6</v>
      </c>
      <c r="K3" s="795">
        <f t="shared" si="2"/>
        <v>7</v>
      </c>
      <c r="L3" s="795">
        <f t="shared" si="2"/>
        <v>8</v>
      </c>
      <c r="M3" s="795">
        <f t="shared" si="2"/>
        <v>9</v>
      </c>
      <c r="N3" s="795">
        <f t="shared" si="2"/>
        <v>10</v>
      </c>
      <c r="O3" s="795">
        <f t="shared" si="2"/>
        <v>11</v>
      </c>
      <c r="P3" s="795">
        <f t="shared" si="2"/>
        <v>12</v>
      </c>
      <c r="Q3" s="795">
        <f t="shared" si="2"/>
        <v>13</v>
      </c>
      <c r="R3" s="795">
        <f t="shared" si="2"/>
        <v>14</v>
      </c>
      <c r="S3" s="795">
        <f t="shared" si="2"/>
        <v>15</v>
      </c>
      <c r="T3" s="795">
        <f t="shared" si="2"/>
        <v>16</v>
      </c>
      <c r="U3" s="795">
        <f t="shared" si="2"/>
        <v>17</v>
      </c>
      <c r="V3" s="795">
        <f t="shared" si="2"/>
        <v>18</v>
      </c>
      <c r="W3" s="795">
        <f t="shared" si="2"/>
        <v>19</v>
      </c>
      <c r="X3" s="795">
        <f t="shared" si="2"/>
        <v>20</v>
      </c>
      <c r="Y3" s="795">
        <f t="shared" si="2"/>
        <v>21</v>
      </c>
      <c r="Z3" s="795">
        <f t="shared" si="2"/>
        <v>22</v>
      </c>
      <c r="AA3" s="795">
        <f t="shared" si="2"/>
        <v>23</v>
      </c>
      <c r="AB3" s="795">
        <f t="shared" si="2"/>
        <v>24</v>
      </c>
      <c r="AC3" s="795">
        <f t="shared" si="2"/>
        <v>25</v>
      </c>
      <c r="AD3" s="795">
        <f t="shared" si="2"/>
        <v>26</v>
      </c>
      <c r="AE3" s="795">
        <f t="shared" si="2"/>
        <v>27</v>
      </c>
    </row>
    <row r="4" spans="1:31" hidden="1" x14ac:dyDescent="0.35">
      <c r="A4" s="661"/>
      <c r="B4" s="661" t="s">
        <v>186</v>
      </c>
      <c r="C4" s="662">
        <f>SUM(E4:AE4)</f>
        <v>26</v>
      </c>
      <c r="D4" s="663"/>
      <c r="E4" s="664">
        <f>IF(AND(E2&gt;=Input!$E$180,E2&lt;=Input!$E$182),1,0)</f>
        <v>0</v>
      </c>
      <c r="F4" s="664">
        <f>IF(AND(F2&gt;=Input!$E$180,F2&lt;=Input!$E$182),1,0)</f>
        <v>1</v>
      </c>
      <c r="G4" s="664">
        <f>IF(AND(G2&gt;=Input!$E$180,G2&lt;=Input!$E$182),1,0)</f>
        <v>1</v>
      </c>
      <c r="H4" s="664">
        <f>IF(AND(H2&gt;=Input!$E$180,H2&lt;=Input!$E$182),1,0)</f>
        <v>1</v>
      </c>
      <c r="I4" s="664">
        <f>IF(AND(I2&gt;=Input!$E$180,I2&lt;=Input!$E$182),1,0)</f>
        <v>1</v>
      </c>
      <c r="J4" s="664">
        <f>IF(AND(J2&gt;=Input!$E$180,J2&lt;=Input!$E$182),1,0)</f>
        <v>1</v>
      </c>
      <c r="K4" s="664">
        <f>IF(AND(K2&gt;=Input!$E$180,K2&lt;=Input!$E$182),1,0)</f>
        <v>1</v>
      </c>
      <c r="L4" s="664">
        <f>IF(AND(L2&gt;=Input!$E$180,L2&lt;=Input!$E$182),1,0)</f>
        <v>1</v>
      </c>
      <c r="M4" s="664">
        <f>IF(AND(M2&gt;=Input!$E$180,M2&lt;=Input!$E$182),1,0)</f>
        <v>1</v>
      </c>
      <c r="N4" s="664">
        <f>IF(AND(N2&gt;=Input!$E$180,N2&lt;=Input!$E$182),1,0)</f>
        <v>1</v>
      </c>
      <c r="O4" s="664">
        <f>IF(AND(O2&gt;=Input!$E$180,O2&lt;=Input!$E$182),1,0)</f>
        <v>1</v>
      </c>
      <c r="P4" s="664">
        <f>IF(AND(P2&gt;=Input!$E$180,P2&lt;=Input!$E$182),1,0)</f>
        <v>1</v>
      </c>
      <c r="Q4" s="664">
        <f>IF(AND(Q2&gt;=Input!$E$180,Q2&lt;=Input!$E$182),1,0)</f>
        <v>1</v>
      </c>
      <c r="R4" s="664">
        <f>IF(AND(R2&gt;=Input!$E$180,R2&lt;=Input!$E$182),1,0)</f>
        <v>1</v>
      </c>
      <c r="S4" s="664">
        <f>IF(AND(S2&gt;=Input!$E$180,S2&lt;=Input!$E$182),1,0)</f>
        <v>1</v>
      </c>
      <c r="T4" s="664">
        <f>IF(AND(T2&gt;=Input!$E$180,T2&lt;=Input!$E$182),1,0)</f>
        <v>1</v>
      </c>
      <c r="U4" s="664">
        <f>IF(AND(U2&gt;=Input!$E$180,U2&lt;=Input!$E$182),1,0)</f>
        <v>1</v>
      </c>
      <c r="V4" s="664">
        <f>IF(AND(V2&gt;=Input!$E$180,V2&lt;=Input!$E$182),1,0)</f>
        <v>1</v>
      </c>
      <c r="W4" s="664">
        <f>IF(AND(W2&gt;=Input!$E$180,W2&lt;=Input!$E$182),1,0)</f>
        <v>1</v>
      </c>
      <c r="X4" s="664">
        <f>IF(AND(X2&gt;=Input!$E$180,X2&lt;=Input!$E$182),1,0)</f>
        <v>1</v>
      </c>
      <c r="Y4" s="664">
        <f>IF(AND(Y2&gt;=Input!$E$180,Y2&lt;=Input!$E$182),1,0)</f>
        <v>1</v>
      </c>
      <c r="Z4" s="664">
        <f>IF(AND(Z2&gt;=Input!$E$180,Z2&lt;=Input!$E$182),1,0)</f>
        <v>1</v>
      </c>
      <c r="AA4" s="664">
        <f>IF(AND(AA2&gt;=Input!$E$180,AA2&lt;=Input!$E$182),1,0)</f>
        <v>1</v>
      </c>
      <c r="AB4" s="664">
        <f>IF(AND(AB2&gt;=Input!$E$180,AB2&lt;=Input!$E$182),1,0)</f>
        <v>1</v>
      </c>
      <c r="AC4" s="664">
        <f>IF(AND(AC2&gt;=Input!$E$180,AC2&lt;=Input!$E$182),1,0)</f>
        <v>1</v>
      </c>
      <c r="AD4" s="664">
        <f>IF(AND(AD2&gt;=Input!$E$180,AD2&lt;=Input!$E$182),1,0)</f>
        <v>1</v>
      </c>
      <c r="AE4" s="664">
        <f>IF(AND(AE2&gt;=Input!$E$180,AE2&lt;=Input!$E$182),1,0)</f>
        <v>1</v>
      </c>
    </row>
    <row r="5" spans="1:31" hidden="1" x14ac:dyDescent="0.35">
      <c r="A5" s="661"/>
      <c r="B5" s="661" t="s">
        <v>185</v>
      </c>
      <c r="C5" s="665"/>
      <c r="D5" s="663"/>
      <c r="E5" s="664">
        <f>SUM($E4:E$4)</f>
        <v>0</v>
      </c>
      <c r="F5" s="664">
        <f>SUM($E4:F$4)</f>
        <v>1</v>
      </c>
      <c r="G5" s="664">
        <f>SUM($E4:G$4)</f>
        <v>2</v>
      </c>
      <c r="H5" s="664">
        <f>SUM($E4:H$4)</f>
        <v>3</v>
      </c>
      <c r="I5" s="664">
        <f>SUM($E4:I$4)</f>
        <v>4</v>
      </c>
      <c r="J5" s="664">
        <f>SUM($E4:J$4)</f>
        <v>5</v>
      </c>
      <c r="K5" s="664">
        <f>SUM($E4:K$4)</f>
        <v>6</v>
      </c>
      <c r="L5" s="664">
        <f>SUM($E4:L$4)</f>
        <v>7</v>
      </c>
      <c r="M5" s="664">
        <f>SUM($E4:M$4)</f>
        <v>8</v>
      </c>
      <c r="N5" s="664">
        <f>SUM($E4:N$4)</f>
        <v>9</v>
      </c>
      <c r="O5" s="664">
        <f>SUM($E4:O$4)</f>
        <v>10</v>
      </c>
      <c r="P5" s="664">
        <f>SUM($E4:P$4)</f>
        <v>11</v>
      </c>
      <c r="Q5" s="664">
        <f>SUM($E4:Q$4)</f>
        <v>12</v>
      </c>
      <c r="R5" s="664">
        <f>SUM($E4:R$4)</f>
        <v>13</v>
      </c>
      <c r="S5" s="664">
        <f>SUM($E4:S$4)</f>
        <v>14</v>
      </c>
      <c r="T5" s="664">
        <f>SUM($E4:T$4)</f>
        <v>15</v>
      </c>
      <c r="U5" s="664">
        <f>SUM($E4:U$4)</f>
        <v>16</v>
      </c>
      <c r="V5" s="664">
        <f>SUM($E4:V$4)</f>
        <v>17</v>
      </c>
      <c r="W5" s="664">
        <f>SUM($E4:W$4)</f>
        <v>18</v>
      </c>
      <c r="X5" s="664">
        <f>SUM($E4:X$4)</f>
        <v>19</v>
      </c>
      <c r="Y5" s="664">
        <f>SUM($E4:Y$4)</f>
        <v>20</v>
      </c>
      <c r="Z5" s="664">
        <f>SUM($E4:Z$4)</f>
        <v>21</v>
      </c>
      <c r="AA5" s="664">
        <f>SUM($E4:AA$4)</f>
        <v>22</v>
      </c>
      <c r="AB5" s="664">
        <f>SUM($E4:AB$4)</f>
        <v>23</v>
      </c>
      <c r="AC5" s="664">
        <f>SUM($E4:AC$4)</f>
        <v>24</v>
      </c>
      <c r="AD5" s="664">
        <f>SUM($E4:AD$4)</f>
        <v>25</v>
      </c>
      <c r="AE5" s="664">
        <f>SUM($E4:AE$4)</f>
        <v>26</v>
      </c>
    </row>
    <row r="6" spans="1:31" hidden="1" x14ac:dyDescent="0.35">
      <c r="A6" s="661"/>
      <c r="B6" s="661" t="s">
        <v>184</v>
      </c>
      <c r="C6" s="665"/>
      <c r="D6" s="663"/>
      <c r="E6" s="664">
        <f t="shared" ref="E6:AE6" si="3">E2-D2</f>
        <v>365</v>
      </c>
      <c r="F6" s="664">
        <f t="shared" si="3"/>
        <v>365</v>
      </c>
      <c r="G6" s="664">
        <f t="shared" si="3"/>
        <v>366</v>
      </c>
      <c r="H6" s="664">
        <f t="shared" si="3"/>
        <v>365</v>
      </c>
      <c r="I6" s="664">
        <f t="shared" si="3"/>
        <v>365</v>
      </c>
      <c r="J6" s="664">
        <f t="shared" si="3"/>
        <v>365</v>
      </c>
      <c r="K6" s="664">
        <f t="shared" si="3"/>
        <v>366</v>
      </c>
      <c r="L6" s="664">
        <f t="shared" si="3"/>
        <v>365</v>
      </c>
      <c r="M6" s="664">
        <f t="shared" si="3"/>
        <v>365</v>
      </c>
      <c r="N6" s="664">
        <f t="shared" si="3"/>
        <v>365</v>
      </c>
      <c r="O6" s="664">
        <f t="shared" si="3"/>
        <v>366</v>
      </c>
      <c r="P6" s="664">
        <f t="shared" si="3"/>
        <v>365</v>
      </c>
      <c r="Q6" s="664">
        <f t="shared" si="3"/>
        <v>365</v>
      </c>
      <c r="R6" s="664">
        <f t="shared" si="3"/>
        <v>365</v>
      </c>
      <c r="S6" s="664">
        <f t="shared" si="3"/>
        <v>366</v>
      </c>
      <c r="T6" s="664">
        <f t="shared" si="3"/>
        <v>365</v>
      </c>
      <c r="U6" s="664">
        <f t="shared" si="3"/>
        <v>365</v>
      </c>
      <c r="V6" s="664">
        <f t="shared" si="3"/>
        <v>365</v>
      </c>
      <c r="W6" s="664">
        <f t="shared" si="3"/>
        <v>366</v>
      </c>
      <c r="X6" s="664">
        <f t="shared" si="3"/>
        <v>365</v>
      </c>
      <c r="Y6" s="664">
        <f t="shared" si="3"/>
        <v>365</v>
      </c>
      <c r="Z6" s="664">
        <f t="shared" si="3"/>
        <v>365</v>
      </c>
      <c r="AA6" s="664">
        <f t="shared" si="3"/>
        <v>366</v>
      </c>
      <c r="AB6" s="664">
        <f t="shared" si="3"/>
        <v>365</v>
      </c>
      <c r="AC6" s="664">
        <f t="shared" si="3"/>
        <v>365</v>
      </c>
      <c r="AD6" s="664">
        <f t="shared" si="3"/>
        <v>365</v>
      </c>
      <c r="AE6" s="664">
        <f t="shared" si="3"/>
        <v>366</v>
      </c>
    </row>
    <row r="7" spans="1:31" hidden="1" x14ac:dyDescent="0.35">
      <c r="A7" s="661"/>
      <c r="B7" s="661" t="s">
        <v>981</v>
      </c>
      <c r="C7" s="665"/>
      <c r="D7" s="663"/>
      <c r="E7" s="664">
        <f>E6-E8</f>
        <v>365</v>
      </c>
      <c r="F7" s="664">
        <f>F6-F8</f>
        <v>183</v>
      </c>
      <c r="G7" s="664">
        <f t="shared" ref="G7:L7" si="4">G6-G8</f>
        <v>0</v>
      </c>
      <c r="H7" s="664">
        <f t="shared" si="4"/>
        <v>0</v>
      </c>
      <c r="I7" s="664">
        <f t="shared" si="4"/>
        <v>0</v>
      </c>
      <c r="J7" s="664">
        <f t="shared" si="4"/>
        <v>0</v>
      </c>
      <c r="K7" s="664">
        <f t="shared" si="4"/>
        <v>0</v>
      </c>
      <c r="L7" s="664">
        <f t="shared" si="4"/>
        <v>0</v>
      </c>
      <c r="M7" s="664"/>
      <c r="N7" s="664"/>
      <c r="O7" s="664"/>
      <c r="P7" s="664"/>
      <c r="Q7" s="664"/>
      <c r="R7" s="664"/>
      <c r="S7" s="664"/>
      <c r="T7" s="664"/>
      <c r="U7" s="664"/>
      <c r="V7" s="664"/>
      <c r="W7" s="664"/>
      <c r="X7" s="664"/>
      <c r="Y7" s="664"/>
      <c r="Z7" s="664"/>
      <c r="AA7" s="664"/>
      <c r="AB7" s="664"/>
      <c r="AC7" s="664"/>
      <c r="AD7" s="664"/>
      <c r="AE7" s="664"/>
    </row>
    <row r="8" spans="1:31" x14ac:dyDescent="0.35">
      <c r="A8" s="661"/>
      <c r="B8" s="661" t="s">
        <v>183</v>
      </c>
      <c r="C8" s="665"/>
      <c r="D8" s="663"/>
      <c r="E8" s="664">
        <f>IF(E2=Input!$E$182,Input!$E$181-D2,IF(E2-Input!$E$178+1&gt;=365,E2-D2,E2-Input!$E$178+1))*E4</f>
        <v>0</v>
      </c>
      <c r="F8" s="664">
        <f>IF(F2=Input!$E$182,Input!$E$181-E2,IF(F2-Input!$E$178+1&gt;=365,F2-E2,F2-Input!$E$178+1))*F4</f>
        <v>182</v>
      </c>
      <c r="G8" s="664">
        <f>IF(G2=Input!$E$182,Input!$E$181-F2,IF(G2-Input!$E$178+1&gt;=365,G2-F2,G2-Input!$E$178+1))*G4</f>
        <v>366</v>
      </c>
      <c r="H8" s="664">
        <f>IF(H2=Input!$E$182,Input!$E$181-G2,IF(H2-Input!$E$178+1&gt;=365,H2-G2,H2-Input!$E$178+1))*H4</f>
        <v>365</v>
      </c>
      <c r="I8" s="664">
        <f>IF(I2=Input!$E$182,Input!$E$181-H2,IF(I2-Input!$E$178+1&gt;=365,I2-H2,I2-Input!$E$178+1))*I4</f>
        <v>365</v>
      </c>
      <c r="J8" s="664">
        <f>IF(J2=Input!$E$182,Input!$E$181-I2,IF(J2-Input!$E$178+1&gt;=365,J2-I2,J2-Input!$E$178+1))*J4</f>
        <v>365</v>
      </c>
      <c r="K8" s="664">
        <f>IF(K2=Input!$E$182,Input!$E$181-J2,IF(K2-Input!$E$178+1&gt;=365,K2-J2,K2-Input!$E$178+1))*K4</f>
        <v>366</v>
      </c>
      <c r="L8" s="664">
        <f>IF(L2=Input!$E$182,Input!$E$181-K2,IF(L2-Input!$E$178+1&gt;=365,L2-K2,L2-Input!$E$178+1))*L4</f>
        <v>365</v>
      </c>
      <c r="M8" s="664">
        <f>IF(M2=Input!$E$182,Input!$E$181-L2,IF(M2-Input!$E$178+1&gt;=365,M2-L2,M2-Input!$E$178+1))*M4</f>
        <v>365</v>
      </c>
      <c r="N8" s="664">
        <f>IF(N2=Input!$E$182,Input!$E$181-M2,IF(N2-Input!$E$178+1&gt;=365,N2-M2,N2-Input!$E$178+1))*N4</f>
        <v>365</v>
      </c>
      <c r="O8" s="664">
        <f>IF(O2=Input!$E$182,Input!$E$181-N2,IF(O2-Input!$E$178+1&gt;=365,O2-N2,O2-Input!$E$178+1))*O4</f>
        <v>366</v>
      </c>
      <c r="P8" s="664">
        <f>IF(P2=Input!$E$182,Input!$E$181-O2,IF(P2-Input!$E$178+1&gt;=365,P2-O2,P2-Input!$E$178+1))*P4</f>
        <v>365</v>
      </c>
      <c r="Q8" s="664">
        <f>IF(Q2=Input!$E$182,Input!$E$181-P2,IF(Q2-Input!$E$178+1&gt;=365,Q2-P2,Q2-Input!$E$178+1))*Q4</f>
        <v>365</v>
      </c>
      <c r="R8" s="664">
        <f>IF(R2=Input!$E$182,Input!$E$181-Q2,IF(R2-Input!$E$178+1&gt;=365,R2-Q2,R2-Input!$E$178+1))*R4</f>
        <v>365</v>
      </c>
      <c r="S8" s="664">
        <f>IF(S2=Input!$E$182,Input!$E$181-R2,IF(S2-Input!$E$178+1&gt;=365,S2-R2,S2-Input!$E$178+1))*S4</f>
        <v>366</v>
      </c>
      <c r="T8" s="664">
        <f>IF(T2=Input!$E$182,Input!$E$181-S2,IF(T2-Input!$E$178+1&gt;=365,T2-S2,T2-Input!$E$178+1))*T4</f>
        <v>365</v>
      </c>
      <c r="U8" s="664">
        <f>IF(U2=Input!$E$182,Input!$E$181-T2,IF(U2-Input!$E$178+1&gt;=365,U2-T2,U2-Input!$E$178+1))*U4</f>
        <v>365</v>
      </c>
      <c r="V8" s="664">
        <f>IF(V2=Input!$E$182,Input!$E$181-U2,IF(V2-Input!$E$178+1&gt;=365,V2-U2,V2-Input!$E$178+1))*V4</f>
        <v>365</v>
      </c>
      <c r="W8" s="664">
        <f>IF(W2=Input!$E$182,Input!$E$181-V2,IF(W2-Input!$E$178+1&gt;=365,W2-V2,W2-Input!$E$178+1))*W4</f>
        <v>366</v>
      </c>
      <c r="X8" s="664">
        <f>IF(X2=Input!$E$182,Input!$E$181-W2,IF(X2-Input!$E$178+1&gt;=365,X2-W2,X2-Input!$E$178+1))*X4</f>
        <v>365</v>
      </c>
      <c r="Y8" s="664">
        <f>IF(Y2=Input!$E$182,Input!$E$181-X2,IF(Y2-Input!$E$178+1&gt;=365,Y2-X2,Y2-Input!$E$178+1))*Y4</f>
        <v>365</v>
      </c>
      <c r="Z8" s="664">
        <f>IF(Z2=Input!$E$182,Input!$E$181-Y2,IF(Z2-Input!$E$178+1&gt;=365,Z2-Y2,Z2-Input!$E$178+1))*Z4</f>
        <v>365</v>
      </c>
      <c r="AA8" s="664">
        <f>IF(AA2=Input!$E$182,Input!$E$181-Z2,IF(AA2-Input!$E$178+1&gt;=365,AA2-Z2,AA2-Input!$E$178+1))*AA4</f>
        <v>366</v>
      </c>
      <c r="AB8" s="664">
        <f>IF(AB2=Input!$E$182,Input!$E$181-AA2,IF(AB2-Input!$E$178+1&gt;=365,AB2-AA2,AB2-Input!$E$178+1))*AB4</f>
        <v>365</v>
      </c>
      <c r="AC8" s="664">
        <f>IF(AC2=Input!$E$182,Input!$E$181-AB2,IF(AC2-Input!$E$178+1&gt;=365,AC2-AB2,AC2-Input!$E$178+1))*AC4</f>
        <v>365</v>
      </c>
      <c r="AD8" s="664">
        <f>IF(AD2=Input!$E$182,Input!$E$181-AC2,IF(AD2-Input!$E$178+1&gt;=365,AD2-AC2,AD2-Input!$E$178+1))*AD4</f>
        <v>365</v>
      </c>
      <c r="AE8" s="664">
        <f>IF(AE2=Input!$E$182,Input!$E$181-AD2,IF(AE2-Input!$E$178+1&gt;=365,AE2-AD2,AE2-Input!$E$178+1))*AE4</f>
        <v>183</v>
      </c>
    </row>
    <row r="9" spans="1:31" hidden="1" x14ac:dyDescent="0.35">
      <c r="A9" s="661"/>
      <c r="B9" s="661" t="s">
        <v>182</v>
      </c>
      <c r="C9" s="665"/>
      <c r="D9" s="663"/>
      <c r="E9" s="661">
        <f t="shared" ref="E9:AE9" si="5">IF(E6,E8/E6,0)</f>
        <v>0</v>
      </c>
      <c r="F9" s="661">
        <f t="shared" si="5"/>
        <v>0.49863013698630138</v>
      </c>
      <c r="G9" s="661">
        <f t="shared" si="5"/>
        <v>1</v>
      </c>
      <c r="H9" s="661">
        <f t="shared" si="5"/>
        <v>1</v>
      </c>
      <c r="I9" s="661">
        <f t="shared" si="5"/>
        <v>1</v>
      </c>
      <c r="J9" s="661">
        <f t="shared" si="5"/>
        <v>1</v>
      </c>
      <c r="K9" s="661">
        <f t="shared" si="5"/>
        <v>1</v>
      </c>
      <c r="L9" s="661">
        <f t="shared" si="5"/>
        <v>1</v>
      </c>
      <c r="M9" s="661">
        <f t="shared" si="5"/>
        <v>1</v>
      </c>
      <c r="N9" s="661">
        <f t="shared" si="5"/>
        <v>1</v>
      </c>
      <c r="O9" s="661">
        <f t="shared" si="5"/>
        <v>1</v>
      </c>
      <c r="P9" s="661">
        <f t="shared" si="5"/>
        <v>1</v>
      </c>
      <c r="Q9" s="661">
        <f t="shared" si="5"/>
        <v>1</v>
      </c>
      <c r="R9" s="661">
        <f t="shared" si="5"/>
        <v>1</v>
      </c>
      <c r="S9" s="661">
        <f t="shared" si="5"/>
        <v>1</v>
      </c>
      <c r="T9" s="661">
        <f t="shared" si="5"/>
        <v>1</v>
      </c>
      <c r="U9" s="661">
        <f t="shared" si="5"/>
        <v>1</v>
      </c>
      <c r="V9" s="661">
        <f t="shared" si="5"/>
        <v>1</v>
      </c>
      <c r="W9" s="661">
        <f t="shared" si="5"/>
        <v>1</v>
      </c>
      <c r="X9" s="661">
        <f t="shared" si="5"/>
        <v>1</v>
      </c>
      <c r="Y9" s="661">
        <f t="shared" si="5"/>
        <v>1</v>
      </c>
      <c r="Z9" s="661">
        <f t="shared" si="5"/>
        <v>1</v>
      </c>
      <c r="AA9" s="661">
        <f t="shared" si="5"/>
        <v>1</v>
      </c>
      <c r="AB9" s="661">
        <f t="shared" si="5"/>
        <v>1</v>
      </c>
      <c r="AC9" s="661">
        <f t="shared" si="5"/>
        <v>1</v>
      </c>
      <c r="AD9" s="661">
        <f t="shared" si="5"/>
        <v>1</v>
      </c>
      <c r="AE9" s="661">
        <f t="shared" si="5"/>
        <v>0.5</v>
      </c>
    </row>
    <row r="10" spans="1:31" hidden="1" x14ac:dyDescent="0.35">
      <c r="A10" s="661"/>
      <c r="B10" s="661" t="s">
        <v>181</v>
      </c>
      <c r="C10" s="665"/>
      <c r="D10" s="663"/>
      <c r="E10" s="661">
        <f t="shared" ref="E10:AE10" si="6">D10+E9</f>
        <v>0</v>
      </c>
      <c r="F10" s="661">
        <f t="shared" si="6"/>
        <v>0.49863013698630138</v>
      </c>
      <c r="G10" s="661">
        <f t="shared" si="6"/>
        <v>1.4986301369863013</v>
      </c>
      <c r="H10" s="661">
        <f t="shared" si="6"/>
        <v>2.4986301369863013</v>
      </c>
      <c r="I10" s="661">
        <f t="shared" si="6"/>
        <v>3.4986301369863013</v>
      </c>
      <c r="J10" s="661">
        <f t="shared" si="6"/>
        <v>4.4986301369863018</v>
      </c>
      <c r="K10" s="661">
        <f t="shared" si="6"/>
        <v>5.4986301369863018</v>
      </c>
      <c r="L10" s="661">
        <f t="shared" si="6"/>
        <v>6.4986301369863018</v>
      </c>
      <c r="M10" s="661">
        <f t="shared" si="6"/>
        <v>7.4986301369863018</v>
      </c>
      <c r="N10" s="661">
        <f t="shared" si="6"/>
        <v>8.4986301369863018</v>
      </c>
      <c r="O10" s="661">
        <f t="shared" si="6"/>
        <v>9.4986301369863018</v>
      </c>
      <c r="P10" s="661">
        <f t="shared" si="6"/>
        <v>10.498630136986302</v>
      </c>
      <c r="Q10" s="661">
        <f t="shared" si="6"/>
        <v>11.498630136986302</v>
      </c>
      <c r="R10" s="661">
        <f t="shared" si="6"/>
        <v>12.498630136986302</v>
      </c>
      <c r="S10" s="661">
        <f t="shared" si="6"/>
        <v>13.498630136986302</v>
      </c>
      <c r="T10" s="661">
        <f t="shared" si="6"/>
        <v>14.498630136986302</v>
      </c>
      <c r="U10" s="661">
        <f t="shared" si="6"/>
        <v>15.498630136986302</v>
      </c>
      <c r="V10" s="661">
        <f t="shared" si="6"/>
        <v>16.4986301369863</v>
      </c>
      <c r="W10" s="661">
        <f t="shared" si="6"/>
        <v>17.4986301369863</v>
      </c>
      <c r="X10" s="661">
        <f t="shared" si="6"/>
        <v>18.4986301369863</v>
      </c>
      <c r="Y10" s="661">
        <f t="shared" si="6"/>
        <v>19.4986301369863</v>
      </c>
      <c r="Z10" s="661">
        <f t="shared" si="6"/>
        <v>20.4986301369863</v>
      </c>
      <c r="AA10" s="661">
        <f t="shared" si="6"/>
        <v>21.4986301369863</v>
      </c>
      <c r="AB10" s="661">
        <f t="shared" si="6"/>
        <v>22.4986301369863</v>
      </c>
      <c r="AC10" s="661">
        <f t="shared" si="6"/>
        <v>23.4986301369863</v>
      </c>
      <c r="AD10" s="661">
        <f t="shared" si="6"/>
        <v>24.4986301369863</v>
      </c>
      <c r="AE10" s="661">
        <f t="shared" si="6"/>
        <v>24.9986301369863</v>
      </c>
    </row>
    <row r="12" spans="1:31" x14ac:dyDescent="0.35">
      <c r="B12" s="1280" t="s">
        <v>1078</v>
      </c>
      <c r="C12" s="1280"/>
      <c r="D12" s="1004"/>
    </row>
    <row r="13" spans="1:31" x14ac:dyDescent="0.35">
      <c r="B13" s="969" t="s">
        <v>156</v>
      </c>
      <c r="C13" s="971" t="s">
        <v>26</v>
      </c>
      <c r="D13" s="966">
        <f>Working!D153</f>
        <v>203.23999999999998</v>
      </c>
      <c r="E13" s="966">
        <f>Working!E153</f>
        <v>203.23999999999998</v>
      </c>
      <c r="F13" s="966">
        <f>Working!F153</f>
        <v>203.23999999999998</v>
      </c>
      <c r="G13" s="966">
        <f>Working!G153</f>
        <v>203.23999999999998</v>
      </c>
      <c r="H13" s="966">
        <f>Working!H153</f>
        <v>203.23999999999998</v>
      </c>
      <c r="I13" s="966">
        <f>Working!I153</f>
        <v>203.23999999999998</v>
      </c>
      <c r="J13" s="966">
        <f>Working!J153</f>
        <v>203.23999999999998</v>
      </c>
      <c r="K13" s="966">
        <f>Working!K153</f>
        <v>203.23999999999998</v>
      </c>
      <c r="L13" s="966">
        <f>Working!L153</f>
        <v>203.23999999999998</v>
      </c>
      <c r="M13" s="966">
        <f>Working!M153</f>
        <v>203.23999999999998</v>
      </c>
      <c r="N13" s="966">
        <f>Working!N153</f>
        <v>203.23999999999998</v>
      </c>
      <c r="O13" s="966">
        <f>Working!O153</f>
        <v>203.23999999999998</v>
      </c>
      <c r="P13" s="966">
        <f>Working!P153</f>
        <v>203.23999999999998</v>
      </c>
      <c r="Q13" s="966">
        <f>Working!Q153</f>
        <v>203.23999999999998</v>
      </c>
      <c r="R13" s="966">
        <f>Working!R153</f>
        <v>203.23999999999998</v>
      </c>
      <c r="S13" s="966">
        <f>Working!S153</f>
        <v>203.23999999999998</v>
      </c>
      <c r="T13" s="966">
        <f>Working!T153</f>
        <v>203.23999999999998</v>
      </c>
      <c r="U13" s="966">
        <f>Working!U153</f>
        <v>203.23999999999998</v>
      </c>
      <c r="V13" s="966">
        <f>Working!V153</f>
        <v>203.23999999999998</v>
      </c>
      <c r="W13" s="966">
        <f>Working!W153</f>
        <v>203.23999999999998</v>
      </c>
      <c r="X13" s="966">
        <f>Working!X153</f>
        <v>203.23999999999998</v>
      </c>
      <c r="Y13" s="966">
        <f>Working!Y153</f>
        <v>203.23999999999998</v>
      </c>
      <c r="Z13" s="966">
        <f>Working!Z153</f>
        <v>203.23999999999998</v>
      </c>
      <c r="AA13" s="966">
        <f>Working!AA153</f>
        <v>203.23999999999998</v>
      </c>
      <c r="AB13" s="966">
        <f>Working!AB153</f>
        <v>203.23999999999998</v>
      </c>
      <c r="AC13" s="966">
        <f>Working!AC153</f>
        <v>203.23999999999998</v>
      </c>
      <c r="AD13" s="966">
        <f>Working!AD153</f>
        <v>203.23999999999998</v>
      </c>
      <c r="AE13" s="966">
        <f>Working!AE153</f>
        <v>203.23999999999998</v>
      </c>
    </row>
    <row r="14" spans="1:31" x14ac:dyDescent="0.35">
      <c r="B14" s="969" t="s">
        <v>155</v>
      </c>
      <c r="C14" s="971" t="s">
        <v>0</v>
      </c>
      <c r="D14" s="968">
        <f>Working!D154</f>
        <v>0</v>
      </c>
      <c r="E14" s="968">
        <f>Working!E154</f>
        <v>0</v>
      </c>
      <c r="F14" s="968">
        <f>Working!F154</f>
        <v>2.4931506849315069E-3</v>
      </c>
      <c r="G14" s="968">
        <f>Working!G154</f>
        <v>5.0000000000000001E-3</v>
      </c>
      <c r="H14" s="968">
        <f>Working!H154</f>
        <v>5.0000000000000001E-3</v>
      </c>
      <c r="I14" s="968">
        <f>Working!I154</f>
        <v>5.0000000000000001E-3</v>
      </c>
      <c r="J14" s="968">
        <f>Working!J154</f>
        <v>5.0000000000000001E-3</v>
      </c>
      <c r="K14" s="968">
        <f>Working!K154</f>
        <v>5.0000000000000001E-3</v>
      </c>
      <c r="L14" s="968">
        <f>Working!L154</f>
        <v>5.0000000000000001E-3</v>
      </c>
      <c r="M14" s="968">
        <f>Working!M154</f>
        <v>5.0000000000000001E-3</v>
      </c>
      <c r="N14" s="968">
        <f>Working!N154</f>
        <v>5.0000000000000001E-3</v>
      </c>
      <c r="O14" s="968">
        <f>Working!O154</f>
        <v>5.0000000000000001E-3</v>
      </c>
      <c r="P14" s="968">
        <f>Working!P154</f>
        <v>5.0000000000000001E-3</v>
      </c>
      <c r="Q14" s="968">
        <f>Working!Q154</f>
        <v>5.0000000000000001E-3</v>
      </c>
      <c r="R14" s="968">
        <f>Working!R154</f>
        <v>5.0000000000000001E-3</v>
      </c>
      <c r="S14" s="968">
        <f>Working!S154</f>
        <v>5.0000000000000001E-3</v>
      </c>
      <c r="T14" s="968">
        <f>Working!T154</f>
        <v>5.0000000000000001E-3</v>
      </c>
      <c r="U14" s="968">
        <f>Working!U154</f>
        <v>5.0000000000000001E-3</v>
      </c>
      <c r="V14" s="968">
        <f>Working!V154</f>
        <v>5.0000000000000001E-3</v>
      </c>
      <c r="W14" s="968">
        <f>Working!W154</f>
        <v>5.0000000000000001E-3</v>
      </c>
      <c r="X14" s="968">
        <f>Working!X154</f>
        <v>5.0000000000000001E-3</v>
      </c>
      <c r="Y14" s="968">
        <f>Working!Y154</f>
        <v>5.0000000000000001E-3</v>
      </c>
      <c r="Z14" s="968">
        <f>Working!Z154</f>
        <v>5.0000000000000001E-3</v>
      </c>
      <c r="AA14" s="968">
        <f>Working!AA154</f>
        <v>5.0000000000000001E-3</v>
      </c>
      <c r="AB14" s="968">
        <f>Working!AB154</f>
        <v>5.0000000000000001E-3</v>
      </c>
      <c r="AC14" s="968">
        <f>Working!AC154</f>
        <v>5.0000000000000001E-3</v>
      </c>
      <c r="AD14" s="968">
        <f>Working!AD154</f>
        <v>5.0000000000000001E-3</v>
      </c>
      <c r="AE14" s="968">
        <f>Working!AE154</f>
        <v>2.5000000000000001E-3</v>
      </c>
    </row>
    <row r="15" spans="1:31" x14ac:dyDescent="0.35">
      <c r="B15" s="970" t="s">
        <v>154</v>
      </c>
      <c r="C15" s="972" t="s">
        <v>26</v>
      </c>
      <c r="D15" s="966">
        <f>Working!D155</f>
        <v>203.23999999999998</v>
      </c>
      <c r="E15" s="966">
        <f>Working!E155</f>
        <v>203.23999999999998</v>
      </c>
      <c r="F15" s="966">
        <f>Working!F155</f>
        <v>203.23999999999998</v>
      </c>
      <c r="G15" s="966">
        <f>Working!G155</f>
        <v>203.23999999999998</v>
      </c>
      <c r="H15" s="966">
        <f>Working!H155</f>
        <v>203.23999999999998</v>
      </c>
      <c r="I15" s="966">
        <f>Working!I155</f>
        <v>203.23999999999998</v>
      </c>
      <c r="J15" s="966">
        <f>Working!J155</f>
        <v>203.23999999999998</v>
      </c>
      <c r="K15" s="966">
        <f>Working!K155</f>
        <v>203.23999999999998</v>
      </c>
      <c r="L15" s="966">
        <f>Working!L155</f>
        <v>203.23999999999998</v>
      </c>
      <c r="M15" s="966">
        <f>Working!M155</f>
        <v>203.23999999999998</v>
      </c>
      <c r="N15" s="966">
        <f>Working!N155</f>
        <v>203.23999999999998</v>
      </c>
      <c r="O15" s="966">
        <f>Working!O155</f>
        <v>203.23999999999998</v>
      </c>
      <c r="P15" s="966">
        <f>Working!P155</f>
        <v>203.23999999999998</v>
      </c>
      <c r="Q15" s="966">
        <f>Working!Q155</f>
        <v>203.23999999999998</v>
      </c>
      <c r="R15" s="966">
        <f>Working!R155</f>
        <v>203.23999999999998</v>
      </c>
      <c r="S15" s="966">
        <f>Working!S155</f>
        <v>203.23999999999998</v>
      </c>
      <c r="T15" s="966">
        <f>Working!T155</f>
        <v>203.23999999999998</v>
      </c>
      <c r="U15" s="966">
        <f>Working!U155</f>
        <v>203.23999999999998</v>
      </c>
      <c r="V15" s="966">
        <f>Working!V155</f>
        <v>203.23999999999998</v>
      </c>
      <c r="W15" s="966">
        <f>Working!W155</f>
        <v>203.23999999999998</v>
      </c>
      <c r="X15" s="966">
        <f>Working!X155</f>
        <v>203.23999999999998</v>
      </c>
      <c r="Y15" s="966">
        <f>Working!Y155</f>
        <v>203.23999999999998</v>
      </c>
      <c r="Z15" s="966">
        <f>Working!Z155</f>
        <v>203.23999999999998</v>
      </c>
      <c r="AA15" s="966">
        <f>Working!AA155</f>
        <v>203.23999999999998</v>
      </c>
      <c r="AB15" s="966">
        <f>Working!AB155</f>
        <v>203.23999999999998</v>
      </c>
      <c r="AC15" s="966">
        <f>Working!AC155</f>
        <v>203.23999999999998</v>
      </c>
      <c r="AD15" s="966">
        <f>Working!AD155</f>
        <v>203.23999999999998</v>
      </c>
      <c r="AE15" s="966">
        <f>Working!AE155</f>
        <v>203.23999999999998</v>
      </c>
    </row>
    <row r="16" spans="1:31" x14ac:dyDescent="0.35">
      <c r="B16" s="969" t="s">
        <v>2</v>
      </c>
      <c r="C16" s="971" t="s">
        <v>0</v>
      </c>
      <c r="D16" s="968">
        <f>Working!D156</f>
        <v>0.19317816217459799</v>
      </c>
      <c r="E16" s="968">
        <f>Working!E156</f>
        <v>0</v>
      </c>
      <c r="F16" s="968">
        <f>Working!F156</f>
        <v>0.19257684270986783</v>
      </c>
      <c r="G16" s="968">
        <f>Working!G156</f>
        <v>0.18905272818314731</v>
      </c>
      <c r="H16" s="968">
        <f>Working!H156</f>
        <v>0.18720104735231238</v>
      </c>
      <c r="I16" s="968">
        <f>Working!I156</f>
        <v>0.18486103426040848</v>
      </c>
      <c r="J16" s="968">
        <f>Working!J156</f>
        <v>0.1825502713321534</v>
      </c>
      <c r="K16" s="968">
        <f>Working!K156</f>
        <v>0.17977585634776785</v>
      </c>
      <c r="L16" s="968">
        <f>Working!L156</f>
        <v>0.17801503802874519</v>
      </c>
      <c r="M16" s="968">
        <f>Working!M156</f>
        <v>0.1757898500533859</v>
      </c>
      <c r="N16" s="968">
        <f>Working!N156</f>
        <v>0.17359247692771856</v>
      </c>
      <c r="O16" s="968">
        <f>Working!O156</f>
        <v>0.17095420328588679</v>
      </c>
      <c r="P16" s="968">
        <f>Working!P156</f>
        <v>0.1692797888290456</v>
      </c>
      <c r="Q16" s="968">
        <f>Working!Q156</f>
        <v>0.16716379146868254</v>
      </c>
      <c r="R16" s="968">
        <f>Working!R156</f>
        <v>0.16507424407532401</v>
      </c>
      <c r="S16" s="968">
        <f>Working!S156</f>
        <v>0.16256543128114648</v>
      </c>
      <c r="T16" s="968">
        <f>Working!T156</f>
        <v>0.16097318082407769</v>
      </c>
      <c r="U16" s="968">
        <f>Working!U156</f>
        <v>0.15896101606377674</v>
      </c>
      <c r="V16" s="968">
        <f>Working!V156</f>
        <v>0.15697400336297954</v>
      </c>
      <c r="W16" s="968">
        <f>Working!W156</f>
        <v>0.15458829873536595</v>
      </c>
      <c r="X16" s="968">
        <f>Working!X156</f>
        <v>0.15307418046693053</v>
      </c>
      <c r="Y16" s="968">
        <f>Working!Y156</f>
        <v>0.15116075321109387</v>
      </c>
      <c r="Z16" s="968">
        <f>Working!Z156</f>
        <v>0.14927124379595522</v>
      </c>
      <c r="AA16" s="968">
        <f>Working!AA156</f>
        <v>0.14700260638170659</v>
      </c>
      <c r="AB16" s="968">
        <f>Working!AB156</f>
        <v>0.14556278633289949</v>
      </c>
      <c r="AC16" s="968">
        <f>Working!AC156</f>
        <v>0.14374325150373826</v>
      </c>
      <c r="AD16" s="968">
        <f>Working!AD156</f>
        <v>0.14194646085994153</v>
      </c>
      <c r="AE16" s="968">
        <f>Working!AE156</f>
        <v>0.16470321651302103</v>
      </c>
    </row>
    <row r="17" spans="2:31" x14ac:dyDescent="0.35">
      <c r="B17" s="973" t="s">
        <v>1077</v>
      </c>
      <c r="C17" s="974" t="s">
        <v>497</v>
      </c>
      <c r="D17" s="975">
        <f>Working!D158</f>
        <v>343.93099999999993</v>
      </c>
      <c r="E17" s="975">
        <f>Working!E158</f>
        <v>0</v>
      </c>
      <c r="F17" s="975">
        <f>Working!F158</f>
        <v>170.96053889396021</v>
      </c>
      <c r="G17" s="975">
        <f>Working!G158</f>
        <v>337.50830376468201</v>
      </c>
      <c r="H17" s="975">
        <f>Working!H158</f>
        <v>333.28944996762351</v>
      </c>
      <c r="I17" s="975">
        <f>Working!I158</f>
        <v>329.12333184302821</v>
      </c>
      <c r="J17" s="975">
        <f>Working!J158</f>
        <v>325.0092901949904</v>
      </c>
      <c r="K17" s="975">
        <f>Working!K158</f>
        <v>320.94667406755303</v>
      </c>
      <c r="L17" s="975">
        <f>Working!L158</f>
        <v>316.9348406417086</v>
      </c>
      <c r="M17" s="975">
        <f>Working!M158</f>
        <v>312.97315513368727</v>
      </c>
      <c r="N17" s="975">
        <f>Working!N158</f>
        <v>309.06099069451619</v>
      </c>
      <c r="O17" s="975">
        <f>Working!O158</f>
        <v>305.19772831083475</v>
      </c>
      <c r="P17" s="975">
        <f>Working!P158</f>
        <v>301.38275670694935</v>
      </c>
      <c r="Q17" s="975">
        <f>Working!Q158</f>
        <v>297.6154722481125</v>
      </c>
      <c r="R17" s="975">
        <f>Working!R158</f>
        <v>293.89527884501109</v>
      </c>
      <c r="S17" s="975">
        <f>Working!S158</f>
        <v>290.2215878594485</v>
      </c>
      <c r="T17" s="975">
        <f>Working!T158</f>
        <v>286.59381801120537</v>
      </c>
      <c r="U17" s="975">
        <f>Working!U158</f>
        <v>283.01139528606535</v>
      </c>
      <c r="V17" s="975">
        <f>Working!V158</f>
        <v>279.47375284498952</v>
      </c>
      <c r="W17" s="975">
        <f>Working!W158</f>
        <v>275.98033093442717</v>
      </c>
      <c r="X17" s="975">
        <f>Working!X158</f>
        <v>272.53057679774685</v>
      </c>
      <c r="Y17" s="975">
        <f>Working!Y158</f>
        <v>269.12394458777499</v>
      </c>
      <c r="Z17" s="975">
        <f>Working!Z158</f>
        <v>265.75989528042783</v>
      </c>
      <c r="AA17" s="975">
        <f>Working!AA158</f>
        <v>262.43789658942251</v>
      </c>
      <c r="AB17" s="975">
        <f>Working!AB158</f>
        <v>259.15742288205473</v>
      </c>
      <c r="AC17" s="975">
        <f>Working!AC158</f>
        <v>255.91795509602909</v>
      </c>
      <c r="AD17" s="975">
        <f>Working!AD158</f>
        <v>252.71898065732873</v>
      </c>
      <c r="AE17" s="975">
        <f>Working!AE158</f>
        <v>147.01904533227525</v>
      </c>
    </row>
    <row r="19" spans="2:31" x14ac:dyDescent="0.35">
      <c r="B19" s="1280" t="s">
        <v>1079</v>
      </c>
      <c r="C19" s="1280"/>
    </row>
    <row r="20" spans="2:31" x14ac:dyDescent="0.35">
      <c r="B20" s="759" t="str">
        <f>Working!B256</f>
        <v>Generation O&amp;M</v>
      </c>
      <c r="C20" s="759" t="str">
        <f>Working!C256</f>
        <v>Rs Cr</v>
      </c>
      <c r="D20" s="759"/>
      <c r="E20" s="759">
        <f>Working!E256</f>
        <v>0</v>
      </c>
      <c r="F20" s="1236">
        <f>Working!F256</f>
        <v>5.5725712981917805</v>
      </c>
      <c r="G20" s="1236">
        <f>Working!G256</f>
        <v>11.762488578800001</v>
      </c>
      <c r="H20" s="1236">
        <f>Working!H256</f>
        <v>12.380019229186999</v>
      </c>
      <c r="I20" s="1236">
        <f>Working!I256</f>
        <v>13.029970238719315</v>
      </c>
      <c r="J20" s="1236">
        <f>Working!J256</f>
        <v>13.714043676252082</v>
      </c>
      <c r="K20" s="1236">
        <f>Working!K256</f>
        <v>14.434030969255314</v>
      </c>
      <c r="L20" s="1236">
        <f>Working!L256</f>
        <v>15.19181759514122</v>
      </c>
      <c r="M20" s="1236">
        <f>Working!M256</f>
        <v>15.989388018886132</v>
      </c>
      <c r="N20" s="1236">
        <f>Working!N256</f>
        <v>16.828830889877654</v>
      </c>
      <c r="O20" s="1236">
        <f>Working!O256</f>
        <v>17.712344511596232</v>
      </c>
      <c r="P20" s="1236">
        <f>Working!P256</f>
        <v>18.642242598455031</v>
      </c>
      <c r="Q20" s="1236">
        <f>Working!Q256</f>
        <v>19.620960334873921</v>
      </c>
      <c r="R20" s="1236">
        <f>Working!R256</f>
        <v>20.6510607524548</v>
      </c>
      <c r="S20" s="1236">
        <f>Working!S256</f>
        <v>21.735241441958678</v>
      </c>
      <c r="T20" s="1236">
        <f>Working!T256</f>
        <v>22.87634161766151</v>
      </c>
      <c r="U20" s="1236">
        <f>Working!U256</f>
        <v>24.077349552588739</v>
      </c>
      <c r="V20" s="1236">
        <f>Working!V256</f>
        <v>25.341410404099648</v>
      </c>
      <c r="W20" s="1236">
        <f>Working!W256</f>
        <v>26.671834450314876</v>
      </c>
      <c r="X20" s="1236">
        <f>Working!X256</f>
        <v>28.072105758956408</v>
      </c>
      <c r="Y20" s="1236">
        <f>Working!Y256</f>
        <v>29.54589131130162</v>
      </c>
      <c r="Z20" s="1236">
        <f>Working!Z256</f>
        <v>31.097050605144954</v>
      </c>
      <c r="AA20" s="1236">
        <f>Working!AA256</f>
        <v>32.729645761915066</v>
      </c>
      <c r="AB20" s="1236">
        <f>Working!AB256</f>
        <v>34.447952164415604</v>
      </c>
      <c r="AC20" s="1236">
        <f>Working!AC256</f>
        <v>36.256469653047425</v>
      </c>
      <c r="AD20" s="1236">
        <f>Working!AD256</f>
        <v>38.159934309832416</v>
      </c>
      <c r="AE20" s="1236">
        <f>Working!AE256</f>
        <v>20.081665430549307</v>
      </c>
    </row>
    <row r="21" spans="2:31" x14ac:dyDescent="0.35">
      <c r="B21" s="759" t="str">
        <f>Working!B257</f>
        <v>Infrastructure O&amp;M</v>
      </c>
      <c r="C21" s="759" t="str">
        <f>Working!C257</f>
        <v>Rs Cr</v>
      </c>
      <c r="D21" s="759"/>
      <c r="E21" s="759">
        <f>Working!E257</f>
        <v>0</v>
      </c>
      <c r="F21" s="1236">
        <f>Working!F257</f>
        <v>1.1877748137321253</v>
      </c>
      <c r="G21" s="1236">
        <f>Working!G257</f>
        <v>2.4718801227284981</v>
      </c>
      <c r="H21" s="1236">
        <f>Working!H257</f>
        <v>2.5650700033553626</v>
      </c>
      <c r="I21" s="1236">
        <f>Working!I257</f>
        <v>2.6617731424818594</v>
      </c>
      <c r="J21" s="1236">
        <f>Working!J257</f>
        <v>2.7621219899534259</v>
      </c>
      <c r="K21" s="1236">
        <f>Working!K257</f>
        <v>2.8662539889746701</v>
      </c>
      <c r="L21" s="1236">
        <f>Working!L257</f>
        <v>2.9743117643590153</v>
      </c>
      <c r="M21" s="1236">
        <f>Working!M257</f>
        <v>3.0864433178753505</v>
      </c>
      <c r="N21" s="1236">
        <f>Working!N257</f>
        <v>3.2028022309592519</v>
      </c>
      <c r="O21" s="1236">
        <f>Working!O257</f>
        <v>3.3235478750664158</v>
      </c>
      <c r="P21" s="1236">
        <f>Working!P257</f>
        <v>3.4488456299564199</v>
      </c>
      <c r="Q21" s="1236">
        <f>Working!Q257</f>
        <v>3.5788671102057772</v>
      </c>
      <c r="R21" s="1236">
        <f>Working!R257</f>
        <v>3.7137904002605349</v>
      </c>
      <c r="S21" s="1236">
        <f>Working!S257</f>
        <v>3.8538002983503579</v>
      </c>
      <c r="T21" s="1236">
        <f>Working!T257</f>
        <v>3.9990885695981659</v>
      </c>
      <c r="U21" s="1236">
        <f>Working!U257</f>
        <v>4.1498542086720178</v>
      </c>
      <c r="V21" s="1236">
        <f>Working!V257</f>
        <v>4.306303712338952</v>
      </c>
      <c r="W21" s="1236">
        <f>Working!W257</f>
        <v>4.4686513622941302</v>
      </c>
      <c r="X21" s="1236">
        <f>Working!X257</f>
        <v>4.6371195186526206</v>
      </c>
      <c r="Y21" s="1236">
        <f>Working!Y257</f>
        <v>4.8119389245058235</v>
      </c>
      <c r="Z21" s="1236">
        <f>Working!Z257</f>
        <v>4.9933490219596948</v>
      </c>
      <c r="AA21" s="1236">
        <f>Working!AA257</f>
        <v>5.1815982800875746</v>
      </c>
      <c r="AB21" s="1236">
        <f>Working!AB257</f>
        <v>5.3769445352468779</v>
      </c>
      <c r="AC21" s="1236">
        <f>Working!AC257</f>
        <v>5.5796553442256842</v>
      </c>
      <c r="AD21" s="1236">
        <f>Working!AD257</f>
        <v>5.7900083507029922</v>
      </c>
      <c r="AE21" s="1236">
        <f>Working!AE257</f>
        <v>2.9490701465396696</v>
      </c>
    </row>
    <row r="22" spans="2:31" x14ac:dyDescent="0.35">
      <c r="B22" s="759" t="str">
        <f>Working!B258</f>
        <v>Depreciation</v>
      </c>
      <c r="C22" s="759" t="str">
        <f>Working!C258</f>
        <v>Rs Cr</v>
      </c>
      <c r="D22" s="759"/>
      <c r="E22" s="759">
        <f>Working!E258</f>
        <v>0</v>
      </c>
      <c r="F22" s="1236">
        <f ca="1">Working!F258</f>
        <v>28.934333529846327</v>
      </c>
      <c r="G22" s="1236">
        <f ca="1">Working!G258</f>
        <v>58.027646914252252</v>
      </c>
      <c r="H22" s="1236">
        <f ca="1">Working!H258</f>
        <v>58.027646914252252</v>
      </c>
      <c r="I22" s="1236">
        <f ca="1">Working!I258</f>
        <v>58.027646914252252</v>
      </c>
      <c r="J22" s="1236">
        <f ca="1">Working!J258</f>
        <v>58.027646914252252</v>
      </c>
      <c r="K22" s="1236">
        <f ca="1">Working!K258</f>
        <v>58.027646914252252</v>
      </c>
      <c r="L22" s="1236">
        <f ca="1">Working!L258</f>
        <v>58.027646914252252</v>
      </c>
      <c r="M22" s="1236">
        <f ca="1">Working!M258</f>
        <v>58.027646914252252</v>
      </c>
      <c r="N22" s="1236">
        <f ca="1">Working!N258</f>
        <v>58.027646914252252</v>
      </c>
      <c r="O22" s="1236">
        <f ca="1">Working!O258</f>
        <v>58.027646914252252</v>
      </c>
      <c r="P22" s="1236">
        <f ca="1">Working!P258</f>
        <v>58.027646914252252</v>
      </c>
      <c r="Q22" s="1236">
        <f ca="1">Working!Q258</f>
        <v>58.027646914252252</v>
      </c>
      <c r="R22" s="1236">
        <f ca="1">Working!R258</f>
        <v>58.027646914252252</v>
      </c>
      <c r="S22" s="1236">
        <f ca="1">Working!S258</f>
        <v>58.027646914252252</v>
      </c>
      <c r="T22" s="1236">
        <f ca="1">Working!T258</f>
        <v>58.027646914252252</v>
      </c>
      <c r="U22" s="1236">
        <f ca="1">Working!U258</f>
        <v>24.851240648502035</v>
      </c>
      <c r="V22" s="1236">
        <f ca="1">Working!V258</f>
        <v>24.851240648502035</v>
      </c>
      <c r="W22" s="1236">
        <f ca="1">Working!W258</f>
        <v>24.851240648502035</v>
      </c>
      <c r="X22" s="1236">
        <f ca="1">Working!X258</f>
        <v>24.851240648502035</v>
      </c>
      <c r="Y22" s="1236">
        <f ca="1">Working!Y258</f>
        <v>24.851240648502035</v>
      </c>
      <c r="Z22" s="1236">
        <f ca="1">Working!Z258</f>
        <v>24.851240648502035</v>
      </c>
      <c r="AA22" s="1236">
        <f ca="1">Working!AA258</f>
        <v>24.851240648502035</v>
      </c>
      <c r="AB22" s="1236">
        <f ca="1">Working!AB258</f>
        <v>24.851240648502035</v>
      </c>
      <c r="AC22" s="1236">
        <f ca="1">Working!AC258</f>
        <v>24.851240648502035</v>
      </c>
      <c r="AD22" s="1236">
        <f ca="1">Working!AD258</f>
        <v>24.851240648502035</v>
      </c>
      <c r="AE22" s="1236">
        <f ca="1">Working!AE258</f>
        <v>12.425620324251017</v>
      </c>
    </row>
    <row r="23" spans="2:31" x14ac:dyDescent="0.35">
      <c r="B23" s="759" t="str">
        <f>Working!B259</f>
        <v>Interest on Term Loan</v>
      </c>
      <c r="C23" s="759" t="str">
        <f>Working!C259</f>
        <v>Rs Cr</v>
      </c>
      <c r="D23" s="759"/>
      <c r="E23" s="759">
        <f ca="1">Working!E259</f>
        <v>0</v>
      </c>
      <c r="F23" s="1236">
        <f ca="1">Working!F259</f>
        <v>18.672217381508435</v>
      </c>
      <c r="G23" s="1236">
        <f ca="1">Working!G259</f>
        <v>48.708431671063991</v>
      </c>
      <c r="H23" s="1236">
        <f ca="1">Working!H259</f>
        <v>45.229257980273701</v>
      </c>
      <c r="I23" s="1236">
        <f ca="1">Working!I259</f>
        <v>41.750084289483418</v>
      </c>
      <c r="J23" s="1236">
        <f ca="1">Working!J259</f>
        <v>38.270910598693128</v>
      </c>
      <c r="K23" s="1236">
        <f ca="1">Working!K259</f>
        <v>34.791736907902845</v>
      </c>
      <c r="L23" s="1236">
        <f ca="1">Working!L259</f>
        <v>31.312563217112558</v>
      </c>
      <c r="M23" s="1236">
        <f ca="1">Working!M259</f>
        <v>27.833389526322271</v>
      </c>
      <c r="N23" s="1236">
        <f ca="1">Working!N259</f>
        <v>24.354215835531988</v>
      </c>
      <c r="O23" s="1236">
        <f ca="1">Working!O259</f>
        <v>20.875042144741702</v>
      </c>
      <c r="P23" s="1236">
        <f ca="1">Working!P259</f>
        <v>17.395868453951422</v>
      </c>
      <c r="Q23" s="1236">
        <f ca="1">Working!Q259</f>
        <v>13.916694763161136</v>
      </c>
      <c r="R23" s="1236">
        <f ca="1">Working!R259</f>
        <v>10.437521072370851</v>
      </c>
      <c r="S23" s="1236">
        <f ca="1">Working!S259</f>
        <v>6.9583473815805652</v>
      </c>
      <c r="T23" s="1236">
        <f ca="1">Working!T259</f>
        <v>3.4791736907902795</v>
      </c>
      <c r="U23" s="1236">
        <f ca="1">Working!U259</f>
        <v>0.86979342269756865</v>
      </c>
      <c r="V23" s="1236">
        <f ca="1">Working!V259</f>
        <v>0</v>
      </c>
      <c r="W23" s="1236">
        <f ca="1">Working!W259</f>
        <v>0</v>
      </c>
      <c r="X23" s="1236">
        <f ca="1">Working!X259</f>
        <v>0</v>
      </c>
      <c r="Y23" s="1236">
        <f ca="1">Working!Y259</f>
        <v>0</v>
      </c>
      <c r="Z23" s="1236">
        <f ca="1">Working!Z259</f>
        <v>0</v>
      </c>
      <c r="AA23" s="1236">
        <f ca="1">Working!AA259</f>
        <v>0</v>
      </c>
      <c r="AB23" s="1236">
        <f ca="1">Working!AB259</f>
        <v>0</v>
      </c>
      <c r="AC23" s="1236">
        <f ca="1">Working!AC259</f>
        <v>0</v>
      </c>
      <c r="AD23" s="1236">
        <f ca="1">Working!AD259</f>
        <v>0</v>
      </c>
      <c r="AE23" s="1236">
        <f ca="1">Working!AE259</f>
        <v>0</v>
      </c>
    </row>
    <row r="24" spans="2:31" x14ac:dyDescent="0.35">
      <c r="B24" s="759" t="str">
        <f>Working!B260</f>
        <v>Interest on WC</v>
      </c>
      <c r="C24" s="759" t="str">
        <f>Working!C260</f>
        <v>Rs Cr</v>
      </c>
      <c r="D24" s="759"/>
      <c r="E24" s="759">
        <f>Working!E260</f>
        <v>0</v>
      </c>
      <c r="F24" s="1236">
        <f ca="1">Working!F260</f>
        <v>1.1043699723928568</v>
      </c>
      <c r="G24" s="1236">
        <f ca="1">Working!G260</f>
        <v>2.1981087959838259</v>
      </c>
      <c r="H24" s="1236">
        <f ca="1">Working!H260</f>
        <v>2.1885165200971599</v>
      </c>
      <c r="I24" s="1236">
        <f ca="1">Working!I260</f>
        <v>2.1799461023477655</v>
      </c>
      <c r="J24" s="1236">
        <f ca="1">Working!J260</f>
        <v>2.1724307287484645</v>
      </c>
      <c r="K24" s="1236">
        <f ca="1">Working!K260</f>
        <v>2.1660055308165065</v>
      </c>
      <c r="L24" s="1236">
        <f ca="1">Working!L260</f>
        <v>2.1607076831916685</v>
      </c>
      <c r="M24" s="1236">
        <f ca="1">Working!M260</f>
        <v>2.1565765063611546</v>
      </c>
      <c r="N24" s="1236">
        <f ca="1">Working!N260</f>
        <v>2.1536535747568122</v>
      </c>
      <c r="O24" s="1236">
        <f ca="1">Working!O260</f>
        <v>2.1519828305040556</v>
      </c>
      <c r="P24" s="1236">
        <f ca="1">Working!P260</f>
        <v>2.1516107031164693</v>
      </c>
      <c r="Q24" s="1236">
        <f ca="1">Working!Q260</f>
        <v>2.1525862354454222</v>
      </c>
      <c r="R24" s="1236">
        <f ca="1">Working!R260</f>
        <v>2.1549612162101743</v>
      </c>
      <c r="S24" s="1236">
        <f ca="1">Working!S260</f>
        <v>2.1587903194509761</v>
      </c>
      <c r="T24" s="1236">
        <f ca="1">Working!T260</f>
        <v>2.1641312512655166</v>
      </c>
      <c r="U24" s="1236">
        <f ca="1">Working!U260</f>
        <v>2.1710449042079523</v>
      </c>
      <c r="V24" s="1236">
        <f ca="1">Working!V260</f>
        <v>2.1795955197494989</v>
      </c>
      <c r="W24" s="1236">
        <f ca="1">Working!W260</f>
        <v>2.1898508592204764</v>
      </c>
      <c r="X24" s="1236">
        <f ca="1">Working!X260</f>
        <v>2.2018823836755801</v>
      </c>
      <c r="Y24" s="1236">
        <f ca="1">Working!Y260</f>
        <v>2.2157654431472769</v>
      </c>
      <c r="Z24" s="1236">
        <f ca="1">Working!Z260</f>
        <v>2.2315794757764875</v>
      </c>
      <c r="AA24" s="1236">
        <f ca="1">Working!AA260</f>
        <v>2.2494082173352976</v>
      </c>
      <c r="AB24" s="1236">
        <f ca="1">Working!AB260</f>
        <v>2.269339921683327</v>
      </c>
      <c r="AC24" s="1236">
        <f ca="1">Working!AC260</f>
        <v>2.2914675927277082</v>
      </c>
      <c r="AD24" s="1236">
        <f ca="1">Working!AD260</f>
        <v>2.3158892284863919</v>
      </c>
      <c r="AE24" s="1236">
        <f ca="1">Working!AE260</f>
        <v>1.2962072889046494</v>
      </c>
    </row>
    <row r="25" spans="2:31" x14ac:dyDescent="0.35">
      <c r="B25" s="976" t="s">
        <v>573</v>
      </c>
      <c r="C25" s="977" t="str">
        <f>Working!C261</f>
        <v>Rs Cr</v>
      </c>
      <c r="D25" s="977"/>
      <c r="E25" s="977"/>
      <c r="F25" s="1186">
        <f ca="1">SUM(F20:F24)</f>
        <v>55.471266995671527</v>
      </c>
      <c r="G25" s="1186">
        <f t="shared" ref="G25:AE25" ca="1" si="7">SUM(G20:G24)</f>
        <v>123.16855608282857</v>
      </c>
      <c r="H25" s="1186">
        <f t="shared" ca="1" si="7"/>
        <v>120.39051064716548</v>
      </c>
      <c r="I25" s="1186">
        <f t="shared" ca="1" si="7"/>
        <v>117.64942068728462</v>
      </c>
      <c r="J25" s="1186">
        <f t="shared" ca="1" si="7"/>
        <v>114.94715390789936</v>
      </c>
      <c r="K25" s="1186">
        <f t="shared" ca="1" si="7"/>
        <v>112.28567431120159</v>
      </c>
      <c r="L25" s="1186">
        <f t="shared" ca="1" si="7"/>
        <v>109.66704717405672</v>
      </c>
      <c r="M25" s="1186">
        <f t="shared" ca="1" si="7"/>
        <v>107.09344428369715</v>
      </c>
      <c r="N25" s="1186">
        <f t="shared" ca="1" si="7"/>
        <v>104.56714944537796</v>
      </c>
      <c r="O25" s="1186">
        <f t="shared" ca="1" si="7"/>
        <v>102.09056427616065</v>
      </c>
      <c r="P25" s="1186">
        <f t="shared" ca="1" si="7"/>
        <v>99.666214299731593</v>
      </c>
      <c r="Q25" s="1186">
        <f t="shared" ca="1" si="7"/>
        <v>97.296755357938508</v>
      </c>
      <c r="R25" s="1186">
        <f t="shared" ca="1" si="7"/>
        <v>94.984980355548615</v>
      </c>
      <c r="S25" s="1186">
        <f t="shared" ca="1" si="7"/>
        <v>92.733826355592825</v>
      </c>
      <c r="T25" s="1186">
        <f t="shared" ca="1" si="7"/>
        <v>90.546382043567718</v>
      </c>
      <c r="U25" s="1186">
        <f t="shared" ca="1" si="7"/>
        <v>56.119282736668318</v>
      </c>
      <c r="V25" s="1186">
        <f t="shared" ca="1" si="7"/>
        <v>56.678550284690132</v>
      </c>
      <c r="W25" s="1186">
        <f t="shared" ca="1" si="7"/>
        <v>58.18157732033152</v>
      </c>
      <c r="X25" s="1186">
        <f t="shared" ca="1" si="7"/>
        <v>59.762348309786645</v>
      </c>
      <c r="Y25" s="1186">
        <f t="shared" ca="1" si="7"/>
        <v>61.424836327456752</v>
      </c>
      <c r="Z25" s="1186">
        <f t="shared" ca="1" si="7"/>
        <v>63.173219751383165</v>
      </c>
      <c r="AA25" s="1186">
        <f t="shared" ca="1" si="7"/>
        <v>65.011892907839979</v>
      </c>
      <c r="AB25" s="1186">
        <f t="shared" ca="1" si="7"/>
        <v>66.945477269847842</v>
      </c>
      <c r="AC25" s="1186">
        <f t="shared" ca="1" si="7"/>
        <v>68.978833238502858</v>
      </c>
      <c r="AD25" s="1186">
        <f t="shared" ca="1" si="7"/>
        <v>71.117072537523839</v>
      </c>
      <c r="AE25" s="1186">
        <f t="shared" ca="1" si="7"/>
        <v>36.752563190244636</v>
      </c>
    </row>
    <row r="26" spans="2:31" x14ac:dyDescent="0.35">
      <c r="B26" s="759" t="str">
        <f>Working!B263</f>
        <v>ROE</v>
      </c>
      <c r="C26" s="759" t="str">
        <f>Working!C263</f>
        <v>Rs Cr</v>
      </c>
      <c r="D26" s="759"/>
      <c r="E26" s="759">
        <f ca="1">Working!E263</f>
        <v>0</v>
      </c>
      <c r="F26" s="1236">
        <f ca="1">Working!F263</f>
        <v>31.412738786297005</v>
      </c>
      <c r="G26" s="1236">
        <f ca="1">Working!G263</f>
        <v>62.998075038452782</v>
      </c>
      <c r="H26" s="1236">
        <f ca="1">Working!H263</f>
        <v>62.998075038452782</v>
      </c>
      <c r="I26" s="1236">
        <f ca="1">Working!I263</f>
        <v>62.998075038452782</v>
      </c>
      <c r="J26" s="1236">
        <f ca="1">Working!J263</f>
        <v>62.998075038452782</v>
      </c>
      <c r="K26" s="1236">
        <f ca="1">Working!K263</f>
        <v>62.998075038452782</v>
      </c>
      <c r="L26" s="1236">
        <f ca="1">Working!L263</f>
        <v>62.998075038452782</v>
      </c>
      <c r="M26" s="1236">
        <f ca="1">Working!M263</f>
        <v>62.998075038452782</v>
      </c>
      <c r="N26" s="1236">
        <f ca="1">Working!N263</f>
        <v>62.998075038452782</v>
      </c>
      <c r="O26" s="1236">
        <f ca="1">Working!O263</f>
        <v>62.998075038452782</v>
      </c>
      <c r="P26" s="1236">
        <f ca="1">Working!P263</f>
        <v>62.998075038452782</v>
      </c>
      <c r="Q26" s="1236">
        <f ca="1">Working!Q263</f>
        <v>62.998075038452782</v>
      </c>
      <c r="R26" s="1236">
        <f ca="1">Working!R263</f>
        <v>62.998075038452782</v>
      </c>
      <c r="S26" s="1236">
        <f ca="1">Working!S263</f>
        <v>62.998075038452782</v>
      </c>
      <c r="T26" s="1236">
        <f ca="1">Working!T263</f>
        <v>62.998075038452782</v>
      </c>
      <c r="U26" s="1236">
        <f ca="1">Working!U263</f>
        <v>62.998075038452782</v>
      </c>
      <c r="V26" s="1236">
        <f ca="1">Working!V263</f>
        <v>62.998075038452782</v>
      </c>
      <c r="W26" s="1236">
        <f ca="1">Working!W263</f>
        <v>62.998075038452782</v>
      </c>
      <c r="X26" s="1236">
        <f ca="1">Working!X263</f>
        <v>62.998075038452782</v>
      </c>
      <c r="Y26" s="1236">
        <f ca="1">Working!Y263</f>
        <v>62.998075038452782</v>
      </c>
      <c r="Z26" s="1236">
        <f ca="1">Working!Z263</f>
        <v>66.907186361351648</v>
      </c>
      <c r="AA26" s="1236">
        <f ca="1">Working!AA263</f>
        <v>66.907186361351648</v>
      </c>
      <c r="AB26" s="1236">
        <f ca="1">Working!AB263</f>
        <v>66.907186361351648</v>
      </c>
      <c r="AC26" s="1236">
        <f ca="1">Working!AC263</f>
        <v>66.907186361351648</v>
      </c>
      <c r="AD26" s="1236">
        <f ca="1">Working!AD263</f>
        <v>66.907186361351648</v>
      </c>
      <c r="AE26" s="1236">
        <f ca="1">Working!AE263</f>
        <v>33.453593180675824</v>
      </c>
    </row>
    <row r="27" spans="2:31" x14ac:dyDescent="0.35">
      <c r="B27" s="976" t="s">
        <v>1153</v>
      </c>
      <c r="C27" s="976" t="str">
        <f>Working!C265</f>
        <v>Rs Cr</v>
      </c>
      <c r="D27" s="977"/>
      <c r="E27" s="977">
        <f ca="1">Working!E265</f>
        <v>0</v>
      </c>
      <c r="F27" s="1186">
        <f ca="1">F25+F26</f>
        <v>86.88400578196854</v>
      </c>
      <c r="G27" s="1186">
        <f t="shared" ref="G27:AE27" ca="1" si="8">G25+G26</f>
        <v>186.16663112128134</v>
      </c>
      <c r="H27" s="1186">
        <f t="shared" ca="1" si="8"/>
        <v>183.38858568561827</v>
      </c>
      <c r="I27" s="1186">
        <f t="shared" ca="1" si="8"/>
        <v>180.6474957257374</v>
      </c>
      <c r="J27" s="1186">
        <f t="shared" ca="1" si="8"/>
        <v>177.94522894635213</v>
      </c>
      <c r="K27" s="1186">
        <f t="shared" ca="1" si="8"/>
        <v>175.28374934965439</v>
      </c>
      <c r="L27" s="1186">
        <f t="shared" ca="1" si="8"/>
        <v>172.66512221250952</v>
      </c>
      <c r="M27" s="1186">
        <f t="shared" ca="1" si="8"/>
        <v>170.09151932214994</v>
      </c>
      <c r="N27" s="1186">
        <f t="shared" ca="1" si="8"/>
        <v>167.56522448383075</v>
      </c>
      <c r="O27" s="1186">
        <f t="shared" ca="1" si="8"/>
        <v>165.08863931461343</v>
      </c>
      <c r="P27" s="1186">
        <f t="shared" ca="1" si="8"/>
        <v>162.66428933818437</v>
      </c>
      <c r="Q27" s="1186">
        <f t="shared" ca="1" si="8"/>
        <v>160.29483039639129</v>
      </c>
      <c r="R27" s="1186">
        <f t="shared" ca="1" si="8"/>
        <v>157.98305539400138</v>
      </c>
      <c r="S27" s="1186">
        <f t="shared" ca="1" si="8"/>
        <v>155.73190139404562</v>
      </c>
      <c r="T27" s="1186">
        <f t="shared" ca="1" si="8"/>
        <v>153.5444570820205</v>
      </c>
      <c r="U27" s="1186">
        <f t="shared" ca="1" si="8"/>
        <v>119.11735777512109</v>
      </c>
      <c r="V27" s="1186">
        <f t="shared" ca="1" si="8"/>
        <v>119.67662532314291</v>
      </c>
      <c r="W27" s="1186">
        <f t="shared" ca="1" si="8"/>
        <v>121.1796523587843</v>
      </c>
      <c r="X27" s="1186">
        <f t="shared" ca="1" si="8"/>
        <v>122.76042334823943</v>
      </c>
      <c r="Y27" s="1186">
        <f t="shared" ca="1" si="8"/>
        <v>124.42291136590953</v>
      </c>
      <c r="Z27" s="1186">
        <f t="shared" ca="1" si="8"/>
        <v>130.08040611273481</v>
      </c>
      <c r="AA27" s="1186">
        <f t="shared" ca="1" si="8"/>
        <v>131.91907926919163</v>
      </c>
      <c r="AB27" s="1186">
        <f t="shared" ca="1" si="8"/>
        <v>133.8526636311995</v>
      </c>
      <c r="AC27" s="1186">
        <f t="shared" ca="1" si="8"/>
        <v>135.88601959985451</v>
      </c>
      <c r="AD27" s="1186">
        <f t="shared" ca="1" si="8"/>
        <v>138.02425889887547</v>
      </c>
      <c r="AE27" s="1186">
        <f t="shared" ca="1" si="8"/>
        <v>70.206156370920468</v>
      </c>
    </row>
    <row r="29" spans="2:31" x14ac:dyDescent="0.35">
      <c r="B29" s="1280" t="s">
        <v>1081</v>
      </c>
      <c r="C29" s="1280"/>
    </row>
    <row r="30" spans="2:31" x14ac:dyDescent="0.35">
      <c r="B30" s="979" t="str">
        <f>Working!B267</f>
        <v>Generation O&amp;M</v>
      </c>
      <c r="C30" s="979" t="str">
        <f>Working!C267</f>
        <v>Rs/kWh</v>
      </c>
      <c r="D30" s="979"/>
      <c r="E30" s="979"/>
      <c r="F30" s="979">
        <f>Working!F267</f>
        <v>0.32595658239286535</v>
      </c>
      <c r="G30" s="979">
        <f>Working!G267</f>
        <v>0.34850960547036075</v>
      </c>
      <c r="H30" s="979">
        <f>Working!H267</f>
        <v>0.37144947823549834</v>
      </c>
      <c r="I30" s="979">
        <f>Working!I267</f>
        <v>0.39589931730922734</v>
      </c>
      <c r="J30" s="979">
        <f>Working!J267</f>
        <v>0.4219585128789487</v>
      </c>
      <c r="K30" s="979">
        <f>Working!K267</f>
        <v>0.44973299727098065</v>
      </c>
      <c r="L30" s="979">
        <f>Working!L267</f>
        <v>0.47933567557236167</v>
      </c>
      <c r="M30" s="979">
        <f>Working!M267</f>
        <v>0.51088688459737785</v>
      </c>
      <c r="N30" s="979">
        <f>Working!N267</f>
        <v>0.54451488206454701</v>
      </c>
      <c r="O30" s="979">
        <f>Working!O267</f>
        <v>0.58035636797259316</v>
      </c>
      <c r="P30" s="979">
        <f>Working!P267</f>
        <v>0.6185570402948396</v>
      </c>
      <c r="Q30" s="979">
        <f>Working!Q267</f>
        <v>0.6592721872509556</v>
      </c>
      <c r="R30" s="979">
        <f>Working!R267</f>
        <v>0.7026673185636767</v>
      </c>
      <c r="S30" s="979">
        <f>Working!S267</f>
        <v>0.74891883826660222</v>
      </c>
      <c r="T30" s="979">
        <f>Working!T267</f>
        <v>0.79821476179807482</v>
      </c>
      <c r="U30" s="979">
        <f>Working!U267</f>
        <v>0.85075548029617576</v>
      </c>
      <c r="V30" s="979">
        <f>Working!V267</f>
        <v>0.90675457520174696</v>
      </c>
      <c r="W30" s="979">
        <f>Working!W267</f>
        <v>0.96643968648084899</v>
      </c>
      <c r="X30" s="979">
        <f>Working!X267</f>
        <v>1.030053437996044</v>
      </c>
      <c r="Y30" s="979">
        <f>Working!Y267</f>
        <v>1.0978544237881889</v>
      </c>
      <c r="Z30" s="979">
        <f>Working!Z267</f>
        <v>1.1701182592780444</v>
      </c>
      <c r="AA30" s="979">
        <f>Working!AA267</f>
        <v>1.2471387016609028</v>
      </c>
      <c r="AB30" s="979">
        <f>Working!AB267</f>
        <v>1.3292288440487088</v>
      </c>
      <c r="AC30" s="979">
        <f>Working!AC267</f>
        <v>1.4167223882139401</v>
      </c>
      <c r="AD30" s="979">
        <f>Working!AD267</f>
        <v>1.5099750011090352</v>
      </c>
      <c r="AE30" s="979">
        <f>Working!AE267</f>
        <v>1.3659227200913375</v>
      </c>
    </row>
    <row r="31" spans="2:31" x14ac:dyDescent="0.35">
      <c r="B31" s="979" t="str">
        <f>Working!B268</f>
        <v>Infrastructure O&amp;M</v>
      </c>
      <c r="C31" s="979" t="str">
        <f>Working!C268</f>
        <v>Rs/kWh</v>
      </c>
      <c r="D31" s="979"/>
      <c r="E31" s="979"/>
      <c r="F31" s="979">
        <f>Working!F268</f>
        <v>6.9476548296847226E-2</v>
      </c>
      <c r="G31" s="979">
        <f>Working!G268</f>
        <v>7.3239090569218873E-2</v>
      </c>
      <c r="H31" s="979">
        <f>Working!H268</f>
        <v>7.6962232186003468E-2</v>
      </c>
      <c r="I31" s="979">
        <f>Working!I268</f>
        <v>8.087464135637043E-2</v>
      </c>
      <c r="J31" s="979">
        <f>Working!J268</f>
        <v>8.498593958025881E-2</v>
      </c>
      <c r="K31" s="979">
        <f>Working!K268</f>
        <v>8.930623747081981E-2</v>
      </c>
      <c r="L31" s="979">
        <f>Working!L268</f>
        <v>9.3846159618703531E-2</v>
      </c>
      <c r="M31" s="979">
        <f>Working!M268</f>
        <v>9.8616870720332817E-2</v>
      </c>
      <c r="N31" s="979">
        <f>Working!N268</f>
        <v>0.10363010303441963</v>
      </c>
      <c r="O31" s="979">
        <f>Working!O268</f>
        <v>0.10889818523424533</v>
      </c>
      <c r="P31" s="979">
        <f>Working!P268</f>
        <v>0.11443407272665961</v>
      </c>
      <c r="Q31" s="979">
        <f>Working!Q268</f>
        <v>0.12025137951235916</v>
      </c>
      <c r="R31" s="979">
        <f>Working!R268</f>
        <v>0.12636441166579757</v>
      </c>
      <c r="S31" s="979">
        <f>Working!S268</f>
        <v>0.13278820251706142</v>
      </c>
      <c r="T31" s="979">
        <f>Working!T268</f>
        <v>0.13953854962223253</v>
      </c>
      <c r="U31" s="979">
        <f>Working!U268</f>
        <v>0.14663205361315515</v>
      </c>
      <c r="V31" s="979">
        <f>Working!V268</f>
        <v>0.15408615902214792</v>
      </c>
      <c r="W31" s="979">
        <f>Working!W268</f>
        <v>0.16191919718205861</v>
      </c>
      <c r="X31" s="979">
        <f>Working!X268</f>
        <v>0.17015043130716179</v>
      </c>
      <c r="Y31" s="979">
        <f>Working!Y268</f>
        <v>0.17880010386576384</v>
      </c>
      <c r="Z31" s="979">
        <f>Working!Z268</f>
        <v>0.18788948636101588</v>
      </c>
      <c r="AA31" s="979">
        <f>Working!AA268</f>
        <v>0.19744093164235557</v>
      </c>
      <c r="AB31" s="979">
        <f>Working!AB268</f>
        <v>0.20747792887622524</v>
      </c>
      <c r="AC31" s="979">
        <f>Working!AC268</f>
        <v>0.21802516131124949</v>
      </c>
      <c r="AD31" s="979">
        <f>Working!AD268</f>
        <v>0.2291085669799327</v>
      </c>
      <c r="AE31" s="979">
        <f>Working!AE268</f>
        <v>0.20059102818104457</v>
      </c>
    </row>
    <row r="32" spans="2:31" x14ac:dyDescent="0.35">
      <c r="B32" s="979" t="str">
        <f>Working!B269</f>
        <v>Depreciation</v>
      </c>
      <c r="C32" s="979" t="str">
        <f>Working!C269</f>
        <v>Rs/kWh</v>
      </c>
      <c r="D32" s="979"/>
      <c r="E32" s="979"/>
      <c r="F32" s="979">
        <f ca="1">Working!F269</f>
        <v>1.6924568509808633</v>
      </c>
      <c r="G32" s="979">
        <f ca="1">Working!G269</f>
        <v>1.7192953852391839</v>
      </c>
      <c r="H32" s="979">
        <f ca="1">Working!H269</f>
        <v>1.7410586179637306</v>
      </c>
      <c r="I32" s="979">
        <f ca="1">Working!I269</f>
        <v>1.7630973346468157</v>
      </c>
      <c r="J32" s="979">
        <f ca="1">Working!J269</f>
        <v>1.785415022427155</v>
      </c>
      <c r="K32" s="979">
        <f ca="1">Working!K269</f>
        <v>1.8080152125844606</v>
      </c>
      <c r="L32" s="979">
        <f ca="1">Working!L269</f>
        <v>1.8309014810981881</v>
      </c>
      <c r="M32" s="979">
        <f ca="1">Working!M269</f>
        <v>1.8540774492133549</v>
      </c>
      <c r="N32" s="979">
        <f ca="1">Working!N269</f>
        <v>1.877546784013524</v>
      </c>
      <c r="O32" s="979">
        <f ca="1">Working!O269</f>
        <v>1.9013131990010368</v>
      </c>
      <c r="P32" s="979">
        <f ca="1">Working!P269</f>
        <v>1.9253804546845941</v>
      </c>
      <c r="Q32" s="979">
        <f ca="1">Working!Q269</f>
        <v>1.9497523591742725</v>
      </c>
      <c r="R32" s="979">
        <f ca="1">Working!R269</f>
        <v>1.9744327687840733</v>
      </c>
      <c r="S32" s="979">
        <f ca="1">Working!S269</f>
        <v>1.9994255886420991</v>
      </c>
      <c r="T32" s="979">
        <f ca="1">Working!T269</f>
        <v>2.0247347733084551</v>
      </c>
      <c r="U32" s="979">
        <f ca="1">Working!U269</f>
        <v>0.87810035434730915</v>
      </c>
      <c r="V32" s="979">
        <f ca="1">Working!V269</f>
        <v>0.88921554870613584</v>
      </c>
      <c r="W32" s="979">
        <f ca="1">Working!W269</f>
        <v>0.90047144172773252</v>
      </c>
      <c r="X32" s="979">
        <f ca="1">Working!X269</f>
        <v>0.91186981440783021</v>
      </c>
      <c r="Y32" s="979">
        <f ca="1">Working!Y269</f>
        <v>0.92341247028641049</v>
      </c>
      <c r="Z32" s="979">
        <f ca="1">Working!Z269</f>
        <v>0.93510123573307369</v>
      </c>
      <c r="AA32" s="979">
        <f ca="1">Working!AA269</f>
        <v>0.94693796023602395</v>
      </c>
      <c r="AB32" s="979">
        <f ca="1">Working!AB269</f>
        <v>0.95892451669470791</v>
      </c>
      <c r="AC32" s="979">
        <f ca="1">Working!AC269</f>
        <v>0.97106280171615955</v>
      </c>
      <c r="AD32" s="979">
        <f ca="1">Working!AD269</f>
        <v>0.98335473591509837</v>
      </c>
      <c r="AE32" s="979">
        <f ca="1">Working!AE269</f>
        <v>0.84517079376811921</v>
      </c>
    </row>
    <row r="33" spans="2:31" x14ac:dyDescent="0.35">
      <c r="B33" s="979" t="str">
        <f>Working!B270</f>
        <v>Interest on Term Loan</v>
      </c>
      <c r="C33" s="979" t="str">
        <f>Working!C270</f>
        <v>Rs/kWh</v>
      </c>
      <c r="D33" s="979"/>
      <c r="E33" s="979"/>
      <c r="F33" s="979">
        <f ca="1">Working!F270</f>
        <v>1.0921945790712584</v>
      </c>
      <c r="G33" s="979">
        <f ca="1">Working!G270</f>
        <v>1.4431772826847113</v>
      </c>
      <c r="H33" s="979">
        <f ca="1">Working!H270</f>
        <v>1.3570563960145565</v>
      </c>
      <c r="I33" s="979">
        <f ca="1">Working!I270</f>
        <v>1.2685239923797218</v>
      </c>
      <c r="J33" s="979">
        <f ca="1">Working!J270</f>
        <v>1.1775328199305433</v>
      </c>
      <c r="K33" s="979">
        <f ca="1">Working!K270</f>
        <v>1.0840348169671283</v>
      </c>
      <c r="L33" s="979">
        <f ca="1">Working!L270</f>
        <v>0.98798109900801567</v>
      </c>
      <c r="M33" s="979">
        <f ca="1">Working!M270</f>
        <v>0.88932194566122347</v>
      </c>
      <c r="N33" s="979">
        <f ca="1">Working!N270</f>
        <v>0.78800678729475504</v>
      </c>
      <c r="O33" s="979">
        <f ca="1">Working!O270</f>
        <v>0.6839841915035848</v>
      </c>
      <c r="P33" s="979">
        <f ca="1">Working!P270</f>
        <v>0.57720184937011376</v>
      </c>
      <c r="Q33" s="979">
        <f ca="1">Working!Q270</f>
        <v>0.46760656151502877</v>
      </c>
      <c r="R33" s="979">
        <f ca="1">Working!R270</f>
        <v>0.35514422393546485</v>
      </c>
      <c r="S33" s="979">
        <f ca="1">Working!S270</f>
        <v>0.23975981362731794</v>
      </c>
      <c r="T33" s="979">
        <f ca="1">Working!T270</f>
        <v>0.12139737398851531</v>
      </c>
      <c r="U33" s="979">
        <f ca="1">Working!U270</f>
        <v>3.073351240215573E-2</v>
      </c>
      <c r="V33" s="979">
        <f ca="1">Working!V270</f>
        <v>0</v>
      </c>
      <c r="W33" s="979">
        <f ca="1">Working!W270</f>
        <v>0</v>
      </c>
      <c r="X33" s="979">
        <f ca="1">Working!X270</f>
        <v>0</v>
      </c>
      <c r="Y33" s="979">
        <f ca="1">Working!Y270</f>
        <v>0</v>
      </c>
      <c r="Z33" s="979">
        <f ca="1">Working!Z270</f>
        <v>0</v>
      </c>
      <c r="AA33" s="979">
        <f ca="1">Working!AA270</f>
        <v>0</v>
      </c>
      <c r="AB33" s="979">
        <f ca="1">Working!AB270</f>
        <v>0</v>
      </c>
      <c r="AC33" s="979">
        <f ca="1">Working!AC270</f>
        <v>0</v>
      </c>
      <c r="AD33" s="979">
        <f ca="1">Working!AD270</f>
        <v>0</v>
      </c>
      <c r="AE33" s="979">
        <f ca="1">Working!AE270</f>
        <v>0</v>
      </c>
    </row>
    <row r="34" spans="2:31" x14ac:dyDescent="0.35">
      <c r="B34" s="979" t="str">
        <f>Working!B271</f>
        <v>Interest on WC</v>
      </c>
      <c r="C34" s="979" t="str">
        <f>Working!C271</f>
        <v>Rs/kWh</v>
      </c>
      <c r="D34" s="979"/>
      <c r="E34" s="979"/>
      <c r="F34" s="979">
        <f ca="1">Working!F271</f>
        <v>6.4597946376260096E-2</v>
      </c>
      <c r="G34" s="979">
        <f ca="1">Working!G271</f>
        <v>6.5127547128926169E-2</v>
      </c>
      <c r="H34" s="979">
        <f ca="1">Working!H271</f>
        <v>6.5664140293362344E-2</v>
      </c>
      <c r="I34" s="979">
        <f ca="1">Working!I271</f>
        <v>6.6234930539274775E-2</v>
      </c>
      <c r="J34" s="979">
        <f ca="1">Working!J271</f>
        <v>6.6842111726871184E-2</v>
      </c>
      <c r="K34" s="979">
        <f ca="1">Working!K271</f>
        <v>6.7488019220308365E-2</v>
      </c>
      <c r="L34" s="979">
        <f ca="1">Working!L271</f>
        <v>6.8175139054349826E-2</v>
      </c>
      <c r="M34" s="979">
        <f ca="1">Working!M271</f>
        <v>6.8906117696898556E-2</v>
      </c>
      <c r="N34" s="979">
        <f ca="1">Working!N271</f>
        <v>6.9683772446246336E-2</v>
      </c>
      <c r="O34" s="979">
        <f ca="1">Working!O271</f>
        <v>7.051110250441725E-2</v>
      </c>
      <c r="P34" s="979">
        <f ca="1">Working!P271</f>
        <v>7.1391300770687283E-2</v>
      </c>
      <c r="Q34" s="979">
        <f ca="1">Working!Q271</f>
        <v>7.2327766402241339E-2</v>
      </c>
      <c r="R34" s="979">
        <f ca="1">Working!R271</f>
        <v>7.33241181919978E-2</v>
      </c>
      <c r="S34" s="979">
        <f ca="1">Working!S271</f>
        <v>7.4384208816900874E-2</v>
      </c>
      <c r="T34" s="979">
        <f ca="1">Working!T271</f>
        <v>7.5512140013463319E-2</v>
      </c>
      <c r="U34" s="979">
        <f ca="1">Working!U271</f>
        <v>7.6712278741054921E-2</v>
      </c>
      <c r="V34" s="979">
        <f ca="1">Working!V271</f>
        <v>7.7989274397385511E-2</v>
      </c>
      <c r="W34" s="979">
        <f ca="1">Working!W271</f>
        <v>7.9348077154845653E-2</v>
      </c>
      <c r="X34" s="979">
        <f ca="1">Working!X271</f>
        <v>8.0793957490856647E-2</v>
      </c>
      <c r="Y34" s="979">
        <f ca="1">Working!Y271</f>
        <v>8.2332526990165425E-2</v>
      </c>
      <c r="Z34" s="979">
        <f ca="1">Working!Z271</f>
        <v>8.3969760502115715E-2</v>
      </c>
      <c r="AA34" s="979">
        <f ca="1">Working!AA271</f>
        <v>8.5712019741357712E-2</v>
      </c>
      <c r="AB34" s="979">
        <f ca="1">Working!AB271</f>
        <v>8.7566078426243935E-2</v>
      </c>
      <c r="AC34" s="979">
        <f ca="1">Working!AC271</f>
        <v>8.9539149055324077E-2</v>
      </c>
      <c r="AD34" s="979">
        <f ca="1">Working!AD271</f>
        <v>9.1638911428920097E-2</v>
      </c>
      <c r="AE34" s="979">
        <f ca="1">Working!AE271</f>
        <v>8.8165943805111321E-2</v>
      </c>
    </row>
    <row r="35" spans="2:31" x14ac:dyDescent="0.35">
      <c r="B35" s="979" t="str">
        <f>Working!B274</f>
        <v>ROE</v>
      </c>
      <c r="C35" s="979" t="str">
        <f>Working!C274</f>
        <v>Rs/kWh</v>
      </c>
      <c r="D35" s="979"/>
      <c r="E35" s="979"/>
      <c r="F35" s="979">
        <f ca="1">Working!F274</f>
        <v>1.8374262850084391</v>
      </c>
      <c r="G35" s="979">
        <f ca="1">Working!G274</f>
        <v>1.8665637063073977</v>
      </c>
      <c r="H35" s="979">
        <f ca="1">Working!H274</f>
        <v>1.8901910949948328</v>
      </c>
      <c r="I35" s="979">
        <f ca="1">Working!I274</f>
        <v>1.9141175645517294</v>
      </c>
      <c r="J35" s="979">
        <f ca="1">Working!J274</f>
        <v>1.9383469008118777</v>
      </c>
      <c r="K35" s="979">
        <f ca="1">Working!K274</f>
        <v>1.9628829375310153</v>
      </c>
      <c r="L35" s="979">
        <f ca="1">Working!L274</f>
        <v>1.9877295569934335</v>
      </c>
      <c r="M35" s="979">
        <f ca="1">Working!M274</f>
        <v>2.0128906906262616</v>
      </c>
      <c r="N35" s="979">
        <f ca="1">Working!N274</f>
        <v>2.0383703196215306</v>
      </c>
      <c r="O35" s="979">
        <f ca="1">Working!O274</f>
        <v>2.0641724755661066</v>
      </c>
      <c r="P35" s="979">
        <f ca="1">Working!P274</f>
        <v>2.0903012410796014</v>
      </c>
      <c r="Q35" s="979">
        <f ca="1">Working!Q274</f>
        <v>2.1167607504603558</v>
      </c>
      <c r="R35" s="979">
        <f ca="1">Working!R274</f>
        <v>2.1435551903396006</v>
      </c>
      <c r="S35" s="979">
        <f ca="1">Working!S274</f>
        <v>2.1706888003438993</v>
      </c>
      <c r="T35" s="979">
        <f ca="1">Working!T274</f>
        <v>2.1981658737659742</v>
      </c>
      <c r="U35" s="979">
        <f ca="1">Working!U274</f>
        <v>2.2259907582440244</v>
      </c>
      <c r="V35" s="979">
        <f ca="1">Working!V274</f>
        <v>2.2541678564496448</v>
      </c>
      <c r="W35" s="979">
        <f ca="1">Working!W274</f>
        <v>2.2827016267844504</v>
      </c>
      <c r="X35" s="979">
        <f ca="1">Working!X274</f>
        <v>2.3115965840855193</v>
      </c>
      <c r="Y35" s="979">
        <f ca="1">Working!Y274</f>
        <v>2.3408573003397666</v>
      </c>
      <c r="Z35" s="979">
        <f ca="1">Working!Z274</f>
        <v>2.5175802500505839</v>
      </c>
      <c r="AA35" s="979">
        <f ca="1">Working!AA274</f>
        <v>2.549448354481604</v>
      </c>
      <c r="AB35" s="979">
        <f ca="1">Working!AB274</f>
        <v>2.5817198526395986</v>
      </c>
      <c r="AC35" s="979">
        <f ca="1">Working!AC274</f>
        <v>2.6143998507742765</v>
      </c>
      <c r="AD35" s="979">
        <f ca="1">Working!AD274</f>
        <v>2.6474935197714196</v>
      </c>
      <c r="AE35" s="979">
        <f ca="1">Working!AE274</f>
        <v>2.275459829375706</v>
      </c>
    </row>
    <row r="36" spans="2:31" x14ac:dyDescent="0.35">
      <c r="B36" s="978" t="s">
        <v>1080</v>
      </c>
      <c r="C36" s="978" t="str">
        <f>Working!C276</f>
        <v>Rs/kWh</v>
      </c>
      <c r="D36" s="978"/>
      <c r="E36" s="978"/>
      <c r="F36" s="978">
        <f ca="1">Working!F276</f>
        <v>5.082108792126534</v>
      </c>
      <c r="G36" s="978">
        <f ca="1">Working!G276</f>
        <v>5.515912617399799</v>
      </c>
      <c r="H36" s="978">
        <f ca="1">Working!H276</f>
        <v>5.5023819596879839</v>
      </c>
      <c r="I36" s="978">
        <f ca="1">Working!I276</f>
        <v>5.4887477807831395</v>
      </c>
      <c r="J36" s="978">
        <f ca="1">Working!J276</f>
        <v>5.475081307355655</v>
      </c>
      <c r="K36" s="978">
        <f ca="1">Working!K276</f>
        <v>5.4614602210447138</v>
      </c>
      <c r="L36" s="978">
        <f ca="1">Working!L276</f>
        <v>5.4479691113450528</v>
      </c>
      <c r="M36" s="978">
        <f ca="1">Working!M276</f>
        <v>5.4346999585154485</v>
      </c>
      <c r="N36" s="978">
        <f ca="1">Working!N276</f>
        <v>5.4217526484750227</v>
      </c>
      <c r="O36" s="978">
        <f ca="1">Working!O276</f>
        <v>5.4092355217819836</v>
      </c>
      <c r="P36" s="978">
        <f ca="1">Working!P276</f>
        <v>5.3972659589264964</v>
      </c>
      <c r="Q36" s="978">
        <f ca="1">Working!Q276</f>
        <v>5.3859710043152127</v>
      </c>
      <c r="R36" s="978">
        <f ca="1">Working!R276</f>
        <v>5.3754880314806108</v>
      </c>
      <c r="S36" s="978">
        <f ca="1">Working!S276</f>
        <v>5.3659654522138815</v>
      </c>
      <c r="T36" s="978">
        <f ca="1">Working!T276</f>
        <v>5.3575634724967145</v>
      </c>
      <c r="U36" s="978">
        <f ca="1">Working!U276</f>
        <v>4.2089244376438746</v>
      </c>
      <c r="V36" s="978">
        <f ca="1">Working!V276</f>
        <v>4.2822134137770611</v>
      </c>
      <c r="W36" s="978">
        <f ca="1">Working!W276</f>
        <v>4.390880029329935</v>
      </c>
      <c r="X36" s="978">
        <f ca="1">Working!X276</f>
        <v>4.5044642252874114</v>
      </c>
      <c r="Y36" s="978">
        <f ca="1">Working!Y276</f>
        <v>4.6232568252702952</v>
      </c>
      <c r="Z36" s="978">
        <f ca="1">Working!Z276</f>
        <v>4.8946589919248327</v>
      </c>
      <c r="AA36" s="978">
        <f ca="1">Working!AA276</f>
        <v>5.026677967762244</v>
      </c>
      <c r="AB36" s="978">
        <f ca="1">Working!AB276</f>
        <v>5.164917220685485</v>
      </c>
      <c r="AC36" s="978">
        <f ca="1">Working!AC276</f>
        <v>5.3097493510709501</v>
      </c>
      <c r="AD36" s="978">
        <f ca="1">Working!AD276</f>
        <v>5.4615707352044049</v>
      </c>
      <c r="AE36" s="978">
        <f ca="1">Working!AE276</f>
        <v>4.7753103152213185</v>
      </c>
    </row>
    <row r="37" spans="2:31" x14ac:dyDescent="0.35">
      <c r="B37" t="s">
        <v>29</v>
      </c>
      <c r="F37" s="965">
        <f>Working!F254</f>
        <v>1</v>
      </c>
      <c r="G37" s="965">
        <f>Working!G254</f>
        <v>0.93044028434255099</v>
      </c>
      <c r="H37" s="965">
        <f>Working!H254</f>
        <v>0.86571912272744711</v>
      </c>
      <c r="I37" s="965">
        <f>Working!I254</f>
        <v>0.80549994671130964</v>
      </c>
      <c r="J37" s="965">
        <f>Working!J254</f>
        <v>0.74946959945598057</v>
      </c>
      <c r="K37" s="965">
        <f>Working!K254</f>
        <v>0.69733670722392038</v>
      </c>
      <c r="L37" s="965">
        <f>Working!L254</f>
        <v>0.64883016415192263</v>
      </c>
      <c r="M37" s="965">
        <f>Working!M254</f>
        <v>0.60369772242353892</v>
      </c>
      <c r="N37" s="965">
        <f>Working!N254</f>
        <v>0.56170468050870792</v>
      </c>
      <c r="O37" s="965">
        <f>Working!O254</f>
        <v>0.52263266264906394</v>
      </c>
      <c r="P37" s="965">
        <f>Working!P254</f>
        <v>0.48627848324189954</v>
      </c>
      <c r="Q37" s="965">
        <f>Working!Q254</f>
        <v>0.45245309021725738</v>
      </c>
      <c r="R37" s="965">
        <f>Working!R254</f>
        <v>0.42098058191341081</v>
      </c>
      <c r="S37" s="965">
        <f>Working!S254</f>
        <v>0.39169729233820649</v>
      </c>
      <c r="T37" s="965">
        <f>Working!T254</f>
        <v>0.36445094005936818</v>
      </c>
      <c r="U37" s="965">
        <f>Working!U254</f>
        <v>0.33909983629774854</v>
      </c>
      <c r="V37" s="965">
        <f>Working!V254</f>
        <v>0.31551214810538963</v>
      </c>
      <c r="W37" s="965">
        <f>Working!W254</f>
        <v>0.29356521279670778</v>
      </c>
      <c r="X37" s="965">
        <f>Working!X254</f>
        <v>0.27314490006765024</v>
      </c>
      <c r="Y37" s="965">
        <f>Working!Y254</f>
        <v>0.25414501848566218</v>
      </c>
      <c r="Z37" s="965">
        <f>Working!Z254</f>
        <v>0.2364667632640424</v>
      </c>
      <c r="AA37" s="965">
        <f>Working!AA254</f>
        <v>0.22001820244895828</v>
      </c>
      <c r="AB37" s="965">
        <f>Working!AB254</f>
        <v>0.20471379884714569</v>
      </c>
      <c r="AC37" s="965">
        <f>Working!AC254</f>
        <v>0.19047396520818202</v>
      </c>
      <c r="AD37" s="965">
        <f>Working!AD254</f>
        <v>0.17722465034815404</v>
      </c>
      <c r="AE37" s="965">
        <f>Working!AE254</f>
        <v>0.16489695406244562</v>
      </c>
    </row>
    <row r="39" spans="2:31" ht="15.5" x14ac:dyDescent="0.35">
      <c r="B39" s="980" t="str">
        <f>Working!B277</f>
        <v>Levelized Tariff</v>
      </c>
      <c r="C39" s="980" t="str">
        <f>Working!C277</f>
        <v>Rs/kWh</v>
      </c>
      <c r="D39" s="1016">
        <f ca="1">Working!D277</f>
        <v>5.2535517329743424</v>
      </c>
      <c r="E39" s="978"/>
      <c r="F39" s="978"/>
      <c r="G39" s="978"/>
      <c r="H39" s="978"/>
      <c r="I39" s="978"/>
      <c r="J39" s="978"/>
      <c r="K39" s="978"/>
      <c r="L39" s="978"/>
      <c r="M39" s="978"/>
      <c r="N39" s="978"/>
      <c r="O39" s="978"/>
      <c r="P39" s="978"/>
      <c r="Q39" s="978"/>
      <c r="R39" s="978"/>
      <c r="S39" s="978"/>
      <c r="T39" s="978"/>
      <c r="U39" s="978"/>
      <c r="V39" s="978"/>
      <c r="W39" s="978"/>
      <c r="X39" s="978"/>
      <c r="Y39" s="978"/>
      <c r="Z39" s="978"/>
      <c r="AA39" s="978"/>
      <c r="AB39" s="978"/>
      <c r="AC39" s="978"/>
      <c r="AD39" s="978"/>
      <c r="AE39" s="978"/>
    </row>
    <row r="40" spans="2:31" x14ac:dyDescent="0.35">
      <c r="B40" s="978"/>
      <c r="C40" s="978"/>
    </row>
    <row r="41" spans="2:31" x14ac:dyDescent="0.35">
      <c r="B41" s="978"/>
      <c r="C41" s="978"/>
    </row>
    <row r="42" spans="2:31" x14ac:dyDescent="0.35">
      <c r="B42" s="978"/>
      <c r="C42" s="978"/>
    </row>
  </sheetData>
  <mergeCells count="3">
    <mergeCell ref="B12:C12"/>
    <mergeCell ref="B19:C19"/>
    <mergeCell ref="B29:C29"/>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19C3B-8CFE-47FC-B0AD-453B0322AD25}">
  <sheetPr>
    <tabColor rgb="FFFFC000"/>
  </sheetPr>
  <dimension ref="A1:BQ110"/>
  <sheetViews>
    <sheetView showGridLines="0" zoomScale="90" zoomScaleNormal="90" workbookViewId="0">
      <pane xSplit="4" ySplit="2" topLeftCell="E30" activePane="bottomRight" state="frozen"/>
      <selection activeCell="G81" sqref="G81"/>
      <selection pane="topRight" activeCell="G81" sqref="G81"/>
      <selection pane="bottomLeft" activeCell="G81" sqref="G81"/>
      <selection pane="bottomRight" activeCell="E39" sqref="E39"/>
    </sheetView>
  </sheetViews>
  <sheetFormatPr defaultRowHeight="12" x14ac:dyDescent="0.3"/>
  <cols>
    <col min="1" max="1" width="6.36328125" style="80" customWidth="1"/>
    <col min="2" max="2" width="42.26953125" style="8" bestFit="1" customWidth="1"/>
    <col min="3" max="3" width="8.7265625" style="202"/>
    <col min="4" max="4" width="11.7265625" style="80" bestFit="1" customWidth="1"/>
    <col min="5" max="5" width="9.54296875" style="80" bestFit="1" customWidth="1"/>
    <col min="6" max="6" width="10.6328125" style="80" bestFit="1" customWidth="1"/>
    <col min="7" max="7" width="10.7265625" style="80" bestFit="1" customWidth="1"/>
    <col min="8" max="32" width="11.7265625" style="80" bestFit="1" customWidth="1"/>
    <col min="33" max="35" width="9.1796875" style="80" bestFit="1" customWidth="1"/>
    <col min="36" max="16384" width="8.7265625" style="80"/>
  </cols>
  <sheetData>
    <row r="1" spans="1:69" x14ac:dyDescent="0.3">
      <c r="A1" s="165"/>
      <c r="B1" s="166" t="s">
        <v>15</v>
      </c>
      <c r="C1" s="167" t="s">
        <v>14</v>
      </c>
      <c r="D1" s="168" t="s">
        <v>13</v>
      </c>
      <c r="E1" s="791">
        <f t="shared" ref="E1:AK1" si="0">D2+DAY(1)</f>
        <v>45748</v>
      </c>
      <c r="F1" s="791">
        <f t="shared" si="0"/>
        <v>45839</v>
      </c>
      <c r="G1" s="791">
        <f t="shared" si="0"/>
        <v>45931</v>
      </c>
      <c r="H1" s="791">
        <f t="shared" si="0"/>
        <v>46023</v>
      </c>
      <c r="I1" s="791">
        <f t="shared" si="0"/>
        <v>46113</v>
      </c>
      <c r="J1" s="791">
        <f t="shared" si="0"/>
        <v>46204</v>
      </c>
      <c r="K1" s="791">
        <f t="shared" si="0"/>
        <v>46296</v>
      </c>
      <c r="L1" s="791">
        <f t="shared" si="0"/>
        <v>46388</v>
      </c>
      <c r="M1" s="791">
        <f t="shared" si="0"/>
        <v>46478</v>
      </c>
      <c r="N1" s="791">
        <f t="shared" si="0"/>
        <v>46569</v>
      </c>
      <c r="O1" s="791">
        <f t="shared" si="0"/>
        <v>46661</v>
      </c>
      <c r="P1" s="791">
        <f t="shared" si="0"/>
        <v>46753</v>
      </c>
      <c r="Q1" s="791">
        <f t="shared" si="0"/>
        <v>46844</v>
      </c>
      <c r="R1" s="791">
        <f t="shared" si="0"/>
        <v>46935</v>
      </c>
      <c r="S1" s="791">
        <f t="shared" si="0"/>
        <v>47027</v>
      </c>
      <c r="T1" s="791">
        <f t="shared" si="0"/>
        <v>47119</v>
      </c>
      <c r="U1" s="791">
        <f t="shared" si="0"/>
        <v>47209</v>
      </c>
      <c r="V1" s="791">
        <f t="shared" si="0"/>
        <v>47300</v>
      </c>
      <c r="W1" s="791">
        <f t="shared" si="0"/>
        <v>47392</v>
      </c>
      <c r="X1" s="791">
        <f t="shared" si="0"/>
        <v>47484</v>
      </c>
      <c r="Y1" s="791">
        <f t="shared" si="0"/>
        <v>47574</v>
      </c>
      <c r="Z1" s="791">
        <f t="shared" si="0"/>
        <v>47665</v>
      </c>
      <c r="AA1" s="791">
        <f t="shared" si="0"/>
        <v>47757</v>
      </c>
      <c r="AB1" s="791">
        <f t="shared" si="0"/>
        <v>47849</v>
      </c>
      <c r="AC1" s="791">
        <f t="shared" si="0"/>
        <v>47939</v>
      </c>
      <c r="AD1" s="791">
        <f t="shared" si="0"/>
        <v>48030</v>
      </c>
      <c r="AE1" s="791">
        <f t="shared" si="0"/>
        <v>48122</v>
      </c>
      <c r="AF1" s="791">
        <f t="shared" si="0"/>
        <v>48214</v>
      </c>
      <c r="AG1" s="791">
        <f t="shared" si="0"/>
        <v>48305</v>
      </c>
      <c r="AH1" s="791">
        <f t="shared" si="0"/>
        <v>48396</v>
      </c>
      <c r="AI1" s="791">
        <f t="shared" si="0"/>
        <v>48488</v>
      </c>
      <c r="AJ1" s="791">
        <f t="shared" si="0"/>
        <v>48580</v>
      </c>
      <c r="AK1" s="791">
        <f t="shared" si="0"/>
        <v>48670</v>
      </c>
    </row>
    <row r="2" spans="1:69" x14ac:dyDescent="0.3">
      <c r="A2" s="166"/>
      <c r="B2" s="166"/>
      <c r="C2" s="167"/>
      <c r="D2" s="171">
        <f>Input!D238</f>
        <v>45747</v>
      </c>
      <c r="E2" s="904">
        <f>EOMONTH(D2,3)</f>
        <v>45838</v>
      </c>
      <c r="F2" s="904">
        <f t="shared" ref="F2:AJ2" si="1">EOMONTH(E2,3)</f>
        <v>45930</v>
      </c>
      <c r="G2" s="904">
        <f t="shared" si="1"/>
        <v>46022</v>
      </c>
      <c r="H2" s="904">
        <f t="shared" si="1"/>
        <v>46112</v>
      </c>
      <c r="I2" s="904">
        <f t="shared" si="1"/>
        <v>46203</v>
      </c>
      <c r="J2" s="904">
        <f t="shared" si="1"/>
        <v>46295</v>
      </c>
      <c r="K2" s="172">
        <f t="shared" si="1"/>
        <v>46387</v>
      </c>
      <c r="L2" s="172">
        <f t="shared" si="1"/>
        <v>46477</v>
      </c>
      <c r="M2" s="172">
        <f t="shared" si="1"/>
        <v>46568</v>
      </c>
      <c r="N2" s="172">
        <f t="shared" si="1"/>
        <v>46660</v>
      </c>
      <c r="O2" s="172">
        <f t="shared" si="1"/>
        <v>46752</v>
      </c>
      <c r="P2" s="172">
        <f t="shared" si="1"/>
        <v>46843</v>
      </c>
      <c r="Q2" s="172">
        <f t="shared" si="1"/>
        <v>46934</v>
      </c>
      <c r="R2" s="172">
        <f t="shared" si="1"/>
        <v>47026</v>
      </c>
      <c r="S2" s="172">
        <f t="shared" si="1"/>
        <v>47118</v>
      </c>
      <c r="T2" s="172">
        <f t="shared" si="1"/>
        <v>47208</v>
      </c>
      <c r="U2" s="172">
        <f t="shared" si="1"/>
        <v>47299</v>
      </c>
      <c r="V2" s="172">
        <f t="shared" si="1"/>
        <v>47391</v>
      </c>
      <c r="W2" s="172">
        <f t="shared" si="1"/>
        <v>47483</v>
      </c>
      <c r="X2" s="172">
        <f t="shared" si="1"/>
        <v>47573</v>
      </c>
      <c r="Y2" s="172">
        <f t="shared" si="1"/>
        <v>47664</v>
      </c>
      <c r="Z2" s="172">
        <f t="shared" si="1"/>
        <v>47756</v>
      </c>
      <c r="AA2" s="172">
        <f t="shared" si="1"/>
        <v>47848</v>
      </c>
      <c r="AB2" s="172">
        <f t="shared" si="1"/>
        <v>47938</v>
      </c>
      <c r="AC2" s="172">
        <f t="shared" si="1"/>
        <v>48029</v>
      </c>
      <c r="AD2" s="172">
        <f t="shared" si="1"/>
        <v>48121</v>
      </c>
      <c r="AE2" s="172">
        <f t="shared" si="1"/>
        <v>48213</v>
      </c>
      <c r="AF2" s="172">
        <f t="shared" si="1"/>
        <v>48304</v>
      </c>
      <c r="AG2" s="172">
        <f t="shared" si="1"/>
        <v>48395</v>
      </c>
      <c r="AH2" s="172">
        <f t="shared" si="1"/>
        <v>48487</v>
      </c>
      <c r="AI2" s="172">
        <f t="shared" si="1"/>
        <v>48579</v>
      </c>
      <c r="AJ2" s="172">
        <f t="shared" si="1"/>
        <v>48669</v>
      </c>
    </row>
    <row r="3" spans="1:69" x14ac:dyDescent="0.3">
      <c r="A3" s="661"/>
      <c r="B3" s="661" t="s">
        <v>186</v>
      </c>
      <c r="C3" s="662">
        <f>SUM(E3:AI3)</f>
        <v>25</v>
      </c>
      <c r="D3" s="663"/>
      <c r="E3" s="664">
        <f>IF(AND((E2)&gt;=Input!$E$178,E2&lt;=Input!$E$182),1,0)</f>
        <v>0</v>
      </c>
      <c r="F3" s="664">
        <f>IF(AND((F2)&gt;=Input!$E$178,F2&lt;=Input!$E$182),1,0)</f>
        <v>0</v>
      </c>
      <c r="G3" s="664">
        <f>IF(AND((G2)&gt;=Input!$E$178,G2&lt;=Input!$E$182),1,0)</f>
        <v>0</v>
      </c>
      <c r="H3" s="664">
        <f>IF(AND((H2)&gt;=Input!$E$178,H2&lt;=Input!$E$182),1,0)</f>
        <v>0</v>
      </c>
      <c r="I3" s="664">
        <f>IF(AND((I2)&gt;=Input!$E$178,I2&lt;=Input!$E$182),1,0)</f>
        <v>0</v>
      </c>
      <c r="J3" s="664">
        <f>IF(AND((J2)&gt;=Input!$E$178,J2&lt;=Input!$E$182),1,0)</f>
        <v>0</v>
      </c>
      <c r="K3" s="664">
        <f>IF(AND((K2)&gt;=Input!$E$178,K2&lt;=Input!$E$182),1,0)</f>
        <v>1</v>
      </c>
      <c r="L3" s="664">
        <f>IF(AND((L2)&gt;=Input!$E$178,L2&lt;=Input!$E$182),1,0)</f>
        <v>1</v>
      </c>
      <c r="M3" s="664">
        <f>IF(AND((M2)&gt;=Input!$E$178,M2&lt;=Input!$E$182),1,0)</f>
        <v>1</v>
      </c>
      <c r="N3" s="664">
        <f>IF(AND((N2)&gt;=Input!$E$178,N2&lt;=Input!$E$182),1,0)</f>
        <v>1</v>
      </c>
      <c r="O3" s="664">
        <f>IF(AND((O2)&gt;=Input!$E$178,O2&lt;=Input!$E$182),1,0)</f>
        <v>1</v>
      </c>
      <c r="P3" s="664">
        <f>IF(AND((P2)&gt;=Input!$E$178,P2&lt;=Input!$E$182),1,0)</f>
        <v>1</v>
      </c>
      <c r="Q3" s="664">
        <f>IF(AND((Q2)&gt;=Input!$E$178,Q2&lt;=Input!$E$182),1,0)</f>
        <v>1</v>
      </c>
      <c r="R3" s="664">
        <f>IF(AND((R2)&gt;=Input!$E$178,R2&lt;=Input!$E$182),1,0)</f>
        <v>1</v>
      </c>
      <c r="S3" s="664">
        <f>IF(AND((S2)&gt;=Input!$E$178,S2&lt;=Input!$E$182),1,0)</f>
        <v>1</v>
      </c>
      <c r="T3" s="664">
        <f>IF(AND((T2)&gt;=Input!$E$178,T2&lt;=Input!$E$182),1,0)</f>
        <v>1</v>
      </c>
      <c r="U3" s="664">
        <f>IF(AND((U2)&gt;=Input!$E$178,U2&lt;=Input!$E$182),1,0)</f>
        <v>1</v>
      </c>
      <c r="V3" s="664">
        <f>IF(AND((V2)&gt;=Input!$E$178,V2&lt;=Input!$E$182),1,0)</f>
        <v>1</v>
      </c>
      <c r="W3" s="664">
        <f>IF(AND((W2)&gt;=Input!$E$178,W2&lt;=Input!$E$182),1,0)</f>
        <v>1</v>
      </c>
      <c r="X3" s="664">
        <f>IF(AND((X2)&gt;=Input!$E$178,X2&lt;=Input!$E$182),1,0)</f>
        <v>1</v>
      </c>
      <c r="Y3" s="664">
        <f>IF(AND((Y2)&gt;=Input!$E$178,Y2&lt;=Input!$E$182),1,0)</f>
        <v>1</v>
      </c>
      <c r="Z3" s="664">
        <f>IF(AND((Z2)&gt;=Input!$E$178,Z2&lt;=Input!$E$182),1,0)</f>
        <v>1</v>
      </c>
      <c r="AA3" s="664">
        <f>IF(AND((AA2)&gt;=Input!$E$178,AA2&lt;=Input!$E$182),1,0)</f>
        <v>1</v>
      </c>
      <c r="AB3" s="664">
        <f>IF(AND((AB2)&gt;=Input!$E$178,AB2&lt;=Input!$E$182),1,0)</f>
        <v>1</v>
      </c>
      <c r="AC3" s="664">
        <f>IF(AND((AC2)&gt;=Input!$E$178,AC2&lt;=Input!$E$182),1,0)</f>
        <v>1</v>
      </c>
      <c r="AD3" s="664">
        <f>IF(AND((AD2)&gt;=Input!$E$178,AD2&lt;=Input!$E$182),1,0)</f>
        <v>1</v>
      </c>
      <c r="AE3" s="664">
        <f>IF(AND((AE2)&gt;=Input!$E$178,AE2&lt;=Input!$E$182),1,0)</f>
        <v>1</v>
      </c>
      <c r="AF3" s="664">
        <f>IF(AND((AF2)&gt;=Input!$E$178,AF2&lt;=Input!$E$182),1,0)</f>
        <v>1</v>
      </c>
      <c r="AG3" s="664">
        <f>IF(AND((AG2)&gt;=Input!$E$178,AG2&lt;=Input!$E$182),1,0)</f>
        <v>1</v>
      </c>
      <c r="AH3" s="664">
        <f>IF(AND((AH2)&gt;=Input!$E$178,AH2&lt;=Input!$E$182),1,0)</f>
        <v>1</v>
      </c>
      <c r="AI3" s="664">
        <f>IF(AND((AI2)&gt;=Input!$E$178,AI2&lt;=Input!$E$182),1,0)</f>
        <v>1</v>
      </c>
      <c r="AJ3" s="664">
        <f>IF(AND((AJ2)&gt;=Input!$E$178,AJ2&lt;=Input!$E$182),1,0)</f>
        <v>1</v>
      </c>
    </row>
    <row r="4" spans="1:69" x14ac:dyDescent="0.3">
      <c r="A4" s="661"/>
      <c r="B4" s="661" t="s">
        <v>979</v>
      </c>
      <c r="C4" s="665"/>
      <c r="D4" s="663"/>
      <c r="E4" s="664">
        <f>SUM($E3:E$3)</f>
        <v>0</v>
      </c>
      <c r="F4" s="664">
        <f>SUM($E3:F$3)</f>
        <v>0</v>
      </c>
      <c r="G4" s="664">
        <f>SUM($E3:G$3)</f>
        <v>0</v>
      </c>
      <c r="H4" s="664">
        <f>SUM($E3:H$3)</f>
        <v>0</v>
      </c>
      <c r="I4" s="664">
        <f>SUM($E3:I$3)</f>
        <v>0</v>
      </c>
      <c r="J4" s="664">
        <f>SUM($E3:J$3)</f>
        <v>0</v>
      </c>
      <c r="K4" s="664">
        <f>SUM($E3:K$3)</f>
        <v>1</v>
      </c>
      <c r="L4" s="664">
        <f>SUM($E3:L$3)</f>
        <v>2</v>
      </c>
      <c r="M4" s="664">
        <f>SUM($E3:M$3)</f>
        <v>3</v>
      </c>
      <c r="N4" s="664">
        <f>SUM($E3:N$3)</f>
        <v>4</v>
      </c>
      <c r="O4" s="664">
        <f>SUM($E3:O$3)</f>
        <v>5</v>
      </c>
      <c r="P4" s="664">
        <f>SUM($E3:P$3)</f>
        <v>6</v>
      </c>
      <c r="Q4" s="664">
        <f>SUM($E3:Q$3)</f>
        <v>7</v>
      </c>
      <c r="R4" s="664">
        <f>SUM($E3:R$3)</f>
        <v>8</v>
      </c>
      <c r="S4" s="664">
        <f>SUM($E3:S$3)</f>
        <v>9</v>
      </c>
      <c r="T4" s="664">
        <f>SUM($E3:T$3)</f>
        <v>10</v>
      </c>
      <c r="U4" s="664">
        <f>SUM($E3:U$3)</f>
        <v>11</v>
      </c>
      <c r="V4" s="664">
        <f>SUM($E3:V$3)</f>
        <v>12</v>
      </c>
      <c r="W4" s="664">
        <f>SUM($E3:W$3)</f>
        <v>13</v>
      </c>
      <c r="X4" s="664">
        <f>SUM($E3:X$3)</f>
        <v>14</v>
      </c>
      <c r="Y4" s="664">
        <f>SUM($E3:Y$3)</f>
        <v>15</v>
      </c>
      <c r="Z4" s="664">
        <f>SUM($E3:Z$3)</f>
        <v>16</v>
      </c>
      <c r="AA4" s="664">
        <f>SUM($E3:AA$3)</f>
        <v>17</v>
      </c>
      <c r="AB4" s="664">
        <f>SUM($E3:AB$3)</f>
        <v>18</v>
      </c>
      <c r="AC4" s="664">
        <f>SUM($E3:AC$3)</f>
        <v>19</v>
      </c>
      <c r="AD4" s="664">
        <f>SUM($E3:AD$3)</f>
        <v>20</v>
      </c>
      <c r="AE4" s="664">
        <f>SUM($E3:AE$3)</f>
        <v>21</v>
      </c>
      <c r="AF4" s="664">
        <f>SUM($E3:AF$3)</f>
        <v>22</v>
      </c>
      <c r="AG4" s="664">
        <f>SUM($E3:AG$3)</f>
        <v>23</v>
      </c>
      <c r="AH4" s="664">
        <f>SUM($E3:AH$3)</f>
        <v>24</v>
      </c>
      <c r="AI4" s="664">
        <f>SUM($E3:AI$3)</f>
        <v>25</v>
      </c>
      <c r="AJ4" s="664">
        <f>SUM($E3:AJ$3)</f>
        <v>26</v>
      </c>
    </row>
    <row r="5" spans="1:69" x14ac:dyDescent="0.3">
      <c r="A5" s="661"/>
      <c r="B5" s="661" t="s">
        <v>980</v>
      </c>
      <c r="C5" s="665"/>
      <c r="D5" s="663"/>
      <c r="E5" s="664">
        <f t="shared" ref="E5:AJ5" si="2">E2-D2</f>
        <v>91</v>
      </c>
      <c r="F5" s="664">
        <f t="shared" si="2"/>
        <v>92</v>
      </c>
      <c r="G5" s="664">
        <f t="shared" si="2"/>
        <v>92</v>
      </c>
      <c r="H5" s="664">
        <f t="shared" si="2"/>
        <v>90</v>
      </c>
      <c r="I5" s="664">
        <f t="shared" si="2"/>
        <v>91</v>
      </c>
      <c r="J5" s="664">
        <f t="shared" si="2"/>
        <v>92</v>
      </c>
      <c r="K5" s="664">
        <f t="shared" si="2"/>
        <v>92</v>
      </c>
      <c r="L5" s="664">
        <f t="shared" si="2"/>
        <v>90</v>
      </c>
      <c r="M5" s="664">
        <f t="shared" si="2"/>
        <v>91</v>
      </c>
      <c r="N5" s="664">
        <f t="shared" si="2"/>
        <v>92</v>
      </c>
      <c r="O5" s="664">
        <f t="shared" si="2"/>
        <v>92</v>
      </c>
      <c r="P5" s="664">
        <f t="shared" si="2"/>
        <v>91</v>
      </c>
      <c r="Q5" s="664">
        <f t="shared" si="2"/>
        <v>91</v>
      </c>
      <c r="R5" s="664">
        <f t="shared" si="2"/>
        <v>92</v>
      </c>
      <c r="S5" s="664">
        <f t="shared" si="2"/>
        <v>92</v>
      </c>
      <c r="T5" s="664">
        <f t="shared" si="2"/>
        <v>90</v>
      </c>
      <c r="U5" s="664">
        <f t="shared" si="2"/>
        <v>91</v>
      </c>
      <c r="V5" s="664">
        <f t="shared" si="2"/>
        <v>92</v>
      </c>
      <c r="W5" s="664">
        <f t="shared" si="2"/>
        <v>92</v>
      </c>
      <c r="X5" s="664">
        <f t="shared" si="2"/>
        <v>90</v>
      </c>
      <c r="Y5" s="664">
        <f t="shared" si="2"/>
        <v>91</v>
      </c>
      <c r="Z5" s="664">
        <f t="shared" si="2"/>
        <v>92</v>
      </c>
      <c r="AA5" s="664">
        <f t="shared" si="2"/>
        <v>92</v>
      </c>
      <c r="AB5" s="664">
        <f t="shared" si="2"/>
        <v>90</v>
      </c>
      <c r="AC5" s="664">
        <f t="shared" si="2"/>
        <v>91</v>
      </c>
      <c r="AD5" s="664">
        <f t="shared" si="2"/>
        <v>92</v>
      </c>
      <c r="AE5" s="664">
        <f t="shared" si="2"/>
        <v>92</v>
      </c>
      <c r="AF5" s="664">
        <f t="shared" si="2"/>
        <v>91</v>
      </c>
      <c r="AG5" s="664">
        <f t="shared" si="2"/>
        <v>91</v>
      </c>
      <c r="AH5" s="664">
        <f t="shared" si="2"/>
        <v>92</v>
      </c>
      <c r="AI5" s="664">
        <f t="shared" si="2"/>
        <v>92</v>
      </c>
      <c r="AJ5" s="664">
        <f t="shared" si="2"/>
        <v>90</v>
      </c>
    </row>
    <row r="6" spans="1:69" x14ac:dyDescent="0.3">
      <c r="A6" s="661"/>
      <c r="B6" s="661" t="s">
        <v>982</v>
      </c>
      <c r="C6" s="665"/>
      <c r="D6" s="663">
        <v>0</v>
      </c>
      <c r="E6" s="664">
        <f t="shared" ref="E6:AJ6" si="3">IF(MONTH(E1)=4,D6+1,D6)</f>
        <v>1</v>
      </c>
      <c r="F6" s="664">
        <f t="shared" si="3"/>
        <v>1</v>
      </c>
      <c r="G6" s="664">
        <f t="shared" si="3"/>
        <v>1</v>
      </c>
      <c r="H6" s="664">
        <f t="shared" si="3"/>
        <v>1</v>
      </c>
      <c r="I6" s="664">
        <f t="shared" si="3"/>
        <v>2</v>
      </c>
      <c r="J6" s="664">
        <f t="shared" si="3"/>
        <v>2</v>
      </c>
      <c r="K6" s="664">
        <f t="shared" si="3"/>
        <v>2</v>
      </c>
      <c r="L6" s="664">
        <f t="shared" si="3"/>
        <v>2</v>
      </c>
      <c r="M6" s="664">
        <f t="shared" si="3"/>
        <v>3</v>
      </c>
      <c r="N6" s="664">
        <f t="shared" si="3"/>
        <v>3</v>
      </c>
      <c r="O6" s="664">
        <f t="shared" si="3"/>
        <v>3</v>
      </c>
      <c r="P6" s="664">
        <f t="shared" si="3"/>
        <v>3</v>
      </c>
      <c r="Q6" s="664">
        <f t="shared" si="3"/>
        <v>4</v>
      </c>
      <c r="R6" s="664">
        <f t="shared" si="3"/>
        <v>4</v>
      </c>
      <c r="S6" s="664">
        <f t="shared" si="3"/>
        <v>4</v>
      </c>
      <c r="T6" s="664">
        <f t="shared" si="3"/>
        <v>4</v>
      </c>
      <c r="U6" s="664">
        <f t="shared" si="3"/>
        <v>5</v>
      </c>
      <c r="V6" s="664">
        <f t="shared" si="3"/>
        <v>5</v>
      </c>
      <c r="W6" s="664">
        <f t="shared" si="3"/>
        <v>5</v>
      </c>
      <c r="X6" s="664">
        <f t="shared" si="3"/>
        <v>5</v>
      </c>
      <c r="Y6" s="664">
        <f t="shared" si="3"/>
        <v>6</v>
      </c>
      <c r="Z6" s="664">
        <f t="shared" si="3"/>
        <v>6</v>
      </c>
      <c r="AA6" s="664">
        <f t="shared" si="3"/>
        <v>6</v>
      </c>
      <c r="AB6" s="664">
        <f t="shared" si="3"/>
        <v>6</v>
      </c>
      <c r="AC6" s="664">
        <f t="shared" si="3"/>
        <v>7</v>
      </c>
      <c r="AD6" s="664">
        <f t="shared" si="3"/>
        <v>7</v>
      </c>
      <c r="AE6" s="664">
        <f t="shared" si="3"/>
        <v>7</v>
      </c>
      <c r="AF6" s="664">
        <f t="shared" si="3"/>
        <v>7</v>
      </c>
      <c r="AG6" s="664">
        <f t="shared" si="3"/>
        <v>8</v>
      </c>
      <c r="AH6" s="664">
        <f t="shared" si="3"/>
        <v>8</v>
      </c>
      <c r="AI6" s="664">
        <f t="shared" si="3"/>
        <v>8</v>
      </c>
      <c r="AJ6" s="664">
        <f t="shared" si="3"/>
        <v>8</v>
      </c>
    </row>
    <row r="7" spans="1:69" x14ac:dyDescent="0.3">
      <c r="A7" s="661"/>
      <c r="B7" s="661" t="s">
        <v>183</v>
      </c>
      <c r="C7" s="665"/>
      <c r="D7" s="663"/>
      <c r="E7" s="664">
        <f>IF(E2=Input!$E$182,Input!$E$181-D2,IF(E2-Input!$E$178+1&gt;=(365/4),E2-D2,E2-Input!$E$178+1))*E3</f>
        <v>0</v>
      </c>
      <c r="F7" s="664">
        <f>IF(F2=Input!$E$182,Input!$E$181-E2,IF(F2-Input!$E$178+1&gt;=(365/4),F2-E2,F2-Input!$E$178+1))*F3</f>
        <v>0</v>
      </c>
      <c r="G7" s="664">
        <f>IF(G2=Input!$E$182,Input!$E$181-F2,IF(G2-Input!$E$178+1&gt;=(365/4),G2-F2,G2-Input!$E$178+1))*G3</f>
        <v>0</v>
      </c>
      <c r="H7" s="664">
        <f>IF(H2=Input!$E$182,Input!$E$181-G2,IF(H2-Input!$E$178+1&gt;=(365/4),H2-G2,H2-Input!$E$178+1))*H3</f>
        <v>0</v>
      </c>
      <c r="I7" s="664">
        <f>IF(I2=Input!$E$182,Input!$E$181-H2,IF(I2-Input!$E$178+1&gt;=(365/4),I2-H2,I2-Input!$E$178+1))*I3</f>
        <v>0</v>
      </c>
      <c r="J7" s="664">
        <f>IF(J2=Input!$E$182,Input!$E$181-I2,IF(J2-Input!$E$178+1&gt;=(365/4),J2-I2,J2-Input!$E$178+1))*J3</f>
        <v>0</v>
      </c>
      <c r="K7" s="664">
        <f>IF(K2=Input!$E$182,Input!$E$181-J2,IF(K2-Input!$E$178+1&gt;=(365/4),K2-J2,K2-Input!$E$178+1))*K3</f>
        <v>92</v>
      </c>
      <c r="L7" s="664">
        <f>IF(L2=Input!$E$182,Input!$E$181-K2,IF(L2-Input!$E$178+1&gt;=(365/4),L2-K2,L2-Input!$E$178+1))*L3</f>
        <v>90</v>
      </c>
      <c r="M7" s="664">
        <f>IF(M2=Input!$E$182,Input!$E$181-L2,IF(M2-Input!$E$178+1&gt;=(365/4),M2-L2,M2-Input!$E$178+1))*M3</f>
        <v>91</v>
      </c>
      <c r="N7" s="664">
        <f>IF(N2=Input!$E$182,Input!$E$181-M2,IF(N2-Input!$E$178+1&gt;=(365/4),N2-M2,N2-Input!$E$178+1))*N3</f>
        <v>92</v>
      </c>
      <c r="O7" s="664">
        <f>IF(O2=Input!$E$182,Input!$E$181-N2,IF(O2-Input!$E$178+1&gt;=(365/4),O2-N2,O2-Input!$E$178+1))*O3</f>
        <v>92</v>
      </c>
      <c r="P7" s="664">
        <f>IF(P2=Input!$E$182,Input!$E$181-O2,IF(P2-Input!$E$178+1&gt;=(365/4),P2-O2,P2-Input!$E$178+1))*P3</f>
        <v>91</v>
      </c>
      <c r="Q7" s="664">
        <f>IF(Q2=Input!$E$182,Input!$E$181-P2,IF(Q2-Input!$E$178+1&gt;=(365/4),Q2-P2,Q2-Input!$E$178+1))*Q3</f>
        <v>91</v>
      </c>
      <c r="R7" s="664">
        <f>IF(R2=Input!$E$182,Input!$E$181-Q2,IF(R2-Input!$E$178+1&gt;=(365/4),R2-Q2,R2-Input!$E$178+1))*R3</f>
        <v>92</v>
      </c>
      <c r="S7" s="664">
        <f>IF(S2=Input!$E$182,Input!$E$181-R2,IF(S2-Input!$E$178+1&gt;=(365/4),S2-R2,S2-Input!$E$178+1))*S3</f>
        <v>92</v>
      </c>
      <c r="T7" s="664">
        <f>IF(T2=Input!$E$182,Input!$E$181-S2,IF(T2-Input!$E$178+1&gt;=(365/4),T2-S2,T2-Input!$E$178+1))*T3</f>
        <v>90</v>
      </c>
      <c r="U7" s="664">
        <f>IF(U2=Input!$E$182,Input!$E$181-T2,IF(U2-Input!$E$178+1&gt;=(365/4),U2-T2,U2-Input!$E$178+1))*U3</f>
        <v>91</v>
      </c>
      <c r="V7" s="664">
        <f>IF(V2=Input!$E$182,Input!$E$181-U2,IF(V2-Input!$E$178+1&gt;=(365/4),V2-U2,V2-Input!$E$178+1))*V3</f>
        <v>92</v>
      </c>
      <c r="W7" s="664">
        <f>IF(W2=Input!$E$182,Input!$E$181-V2,IF(W2-Input!$E$178+1&gt;=(365/4),W2-V2,W2-Input!$E$178+1))*W3</f>
        <v>92</v>
      </c>
      <c r="X7" s="664">
        <f>IF(X2=Input!$E$182,Input!$E$181-W2,IF(X2-Input!$E$178+1&gt;=(365/4),X2-W2,X2-Input!$E$178+1))*X3</f>
        <v>90</v>
      </c>
      <c r="Y7" s="664">
        <f>IF(Y2=Input!$E$182,Input!$E$181-X2,IF(Y2-Input!$E$178+1&gt;=(365/4),Y2-X2,Y2-Input!$E$178+1))*Y3</f>
        <v>91</v>
      </c>
      <c r="Z7" s="664">
        <f>IF(Z2=Input!$E$182,Input!$E$181-Y2,IF(Z2-Input!$E$178+1&gt;=(365/4),Z2-Y2,Z2-Input!$E$178+1))*Z3</f>
        <v>92</v>
      </c>
      <c r="AA7" s="664">
        <f>IF(AA2=Input!$E$182,Input!$E$181-Z2,IF(AA2-Input!$E$178+1&gt;=(365/4),AA2-Z2,AA2-Input!$E$178+1))*AA3</f>
        <v>92</v>
      </c>
      <c r="AB7" s="664">
        <f>IF(AB2=Input!$E$182,Input!$E$181-AA2,IF(AB2-Input!$E$178+1&gt;=(365/4),AB2-AA2,AB2-Input!$E$178+1))*AB3</f>
        <v>90</v>
      </c>
      <c r="AC7" s="664">
        <f>IF(AC2=Input!$E$182,Input!$E$181-AB2,IF(AC2-Input!$E$178+1&gt;=(365/4),AC2-AB2,AC2-Input!$E$178+1))*AC3</f>
        <v>91</v>
      </c>
      <c r="AD7" s="664">
        <f>IF(AD2=Input!$E$182,Input!$E$181-AC2,IF(AD2-Input!$E$178+1&gt;=(365/4),AD2-AC2,AD2-Input!$E$178+1))*AD3</f>
        <v>92</v>
      </c>
      <c r="AE7" s="664">
        <f>IF(AE2=Input!$E$182,Input!$E$181-AD2,IF(AE2-Input!$E$178+1&gt;=(365/4),AE2-AD2,AE2-Input!$E$178+1))*AE3</f>
        <v>92</v>
      </c>
      <c r="AF7" s="664">
        <f>IF(AF2=Input!$E$182,Input!$E$181-AE2,IF(AF2-Input!$E$178+1&gt;=(365/4),AF2-AE2,AF2-Input!$E$178+1))*AF3</f>
        <v>91</v>
      </c>
      <c r="AG7" s="664">
        <f>IF(AG2=Input!$E$182,Input!$E$181-AF2,IF(AG2-Input!$E$178+1&gt;=(365/4),AG2-AF2,AG2-Input!$E$178+1))*AG3</f>
        <v>91</v>
      </c>
      <c r="AH7" s="664">
        <f>IF(AH2=Input!$E$182,Input!$E$181-AG2,IF(AH2-Input!$E$178+1&gt;=(365/4),AH2-AG2,AH2-Input!$E$178+1))*AH3</f>
        <v>92</v>
      </c>
      <c r="AI7" s="664">
        <f>IF(AI2=Input!$E$182,Input!$E$181-AH2,IF(AI2-Input!$E$178+1&gt;=(365/4),AI2-AH2,AI2-Input!$E$178+1))*AI3</f>
        <v>92</v>
      </c>
      <c r="AJ7" s="664">
        <f>IF(AJ2=Input!$E$182,Input!$E$181-AI2,IF(AJ2-Input!$E$178+1&gt;=(365/4),AJ2-AI2,AJ2-Input!$E$178+1))*AJ3</f>
        <v>90</v>
      </c>
    </row>
    <row r="8" spans="1:69" x14ac:dyDescent="0.3">
      <c r="A8" s="661"/>
      <c r="B8" s="661" t="s">
        <v>986</v>
      </c>
      <c r="C8" s="665"/>
      <c r="D8" s="663"/>
      <c r="E8" s="664">
        <f>E5-E7</f>
        <v>91</v>
      </c>
      <c r="F8" s="664">
        <f t="shared" ref="F8:AJ8" si="4">F5-F7</f>
        <v>92</v>
      </c>
      <c r="G8" s="664">
        <f t="shared" si="4"/>
        <v>92</v>
      </c>
      <c r="H8" s="664">
        <f t="shared" si="4"/>
        <v>90</v>
      </c>
      <c r="I8" s="664">
        <f t="shared" si="4"/>
        <v>91</v>
      </c>
      <c r="J8" s="664">
        <f t="shared" si="4"/>
        <v>92</v>
      </c>
      <c r="K8" s="664">
        <f t="shared" si="4"/>
        <v>0</v>
      </c>
      <c r="L8" s="664">
        <f t="shared" si="4"/>
        <v>0</v>
      </c>
      <c r="M8" s="664">
        <f t="shared" si="4"/>
        <v>0</v>
      </c>
      <c r="N8" s="664">
        <f t="shared" si="4"/>
        <v>0</v>
      </c>
      <c r="O8" s="664">
        <f t="shared" si="4"/>
        <v>0</v>
      </c>
      <c r="P8" s="664">
        <f t="shared" si="4"/>
        <v>0</v>
      </c>
      <c r="Q8" s="664">
        <f t="shared" si="4"/>
        <v>0</v>
      </c>
      <c r="R8" s="664">
        <f t="shared" si="4"/>
        <v>0</v>
      </c>
      <c r="S8" s="664">
        <f t="shared" si="4"/>
        <v>0</v>
      </c>
      <c r="T8" s="664">
        <f t="shared" si="4"/>
        <v>0</v>
      </c>
      <c r="U8" s="664">
        <f t="shared" si="4"/>
        <v>0</v>
      </c>
      <c r="V8" s="664">
        <f t="shared" si="4"/>
        <v>0</v>
      </c>
      <c r="W8" s="664">
        <f t="shared" si="4"/>
        <v>0</v>
      </c>
      <c r="X8" s="664">
        <f t="shared" si="4"/>
        <v>0</v>
      </c>
      <c r="Y8" s="664">
        <f t="shared" si="4"/>
        <v>0</v>
      </c>
      <c r="Z8" s="664">
        <f t="shared" si="4"/>
        <v>0</v>
      </c>
      <c r="AA8" s="664">
        <f t="shared" si="4"/>
        <v>0</v>
      </c>
      <c r="AB8" s="664">
        <f t="shared" si="4"/>
        <v>0</v>
      </c>
      <c r="AC8" s="664">
        <f t="shared" si="4"/>
        <v>0</v>
      </c>
      <c r="AD8" s="664">
        <f t="shared" si="4"/>
        <v>0</v>
      </c>
      <c r="AE8" s="664">
        <f t="shared" si="4"/>
        <v>0</v>
      </c>
      <c r="AF8" s="664">
        <f t="shared" si="4"/>
        <v>0</v>
      </c>
      <c r="AG8" s="664">
        <f t="shared" si="4"/>
        <v>0</v>
      </c>
      <c r="AH8" s="664">
        <f t="shared" si="4"/>
        <v>0</v>
      </c>
      <c r="AI8" s="664">
        <f t="shared" si="4"/>
        <v>0</v>
      </c>
      <c r="AJ8" s="664">
        <f t="shared" si="4"/>
        <v>0</v>
      </c>
    </row>
    <row r="9" spans="1:69" x14ac:dyDescent="0.3">
      <c r="A9" s="661"/>
      <c r="B9" s="661" t="s">
        <v>182</v>
      </c>
      <c r="C9" s="665"/>
      <c r="D9" s="663"/>
      <c r="E9" s="661">
        <f t="shared" ref="E9:AJ9" si="5">IF(E5,E7/E5,0)</f>
        <v>0</v>
      </c>
      <c r="F9" s="661">
        <f t="shared" si="5"/>
        <v>0</v>
      </c>
      <c r="G9" s="661">
        <f t="shared" si="5"/>
        <v>0</v>
      </c>
      <c r="H9" s="661">
        <f t="shared" si="5"/>
        <v>0</v>
      </c>
      <c r="I9" s="661">
        <f t="shared" si="5"/>
        <v>0</v>
      </c>
      <c r="J9" s="661">
        <f t="shared" si="5"/>
        <v>0</v>
      </c>
      <c r="K9" s="661">
        <f t="shared" si="5"/>
        <v>1</v>
      </c>
      <c r="L9" s="661">
        <f t="shared" si="5"/>
        <v>1</v>
      </c>
      <c r="M9" s="661">
        <f t="shared" si="5"/>
        <v>1</v>
      </c>
      <c r="N9" s="661">
        <f t="shared" si="5"/>
        <v>1</v>
      </c>
      <c r="O9" s="661">
        <f t="shared" si="5"/>
        <v>1</v>
      </c>
      <c r="P9" s="661">
        <f t="shared" si="5"/>
        <v>1</v>
      </c>
      <c r="Q9" s="661">
        <f t="shared" si="5"/>
        <v>1</v>
      </c>
      <c r="R9" s="661">
        <f t="shared" si="5"/>
        <v>1</v>
      </c>
      <c r="S9" s="661">
        <f t="shared" si="5"/>
        <v>1</v>
      </c>
      <c r="T9" s="661">
        <f t="shared" si="5"/>
        <v>1</v>
      </c>
      <c r="U9" s="661">
        <f t="shared" si="5"/>
        <v>1</v>
      </c>
      <c r="V9" s="661">
        <f t="shared" si="5"/>
        <v>1</v>
      </c>
      <c r="W9" s="661">
        <f t="shared" si="5"/>
        <v>1</v>
      </c>
      <c r="X9" s="661">
        <f t="shared" si="5"/>
        <v>1</v>
      </c>
      <c r="Y9" s="661">
        <f t="shared" si="5"/>
        <v>1</v>
      </c>
      <c r="Z9" s="661">
        <f t="shared" si="5"/>
        <v>1</v>
      </c>
      <c r="AA9" s="661">
        <f t="shared" si="5"/>
        <v>1</v>
      </c>
      <c r="AB9" s="661">
        <f t="shared" si="5"/>
        <v>1</v>
      </c>
      <c r="AC9" s="661">
        <f t="shared" si="5"/>
        <v>1</v>
      </c>
      <c r="AD9" s="661">
        <f t="shared" si="5"/>
        <v>1</v>
      </c>
      <c r="AE9" s="661">
        <f t="shared" si="5"/>
        <v>1</v>
      </c>
      <c r="AF9" s="661">
        <f t="shared" si="5"/>
        <v>1</v>
      </c>
      <c r="AG9" s="661">
        <f t="shared" si="5"/>
        <v>1</v>
      </c>
      <c r="AH9" s="661">
        <f t="shared" si="5"/>
        <v>1</v>
      </c>
      <c r="AI9" s="661">
        <f t="shared" si="5"/>
        <v>1</v>
      </c>
      <c r="AJ9" s="661">
        <f t="shared" si="5"/>
        <v>1</v>
      </c>
    </row>
    <row r="10" spans="1:69" x14ac:dyDescent="0.3">
      <c r="A10" s="661"/>
      <c r="B10" s="661" t="s">
        <v>181</v>
      </c>
      <c r="C10" s="665"/>
      <c r="D10" s="663"/>
      <c r="E10" s="661">
        <f t="shared" ref="E10:AJ10" si="6">D10+E9</f>
        <v>0</v>
      </c>
      <c r="F10" s="661">
        <f t="shared" si="6"/>
        <v>0</v>
      </c>
      <c r="G10" s="661">
        <f t="shared" si="6"/>
        <v>0</v>
      </c>
      <c r="H10" s="661">
        <f t="shared" si="6"/>
        <v>0</v>
      </c>
      <c r="I10" s="661">
        <f t="shared" si="6"/>
        <v>0</v>
      </c>
      <c r="J10" s="661">
        <f t="shared" si="6"/>
        <v>0</v>
      </c>
      <c r="K10" s="661">
        <f t="shared" si="6"/>
        <v>1</v>
      </c>
      <c r="L10" s="661">
        <f t="shared" si="6"/>
        <v>2</v>
      </c>
      <c r="M10" s="661">
        <f t="shared" si="6"/>
        <v>3</v>
      </c>
      <c r="N10" s="661">
        <f t="shared" si="6"/>
        <v>4</v>
      </c>
      <c r="O10" s="661">
        <f t="shared" si="6"/>
        <v>5</v>
      </c>
      <c r="P10" s="661">
        <f t="shared" si="6"/>
        <v>6</v>
      </c>
      <c r="Q10" s="661">
        <f t="shared" si="6"/>
        <v>7</v>
      </c>
      <c r="R10" s="661">
        <f t="shared" si="6"/>
        <v>8</v>
      </c>
      <c r="S10" s="661">
        <f t="shared" si="6"/>
        <v>9</v>
      </c>
      <c r="T10" s="661">
        <f t="shared" si="6"/>
        <v>10</v>
      </c>
      <c r="U10" s="661">
        <f t="shared" si="6"/>
        <v>11</v>
      </c>
      <c r="V10" s="661">
        <f t="shared" si="6"/>
        <v>12</v>
      </c>
      <c r="W10" s="661">
        <f t="shared" si="6"/>
        <v>13</v>
      </c>
      <c r="X10" s="661">
        <f t="shared" si="6"/>
        <v>14</v>
      </c>
      <c r="Y10" s="661">
        <f t="shared" si="6"/>
        <v>15</v>
      </c>
      <c r="Z10" s="661">
        <f t="shared" si="6"/>
        <v>16</v>
      </c>
      <c r="AA10" s="661">
        <f t="shared" si="6"/>
        <v>17</v>
      </c>
      <c r="AB10" s="661">
        <f t="shared" si="6"/>
        <v>18</v>
      </c>
      <c r="AC10" s="661">
        <f t="shared" si="6"/>
        <v>19</v>
      </c>
      <c r="AD10" s="661">
        <f t="shared" si="6"/>
        <v>20</v>
      </c>
      <c r="AE10" s="661">
        <f t="shared" si="6"/>
        <v>21</v>
      </c>
      <c r="AF10" s="661">
        <f t="shared" si="6"/>
        <v>22</v>
      </c>
      <c r="AG10" s="661">
        <f t="shared" si="6"/>
        <v>23</v>
      </c>
      <c r="AH10" s="661">
        <f t="shared" si="6"/>
        <v>24</v>
      </c>
      <c r="AI10" s="661">
        <f t="shared" si="6"/>
        <v>25</v>
      </c>
      <c r="AJ10" s="661">
        <f t="shared" si="6"/>
        <v>26</v>
      </c>
    </row>
    <row r="11" spans="1:69" x14ac:dyDescent="0.3">
      <c r="A11" s="2"/>
      <c r="B11" s="2"/>
      <c r="C11" s="176"/>
      <c r="D11" s="177"/>
      <c r="E11" s="177"/>
      <c r="F11" s="177"/>
      <c r="G11" s="177"/>
      <c r="H11" s="177"/>
      <c r="I11" s="177"/>
      <c r="J11" s="177"/>
      <c r="K11" s="790"/>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row>
    <row r="12" spans="1:69" x14ac:dyDescent="0.3">
      <c r="A12" s="97" t="s">
        <v>77</v>
      </c>
      <c r="B12" s="178"/>
      <c r="C12" s="179"/>
      <c r="D12" s="180"/>
      <c r="E12" s="180"/>
      <c r="F12" s="180"/>
      <c r="G12" s="180"/>
      <c r="H12" s="180"/>
      <c r="I12" s="180"/>
      <c r="J12" s="180"/>
      <c r="K12" s="180"/>
      <c r="L12" s="180"/>
      <c r="M12" s="180"/>
      <c r="N12" s="180"/>
      <c r="O12" s="180"/>
      <c r="P12" s="180"/>
      <c r="Q12" s="180"/>
      <c r="R12" s="180"/>
      <c r="S12" s="180"/>
      <c r="T12" s="180"/>
      <c r="U12" s="180"/>
      <c r="V12" s="180"/>
      <c r="W12" s="180"/>
      <c r="X12" s="180"/>
      <c r="Y12" s="180"/>
      <c r="Z12" s="180"/>
      <c r="AA12" s="180"/>
      <c r="AB12" s="180"/>
      <c r="AC12" s="180"/>
      <c r="AD12" s="180"/>
      <c r="AE12" s="180"/>
      <c r="AF12" s="180"/>
      <c r="AG12" s="180"/>
      <c r="AH12" s="180"/>
      <c r="AI12" s="180"/>
      <c r="AJ12" s="180"/>
    </row>
    <row r="13" spans="1:69" x14ac:dyDescent="0.3">
      <c r="A13" s="8"/>
      <c r="B13" s="3" t="s">
        <v>27</v>
      </c>
      <c r="C13" s="181" t="s">
        <v>26</v>
      </c>
      <c r="D13" s="182">
        <f>Input!E6</f>
        <v>203.23999999999998</v>
      </c>
      <c r="F13" s="181" t="s">
        <v>67</v>
      </c>
      <c r="G13" s="374">
        <f>Input!$E$4</f>
        <v>243.88799999999998</v>
      </c>
      <c r="K13" s="183"/>
      <c r="L13" s="183"/>
      <c r="M13" s="183"/>
      <c r="N13" s="183"/>
      <c r="O13" s="183"/>
      <c r="P13" s="183"/>
      <c r="Q13" s="183"/>
      <c r="R13" s="183"/>
      <c r="S13" s="183"/>
      <c r="T13" s="183"/>
      <c r="U13" s="183"/>
      <c r="V13" s="183"/>
      <c r="W13" s="183"/>
      <c r="X13" s="183"/>
      <c r="Y13" s="183"/>
      <c r="Z13" s="183"/>
      <c r="AA13" s="183"/>
      <c r="AB13" s="183"/>
      <c r="AC13" s="183"/>
      <c r="AD13" s="183"/>
      <c r="AE13" s="183"/>
      <c r="AF13" s="183"/>
      <c r="AG13" s="183"/>
      <c r="AH13" s="183"/>
      <c r="AI13" s="183"/>
      <c r="AJ13" s="183"/>
      <c r="BG13" s="183"/>
      <c r="BH13" s="183"/>
      <c r="BI13" s="183"/>
      <c r="BJ13" s="183"/>
      <c r="BK13" s="183"/>
      <c r="BL13" s="183"/>
      <c r="BM13" s="183"/>
      <c r="BN13" s="183"/>
      <c r="BO13" s="183"/>
      <c r="BP13" s="183"/>
      <c r="BQ13" s="183"/>
    </row>
    <row r="14" spans="1:69" x14ac:dyDescent="0.3">
      <c r="A14" s="215"/>
      <c r="B14" s="634" t="s">
        <v>452</v>
      </c>
      <c r="C14" s="635" t="s">
        <v>72</v>
      </c>
      <c r="D14" s="635" t="s">
        <v>962</v>
      </c>
      <c r="E14" s="635" t="s">
        <v>290</v>
      </c>
      <c r="F14" s="635" t="s">
        <v>574</v>
      </c>
      <c r="G14" s="635" t="s">
        <v>120</v>
      </c>
      <c r="H14" s="635" t="s">
        <v>573</v>
      </c>
      <c r="I14" s="215"/>
      <c r="J14" s="183"/>
      <c r="K14" s="183"/>
      <c r="L14" s="183"/>
      <c r="M14" s="183"/>
      <c r="N14" s="183"/>
      <c r="O14" s="183"/>
      <c r="P14" s="183"/>
      <c r="Q14" s="183"/>
      <c r="R14" s="183"/>
      <c r="S14" s="183"/>
      <c r="T14" s="183"/>
      <c r="U14" s="183"/>
      <c r="V14" s="183"/>
      <c r="W14" s="183"/>
      <c r="X14" s="183"/>
      <c r="Y14" s="183"/>
      <c r="Z14" s="183"/>
      <c r="AA14" s="183"/>
      <c r="AB14" s="183"/>
      <c r="AC14" s="183"/>
      <c r="AD14" s="183"/>
      <c r="AE14" s="215"/>
      <c r="AF14" s="215"/>
      <c r="AG14" s="215"/>
      <c r="AH14" s="215"/>
      <c r="AI14" s="215"/>
      <c r="AJ14" s="215"/>
    </row>
    <row r="15" spans="1:69" x14ac:dyDescent="0.3">
      <c r="A15" s="628" t="s">
        <v>575</v>
      </c>
      <c r="B15" s="629" t="s">
        <v>189</v>
      </c>
      <c r="C15" s="630"/>
      <c r="D15" s="631"/>
      <c r="E15" s="632"/>
      <c r="F15" s="633"/>
      <c r="G15" s="633"/>
      <c r="H15" s="633"/>
      <c r="J15" s="183"/>
      <c r="K15" s="183"/>
      <c r="L15" s="183"/>
      <c r="M15" s="183"/>
      <c r="N15" s="183"/>
      <c r="O15" s="183"/>
      <c r="P15" s="183"/>
      <c r="Q15" s="183"/>
      <c r="R15" s="183"/>
      <c r="S15" s="183"/>
      <c r="T15" s="183"/>
      <c r="U15" s="183"/>
      <c r="V15" s="183"/>
      <c r="W15" s="183"/>
      <c r="X15" s="183"/>
      <c r="Y15" s="183"/>
      <c r="Z15" s="183"/>
      <c r="AA15" s="183"/>
      <c r="AB15" s="183"/>
      <c r="AC15" s="183"/>
      <c r="AD15" s="183"/>
      <c r="AE15" s="183"/>
      <c r="AF15" s="183"/>
      <c r="AG15" s="183"/>
      <c r="AH15" s="183"/>
      <c r="AI15" s="183"/>
      <c r="BG15" s="183"/>
      <c r="BH15" s="183"/>
      <c r="BI15" s="183"/>
      <c r="BJ15" s="183"/>
      <c r="BK15" s="183"/>
      <c r="BL15" s="183"/>
      <c r="BM15" s="183"/>
      <c r="BN15" s="183"/>
      <c r="BO15" s="183"/>
      <c r="BP15" s="183"/>
      <c r="BQ15" s="183"/>
    </row>
    <row r="16" spans="1:69" x14ac:dyDescent="0.3">
      <c r="A16" s="622" t="s">
        <v>268</v>
      </c>
      <c r="B16" s="661" t="s">
        <v>922</v>
      </c>
      <c r="C16" s="624" t="s">
        <v>802</v>
      </c>
      <c r="D16" s="770">
        <f>Working!D16</f>
        <v>159</v>
      </c>
      <c r="E16" s="770">
        <f>Working!E16</f>
        <v>243.88799999999998</v>
      </c>
      <c r="F16" s="621">
        <f>Working!F16</f>
        <v>38728.48272</v>
      </c>
      <c r="G16" s="621">
        <f>Working!G16</f>
        <v>5344.5306153600004</v>
      </c>
      <c r="H16" s="621">
        <f>Working!H16</f>
        <v>44073.013335360003</v>
      </c>
      <c r="J16" s="183"/>
      <c r="K16" s="183"/>
      <c r="L16" s="183"/>
      <c r="M16" s="183"/>
      <c r="N16" s="183"/>
      <c r="O16" s="183"/>
      <c r="P16" s="183"/>
      <c r="Q16" s="183"/>
      <c r="R16" s="183"/>
      <c r="S16" s="183"/>
      <c r="T16" s="183"/>
      <c r="U16" s="183"/>
      <c r="V16" s="183"/>
      <c r="W16" s="183"/>
      <c r="X16" s="183"/>
      <c r="Y16" s="183"/>
      <c r="Z16" s="183"/>
      <c r="AA16" s="183"/>
      <c r="AB16" s="183"/>
      <c r="AC16" s="183"/>
      <c r="AD16" s="183"/>
      <c r="AE16" s="183"/>
      <c r="AF16" s="183"/>
      <c r="AG16" s="183"/>
      <c r="AH16" s="183"/>
      <c r="AI16" s="183"/>
      <c r="BG16" s="183"/>
      <c r="BH16" s="183"/>
      <c r="BI16" s="183"/>
      <c r="BJ16" s="183"/>
      <c r="BK16" s="183"/>
      <c r="BL16" s="183"/>
      <c r="BM16" s="183"/>
      <c r="BN16" s="183"/>
      <c r="BO16" s="183"/>
      <c r="BP16" s="183"/>
      <c r="BQ16" s="183"/>
    </row>
    <row r="17" spans="1:69" x14ac:dyDescent="0.3">
      <c r="A17" s="622" t="s">
        <v>270</v>
      </c>
      <c r="B17" s="661" t="s">
        <v>651</v>
      </c>
      <c r="C17" s="624" t="s">
        <v>802</v>
      </c>
      <c r="D17" s="770">
        <f>Working!D17</f>
        <v>13</v>
      </c>
      <c r="E17" s="770">
        <f>Working!E17</f>
        <v>203.23999999999998</v>
      </c>
      <c r="F17" s="621">
        <f>Working!F17</f>
        <v>2650.5</v>
      </c>
      <c r="G17" s="621">
        <f>Working!G17</f>
        <v>365.76900000000006</v>
      </c>
      <c r="H17" s="621">
        <f>Working!H17</f>
        <v>3016.2690000000002</v>
      </c>
      <c r="J17" s="183"/>
      <c r="K17" s="183"/>
      <c r="L17" s="183"/>
      <c r="M17" s="183"/>
      <c r="N17" s="183"/>
      <c r="O17" s="183"/>
      <c r="P17" s="183"/>
      <c r="Q17" s="183"/>
      <c r="R17" s="183"/>
      <c r="S17" s="183"/>
      <c r="T17" s="183"/>
      <c r="U17" s="183"/>
      <c r="V17" s="183"/>
      <c r="W17" s="183"/>
      <c r="X17" s="183"/>
      <c r="Y17" s="183"/>
      <c r="Z17" s="183"/>
      <c r="AA17" s="183"/>
      <c r="AB17" s="183"/>
      <c r="AC17" s="183"/>
      <c r="AD17" s="183"/>
      <c r="AE17" s="183"/>
      <c r="AF17" s="183"/>
      <c r="AG17" s="183"/>
      <c r="AH17" s="183"/>
      <c r="AI17" s="183"/>
      <c r="BG17" s="183"/>
      <c r="BH17" s="183"/>
      <c r="BI17" s="183"/>
      <c r="BJ17" s="183"/>
      <c r="BK17" s="183"/>
      <c r="BL17" s="183"/>
      <c r="BM17" s="183"/>
      <c r="BN17" s="183"/>
      <c r="BO17" s="183"/>
      <c r="BP17" s="183"/>
      <c r="BQ17" s="183"/>
    </row>
    <row r="18" spans="1:69" x14ac:dyDescent="0.3">
      <c r="A18" s="622" t="s">
        <v>272</v>
      </c>
      <c r="B18" s="661" t="s">
        <v>921</v>
      </c>
      <c r="C18" s="624" t="s">
        <v>802</v>
      </c>
      <c r="D18" s="770">
        <f>Working!D18</f>
        <v>135</v>
      </c>
      <c r="E18" s="770">
        <f>Working!E18</f>
        <v>243.88799999999998</v>
      </c>
      <c r="F18" s="621">
        <f>Working!F18</f>
        <v>32929.860749798594</v>
      </c>
      <c r="G18" s="621">
        <f>Working!G18</f>
        <v>4544.320783472207</v>
      </c>
      <c r="H18" s="621">
        <f>Working!H18</f>
        <v>37474.181533270799</v>
      </c>
      <c r="J18" s="183"/>
      <c r="K18" s="183"/>
      <c r="L18" s="183"/>
      <c r="M18" s="183"/>
      <c r="N18" s="183"/>
      <c r="O18" s="183"/>
      <c r="P18" s="183"/>
      <c r="Q18" s="183"/>
      <c r="R18" s="183"/>
      <c r="S18" s="183"/>
      <c r="T18" s="183"/>
      <c r="U18" s="183"/>
      <c r="V18" s="183"/>
      <c r="W18" s="183"/>
      <c r="X18" s="183"/>
      <c r="Y18" s="183"/>
      <c r="Z18" s="183"/>
      <c r="AA18" s="183"/>
      <c r="AB18" s="183"/>
      <c r="AC18" s="183"/>
      <c r="AD18" s="183"/>
      <c r="AE18" s="183"/>
      <c r="AF18" s="183"/>
      <c r="AG18" s="183"/>
      <c r="AH18" s="183"/>
      <c r="AI18" s="183"/>
      <c r="BG18" s="183"/>
      <c r="BH18" s="183"/>
      <c r="BI18" s="183"/>
      <c r="BJ18" s="183"/>
      <c r="BK18" s="183"/>
      <c r="BL18" s="183"/>
      <c r="BM18" s="183"/>
      <c r="BN18" s="183"/>
      <c r="BO18" s="183"/>
      <c r="BP18" s="183"/>
      <c r="BQ18" s="183"/>
    </row>
    <row r="19" spans="1:69" x14ac:dyDescent="0.3">
      <c r="A19" s="622" t="s">
        <v>556</v>
      </c>
      <c r="B19" s="661" t="s">
        <v>925</v>
      </c>
      <c r="C19" s="624" t="s">
        <v>802</v>
      </c>
      <c r="D19" s="770">
        <f>Working!D19</f>
        <v>40</v>
      </c>
      <c r="E19" s="770">
        <f>Working!E19</f>
        <v>243.88799999999998</v>
      </c>
      <c r="F19" s="621">
        <f>Working!F19</f>
        <v>9694.1832989999984</v>
      </c>
      <c r="G19" s="621">
        <f>Working!G19</f>
        <v>1337.7972952620003</v>
      </c>
      <c r="H19" s="621">
        <f>Working!H19</f>
        <v>11031.980594261999</v>
      </c>
      <c r="J19" s="183"/>
      <c r="K19" s="183"/>
      <c r="L19" s="183"/>
      <c r="M19" s="183"/>
      <c r="N19" s="183"/>
      <c r="O19" s="183"/>
      <c r="P19" s="183"/>
      <c r="Q19" s="183"/>
      <c r="R19" s="183"/>
      <c r="S19" s="183"/>
      <c r="T19" s="183"/>
      <c r="U19" s="183"/>
      <c r="V19" s="183"/>
      <c r="W19" s="183"/>
      <c r="X19" s="183"/>
      <c r="Y19" s="183"/>
      <c r="Z19" s="183"/>
      <c r="AA19" s="183"/>
      <c r="AB19" s="183"/>
      <c r="AC19" s="183"/>
      <c r="AD19" s="183"/>
      <c r="AE19" s="183"/>
      <c r="AF19" s="183"/>
      <c r="AG19" s="183"/>
      <c r="AH19" s="183"/>
      <c r="AI19" s="183"/>
      <c r="BG19" s="183"/>
      <c r="BH19" s="183"/>
      <c r="BI19" s="183"/>
      <c r="BJ19" s="183"/>
      <c r="BK19" s="183"/>
      <c r="BL19" s="183"/>
      <c r="BM19" s="183"/>
      <c r="BN19" s="183"/>
      <c r="BO19" s="183"/>
      <c r="BP19" s="183"/>
      <c r="BQ19" s="183"/>
    </row>
    <row r="20" spans="1:69" x14ac:dyDescent="0.3">
      <c r="A20" s="622" t="s">
        <v>595</v>
      </c>
      <c r="B20" s="661" t="s">
        <v>957</v>
      </c>
      <c r="C20" s="624" t="s">
        <v>802</v>
      </c>
      <c r="D20" s="770">
        <f>Working!D20</f>
        <v>7</v>
      </c>
      <c r="E20" s="770">
        <f>Working!E20</f>
        <v>243.88799999999998</v>
      </c>
      <c r="F20" s="621">
        <f>Working!F20</f>
        <v>1663.1343200000001</v>
      </c>
      <c r="G20" s="621">
        <f>Working!G20</f>
        <v>229.51253616</v>
      </c>
      <c r="H20" s="621">
        <f>Working!H20</f>
        <v>1892.6468561600002</v>
      </c>
      <c r="J20" s="183"/>
      <c r="K20" s="183"/>
      <c r="L20" s="183"/>
      <c r="M20" s="183"/>
      <c r="N20" s="183"/>
      <c r="O20" s="183"/>
      <c r="P20" s="183"/>
      <c r="Q20" s="183"/>
      <c r="R20" s="183"/>
      <c r="S20" s="183"/>
      <c r="T20" s="183"/>
      <c r="U20" s="183"/>
      <c r="V20" s="183"/>
      <c r="W20" s="183"/>
      <c r="X20" s="183"/>
      <c r="Y20" s="183"/>
      <c r="Z20" s="183"/>
      <c r="AA20" s="183"/>
      <c r="AB20" s="183"/>
      <c r="AC20" s="183"/>
      <c r="AD20" s="183"/>
      <c r="AE20" s="183"/>
      <c r="AF20" s="183"/>
      <c r="AG20" s="183"/>
      <c r="AH20" s="183"/>
      <c r="AI20" s="183"/>
      <c r="BG20" s="183"/>
      <c r="BH20" s="183"/>
      <c r="BI20" s="183"/>
      <c r="BJ20" s="183"/>
      <c r="BK20" s="183"/>
      <c r="BL20" s="183"/>
      <c r="BM20" s="183"/>
      <c r="BN20" s="183"/>
      <c r="BO20" s="183"/>
      <c r="BP20" s="183"/>
      <c r="BQ20" s="183"/>
    </row>
    <row r="21" spans="1:69" x14ac:dyDescent="0.3">
      <c r="A21" s="492"/>
      <c r="B21" s="488" t="s">
        <v>189</v>
      </c>
      <c r="C21" s="625" t="s">
        <v>802</v>
      </c>
      <c r="D21" s="187"/>
      <c r="E21" s="626"/>
      <c r="F21" s="627">
        <f>SUM(F16:F20)</f>
        <v>85666.161088798588</v>
      </c>
      <c r="G21" s="627">
        <f>SUM(G16:G20)</f>
        <v>11821.930230254209</v>
      </c>
      <c r="H21" s="627">
        <f>SUM(H16:H20)</f>
        <v>97488.091319052808</v>
      </c>
      <c r="J21" s="183"/>
      <c r="K21" s="183"/>
      <c r="L21" s="183"/>
      <c r="M21" s="183"/>
      <c r="N21" s="183"/>
      <c r="O21" s="183"/>
      <c r="P21" s="183"/>
      <c r="Q21" s="183"/>
      <c r="R21" s="183"/>
      <c r="S21" s="183"/>
      <c r="T21" s="183"/>
      <c r="U21" s="183"/>
      <c r="V21" s="183"/>
      <c r="W21" s="183"/>
      <c r="X21" s="183"/>
      <c r="Y21" s="183"/>
      <c r="Z21" s="183"/>
      <c r="AA21" s="183"/>
      <c r="AB21" s="183"/>
      <c r="AC21" s="183"/>
      <c r="AD21" s="183"/>
      <c r="AE21" s="183"/>
      <c r="AF21" s="183"/>
      <c r="AG21" s="183"/>
      <c r="AH21" s="183"/>
      <c r="AI21" s="183"/>
      <c r="BG21" s="183"/>
      <c r="BH21" s="183"/>
      <c r="BI21" s="183"/>
      <c r="BJ21" s="183"/>
      <c r="BK21" s="183"/>
      <c r="BL21" s="183"/>
      <c r="BM21" s="183"/>
      <c r="BN21" s="183"/>
      <c r="BO21" s="183"/>
      <c r="BP21" s="183"/>
      <c r="BQ21" s="183"/>
    </row>
    <row r="22" spans="1:69" x14ac:dyDescent="0.3">
      <c r="A22" s="628" t="s">
        <v>603</v>
      </c>
      <c r="B22" s="629" t="s">
        <v>834</v>
      </c>
      <c r="C22" s="630"/>
      <c r="D22" s="631"/>
      <c r="E22" s="632"/>
      <c r="F22" s="633"/>
      <c r="G22" s="633"/>
      <c r="H22" s="633"/>
      <c r="J22" s="183"/>
      <c r="K22" s="183"/>
      <c r="L22" s="183"/>
      <c r="M22" s="183"/>
      <c r="N22" s="183"/>
      <c r="O22" s="183"/>
      <c r="P22" s="183"/>
      <c r="Q22" s="183"/>
      <c r="R22" s="183"/>
      <c r="S22" s="183"/>
      <c r="T22" s="183"/>
      <c r="U22" s="183"/>
      <c r="V22" s="183"/>
      <c r="W22" s="183"/>
      <c r="X22" s="183"/>
      <c r="Y22" s="183"/>
      <c r="Z22" s="183"/>
      <c r="AA22" s="183"/>
      <c r="AB22" s="183"/>
      <c r="AC22" s="183"/>
      <c r="AD22" s="183"/>
      <c r="AE22" s="183"/>
      <c r="AF22" s="183"/>
      <c r="AG22" s="183"/>
      <c r="AH22" s="183"/>
      <c r="AI22" s="183"/>
      <c r="BG22" s="183"/>
      <c r="BH22" s="183"/>
      <c r="BI22" s="183"/>
      <c r="BJ22" s="183"/>
      <c r="BK22" s="183"/>
      <c r="BL22" s="183"/>
      <c r="BM22" s="183"/>
      <c r="BN22" s="183"/>
      <c r="BO22" s="183"/>
      <c r="BP22" s="183"/>
      <c r="BQ22" s="183"/>
    </row>
    <row r="23" spans="1:69" x14ac:dyDescent="0.3">
      <c r="A23" s="622" t="s">
        <v>268</v>
      </c>
      <c r="B23" s="623" t="s">
        <v>445</v>
      </c>
      <c r="C23" s="624" t="s">
        <v>964</v>
      </c>
      <c r="D23" s="773">
        <f>Working!D23</f>
        <v>24.042915624999999</v>
      </c>
      <c r="E23" s="772">
        <f>Working!E23</f>
        <v>320</v>
      </c>
      <c r="F23" s="621">
        <f>Working!F23</f>
        <v>7693.7330000000002</v>
      </c>
      <c r="G23" s="621">
        <f>Working!G23</f>
        <v>1384.8719399999995</v>
      </c>
      <c r="H23" s="621">
        <f>Working!H23</f>
        <v>9078.6049400000011</v>
      </c>
      <c r="J23" s="183"/>
      <c r="K23" s="183"/>
      <c r="L23" s="183"/>
      <c r="M23" s="183"/>
      <c r="N23" s="183"/>
      <c r="O23" s="183"/>
      <c r="P23" s="183"/>
      <c r="Q23" s="183"/>
      <c r="R23" s="183"/>
      <c r="S23" s="183"/>
      <c r="T23" s="183"/>
      <c r="U23" s="183"/>
      <c r="V23" s="183"/>
      <c r="W23" s="183"/>
      <c r="X23" s="183"/>
      <c r="Y23" s="183"/>
      <c r="Z23" s="183"/>
      <c r="AA23" s="183"/>
      <c r="AB23" s="183"/>
      <c r="AC23" s="183"/>
      <c r="AD23" s="183"/>
      <c r="AE23" s="183"/>
      <c r="AF23" s="183"/>
      <c r="AG23" s="183"/>
      <c r="AH23" s="183"/>
      <c r="AI23" s="183"/>
      <c r="BG23" s="183"/>
      <c r="BH23" s="183"/>
      <c r="BI23" s="183"/>
      <c r="BJ23" s="183"/>
      <c r="BK23" s="183"/>
      <c r="BL23" s="183"/>
      <c r="BM23" s="183"/>
      <c r="BN23" s="183"/>
      <c r="BO23" s="183"/>
      <c r="BP23" s="183"/>
      <c r="BQ23" s="183"/>
    </row>
    <row r="24" spans="1:69" x14ac:dyDescent="0.3">
      <c r="A24" s="622" t="s">
        <v>270</v>
      </c>
      <c r="B24" s="623" t="s">
        <v>832</v>
      </c>
      <c r="C24" s="624" t="s">
        <v>219</v>
      </c>
      <c r="D24" s="773">
        <f>Working!D24</f>
        <v>282.71078896971255</v>
      </c>
      <c r="E24" s="770">
        <f>Working!E24</f>
        <v>4</v>
      </c>
      <c r="F24" s="621">
        <f>Working!F24</f>
        <v>1130.8431558788502</v>
      </c>
      <c r="G24" s="621">
        <f>Working!G24</f>
        <v>203.55176805819301</v>
      </c>
      <c r="H24" s="621">
        <f>Working!H24</f>
        <v>1334.3949239370431</v>
      </c>
      <c r="I24" s="204"/>
      <c r="J24" s="183"/>
      <c r="K24" s="183"/>
      <c r="L24" s="183"/>
      <c r="M24" s="183"/>
      <c r="N24" s="183"/>
      <c r="O24" s="183"/>
      <c r="P24" s="183"/>
      <c r="Q24" s="183"/>
      <c r="R24" s="183"/>
      <c r="S24" s="183"/>
      <c r="T24" s="183"/>
      <c r="U24" s="183"/>
      <c r="V24" s="183"/>
      <c r="W24" s="183"/>
      <c r="X24" s="183"/>
      <c r="Y24" s="183"/>
      <c r="Z24" s="183"/>
      <c r="AA24" s="183"/>
      <c r="AB24" s="183"/>
      <c r="AC24" s="183"/>
      <c r="AD24" s="183"/>
      <c r="AE24" s="183"/>
      <c r="AF24" s="183"/>
      <c r="AG24" s="183"/>
      <c r="AH24" s="183"/>
      <c r="AI24" s="183"/>
      <c r="BG24" s="183"/>
      <c r="BH24" s="183"/>
      <c r="BI24" s="183"/>
      <c r="BJ24" s="183"/>
      <c r="BK24" s="183"/>
      <c r="BL24" s="183"/>
      <c r="BM24" s="183"/>
      <c r="BN24" s="183"/>
      <c r="BO24" s="183"/>
      <c r="BP24" s="183"/>
      <c r="BQ24" s="183"/>
    </row>
    <row r="25" spans="1:69" x14ac:dyDescent="0.3">
      <c r="A25" s="622" t="s">
        <v>272</v>
      </c>
      <c r="B25" s="623" t="s">
        <v>833</v>
      </c>
      <c r="C25" s="624" t="s">
        <v>802</v>
      </c>
      <c r="D25" s="773">
        <f>Working!D25</f>
        <v>422.06749999999994</v>
      </c>
      <c r="E25" s="770">
        <f>Working!E25</f>
        <v>1</v>
      </c>
      <c r="F25" s="621">
        <f>Working!F25</f>
        <v>422.06749999999994</v>
      </c>
      <c r="G25" s="621">
        <f>Working!G25</f>
        <v>75.972149999999985</v>
      </c>
      <c r="H25" s="621">
        <f>Working!H25</f>
        <v>498.03964999999994</v>
      </c>
      <c r="J25" s="183"/>
      <c r="K25" s="183"/>
      <c r="L25" s="183"/>
      <c r="M25" s="183"/>
      <c r="N25" s="183"/>
      <c r="O25" s="183"/>
      <c r="P25" s="183"/>
      <c r="Q25" s="183"/>
      <c r="R25" s="183"/>
      <c r="S25" s="183"/>
      <c r="T25" s="183"/>
      <c r="U25" s="183"/>
      <c r="V25" s="183"/>
      <c r="W25" s="183"/>
      <c r="X25" s="183"/>
      <c r="Y25" s="183"/>
      <c r="Z25" s="183"/>
      <c r="AA25" s="183"/>
      <c r="AB25" s="183"/>
      <c r="AC25" s="183"/>
      <c r="AD25" s="183"/>
      <c r="AE25" s="183"/>
      <c r="AF25" s="183"/>
      <c r="AG25" s="183"/>
      <c r="AH25" s="183"/>
      <c r="AI25" s="183"/>
      <c r="BG25" s="183"/>
      <c r="BH25" s="183"/>
      <c r="BI25" s="183"/>
      <c r="BJ25" s="183"/>
      <c r="BK25" s="183"/>
      <c r="BL25" s="183"/>
      <c r="BM25" s="183"/>
      <c r="BN25" s="183"/>
      <c r="BO25" s="183"/>
      <c r="BP25" s="183"/>
      <c r="BQ25" s="183"/>
    </row>
    <row r="26" spans="1:69" x14ac:dyDescent="0.3">
      <c r="A26" s="492"/>
      <c r="B26" s="488" t="s">
        <v>834</v>
      </c>
      <c r="C26" s="625" t="s">
        <v>802</v>
      </c>
      <c r="D26" s="187"/>
      <c r="E26" s="626"/>
      <c r="F26" s="627">
        <f>SUM(F23:F25)</f>
        <v>9246.64365587885</v>
      </c>
      <c r="G26" s="627">
        <f>SUM(G23:G25)</f>
        <v>1664.3958580581925</v>
      </c>
      <c r="H26" s="627">
        <f>SUM(H23:H25)</f>
        <v>10911.039513937045</v>
      </c>
      <c r="J26" s="183"/>
      <c r="K26" s="183"/>
      <c r="L26" s="183"/>
      <c r="M26" s="183"/>
      <c r="N26" s="183"/>
      <c r="O26" s="183"/>
      <c r="P26" s="183"/>
      <c r="Q26" s="183"/>
      <c r="R26" s="183"/>
      <c r="S26" s="183"/>
      <c r="T26" s="183"/>
      <c r="U26" s="183"/>
      <c r="V26" s="183"/>
      <c r="W26" s="183"/>
      <c r="X26" s="183"/>
      <c r="Y26" s="183"/>
      <c r="Z26" s="183"/>
      <c r="AA26" s="183"/>
      <c r="AB26" s="183"/>
      <c r="AC26" s="183"/>
      <c r="AD26" s="183"/>
      <c r="AE26" s="183"/>
      <c r="AF26" s="183"/>
      <c r="AG26" s="183"/>
      <c r="AH26" s="183"/>
      <c r="AI26" s="183"/>
      <c r="BG26" s="183"/>
      <c r="BH26" s="183"/>
      <c r="BI26" s="183"/>
      <c r="BJ26" s="183"/>
      <c r="BK26" s="183"/>
      <c r="BL26" s="183"/>
      <c r="BM26" s="183"/>
      <c r="BN26" s="183"/>
      <c r="BO26" s="183"/>
      <c r="BP26" s="183"/>
      <c r="BQ26" s="183"/>
    </row>
    <row r="27" spans="1:69" x14ac:dyDescent="0.3">
      <c r="A27" s="628" t="s">
        <v>577</v>
      </c>
      <c r="B27" s="629" t="s">
        <v>831</v>
      </c>
      <c r="C27" s="630"/>
      <c r="D27" s="631"/>
      <c r="E27" s="632"/>
      <c r="F27" s="633"/>
      <c r="G27" s="633"/>
      <c r="H27" s="633"/>
      <c r="J27" s="183"/>
      <c r="K27" s="183"/>
      <c r="L27" s="183"/>
      <c r="M27" s="183"/>
      <c r="N27" s="183"/>
      <c r="O27" s="183"/>
      <c r="P27" s="183"/>
      <c r="Q27" s="183"/>
      <c r="R27" s="183"/>
      <c r="S27" s="183"/>
      <c r="T27" s="183"/>
      <c r="U27" s="183"/>
      <c r="V27" s="183"/>
      <c r="W27" s="183"/>
      <c r="X27" s="183"/>
      <c r="Y27" s="183"/>
      <c r="Z27" s="183"/>
      <c r="AA27" s="183"/>
      <c r="AB27" s="183"/>
      <c r="AC27" s="183"/>
      <c r="AD27" s="183"/>
      <c r="AE27" s="183"/>
      <c r="AF27" s="183"/>
      <c r="AG27" s="183"/>
      <c r="AH27" s="183"/>
      <c r="AI27" s="183"/>
      <c r="BG27" s="183"/>
      <c r="BH27" s="183"/>
      <c r="BI27" s="183"/>
      <c r="BJ27" s="183"/>
      <c r="BK27" s="183"/>
      <c r="BL27" s="183"/>
      <c r="BM27" s="183"/>
      <c r="BN27" s="183"/>
      <c r="BO27" s="183"/>
      <c r="BP27" s="183"/>
      <c r="BQ27" s="183"/>
    </row>
    <row r="28" spans="1:69" x14ac:dyDescent="0.3">
      <c r="A28" s="622" t="s">
        <v>268</v>
      </c>
      <c r="B28" s="661" t="s">
        <v>920</v>
      </c>
      <c r="C28" s="624" t="s">
        <v>802</v>
      </c>
      <c r="D28" s="621">
        <f>Working!D28</f>
        <v>0</v>
      </c>
      <c r="E28" s="621">
        <f>Working!E28</f>
        <v>0</v>
      </c>
      <c r="F28" s="621">
        <f>Working!F28</f>
        <v>1502.05</v>
      </c>
      <c r="G28" s="621">
        <f>Working!G28</f>
        <v>270.36899999999997</v>
      </c>
      <c r="H28" s="621">
        <f>Working!H28</f>
        <v>1772.4189999999999</v>
      </c>
      <c r="J28" s="183"/>
      <c r="K28" s="183"/>
      <c r="L28" s="183"/>
      <c r="M28" s="183"/>
      <c r="N28" s="183"/>
      <c r="O28" s="183"/>
      <c r="P28" s="183"/>
      <c r="Q28" s="183"/>
      <c r="R28" s="183"/>
      <c r="S28" s="183"/>
      <c r="T28" s="183"/>
      <c r="U28" s="183"/>
      <c r="V28" s="183"/>
      <c r="W28" s="183"/>
      <c r="X28" s="183"/>
      <c r="Y28" s="183"/>
      <c r="Z28" s="183"/>
      <c r="AA28" s="183"/>
      <c r="AB28" s="183"/>
      <c r="AC28" s="183"/>
      <c r="AD28" s="183"/>
      <c r="AE28" s="183"/>
      <c r="AF28" s="183"/>
      <c r="AG28" s="183"/>
      <c r="AH28" s="183"/>
      <c r="AI28" s="183"/>
      <c r="BG28" s="183"/>
      <c r="BH28" s="183"/>
      <c r="BI28" s="183"/>
      <c r="BJ28" s="183"/>
      <c r="BK28" s="183"/>
      <c r="BL28" s="183"/>
      <c r="BM28" s="183"/>
      <c r="BN28" s="183"/>
      <c r="BO28" s="183"/>
      <c r="BP28" s="183"/>
      <c r="BQ28" s="183"/>
    </row>
    <row r="29" spans="1:69" x14ac:dyDescent="0.3">
      <c r="A29" s="622" t="s">
        <v>272</v>
      </c>
      <c r="B29" s="661" t="s">
        <v>432</v>
      </c>
      <c r="C29" s="624" t="s">
        <v>802</v>
      </c>
      <c r="D29" s="621">
        <f>Working!D29</f>
        <v>0</v>
      </c>
      <c r="E29" s="621">
        <f>Working!E29</f>
        <v>0</v>
      </c>
      <c r="F29" s="621">
        <f>Working!F29</f>
        <v>73.5</v>
      </c>
      <c r="G29" s="621">
        <f>Working!G29</f>
        <v>13.229999999999999</v>
      </c>
      <c r="H29" s="621">
        <f>Working!H29</f>
        <v>86.73</v>
      </c>
      <c r="J29" s="183"/>
      <c r="K29" s="183"/>
      <c r="L29" s="183"/>
      <c r="M29" s="183"/>
      <c r="N29" s="183"/>
      <c r="O29" s="183"/>
      <c r="P29" s="183"/>
      <c r="Q29" s="183"/>
      <c r="R29" s="183"/>
      <c r="S29" s="183"/>
      <c r="T29" s="183"/>
      <c r="U29" s="183"/>
      <c r="V29" s="183"/>
      <c r="W29" s="183"/>
      <c r="X29" s="183"/>
      <c r="Y29" s="183"/>
      <c r="Z29" s="183"/>
      <c r="AA29" s="183"/>
      <c r="AB29" s="183"/>
      <c r="AC29" s="183"/>
      <c r="AD29" s="183"/>
      <c r="AE29" s="183"/>
      <c r="AF29" s="183"/>
      <c r="AG29" s="183"/>
      <c r="AH29" s="183"/>
      <c r="AI29" s="183"/>
      <c r="BG29" s="183"/>
      <c r="BH29" s="183"/>
      <c r="BI29" s="183"/>
      <c r="BJ29" s="183"/>
      <c r="BK29" s="183"/>
      <c r="BL29" s="183"/>
      <c r="BM29" s="183"/>
      <c r="BN29" s="183"/>
      <c r="BO29" s="183"/>
      <c r="BP29" s="183"/>
      <c r="BQ29" s="183"/>
    </row>
    <row r="30" spans="1:69" x14ac:dyDescent="0.3">
      <c r="A30" s="492"/>
      <c r="B30" s="488" t="s">
        <v>831</v>
      </c>
      <c r="C30" s="625" t="s">
        <v>802</v>
      </c>
      <c r="D30" s="187"/>
      <c r="E30" s="626"/>
      <c r="F30" s="627">
        <f>SUM(F28:F29)</f>
        <v>1575.55</v>
      </c>
      <c r="G30" s="627">
        <f>SUM(G28:G29)</f>
        <v>283.59899999999999</v>
      </c>
      <c r="H30" s="627">
        <f>SUM(H28:H29)</f>
        <v>1859.1489999999999</v>
      </c>
      <c r="J30" s="183"/>
      <c r="K30" s="183"/>
      <c r="L30" s="183"/>
      <c r="M30" s="183"/>
      <c r="N30" s="183"/>
      <c r="O30" s="183"/>
      <c r="P30" s="183"/>
      <c r="Q30" s="183"/>
      <c r="R30" s="183"/>
      <c r="S30" s="183"/>
      <c r="T30" s="183"/>
      <c r="U30" s="183"/>
      <c r="V30" s="183"/>
      <c r="W30" s="183"/>
      <c r="X30" s="183"/>
      <c r="Y30" s="183"/>
      <c r="Z30" s="183"/>
      <c r="AA30" s="183"/>
      <c r="AB30" s="183"/>
      <c r="AC30" s="183"/>
      <c r="AD30" s="183"/>
      <c r="AE30" s="183"/>
      <c r="AF30" s="183"/>
      <c r="AG30" s="183"/>
      <c r="AH30" s="183"/>
      <c r="AI30" s="183"/>
      <c r="BG30" s="183"/>
      <c r="BH30" s="183"/>
      <c r="BI30" s="183"/>
      <c r="BJ30" s="183"/>
      <c r="BK30" s="183"/>
      <c r="BL30" s="183"/>
      <c r="BM30" s="183"/>
      <c r="BN30" s="183"/>
      <c r="BO30" s="183"/>
      <c r="BP30" s="183"/>
      <c r="BQ30" s="183"/>
    </row>
    <row r="31" spans="1:69" x14ac:dyDescent="0.3">
      <c r="A31" s="628" t="s">
        <v>797</v>
      </c>
      <c r="B31" s="629" t="s">
        <v>845</v>
      </c>
      <c r="C31" s="630"/>
      <c r="D31" s="631"/>
      <c r="E31" s="632"/>
      <c r="F31" s="633"/>
      <c r="G31" s="633"/>
      <c r="H31" s="633"/>
      <c r="J31" s="183"/>
      <c r="K31" s="183"/>
      <c r="L31" s="183"/>
      <c r="M31" s="183"/>
      <c r="N31" s="183"/>
      <c r="O31" s="183"/>
      <c r="P31" s="183"/>
      <c r="Q31" s="183"/>
      <c r="R31" s="183"/>
      <c r="S31" s="183"/>
      <c r="T31" s="183"/>
      <c r="U31" s="183"/>
      <c r="V31" s="183"/>
      <c r="W31" s="183"/>
      <c r="X31" s="183"/>
      <c r="Y31" s="183"/>
      <c r="Z31" s="183"/>
      <c r="AA31" s="183"/>
      <c r="AB31" s="183"/>
      <c r="AC31" s="183"/>
      <c r="AD31" s="183"/>
      <c r="AE31" s="183"/>
      <c r="AF31" s="183"/>
      <c r="AG31" s="183"/>
      <c r="AH31" s="183"/>
      <c r="AI31" s="183"/>
      <c r="BG31" s="183"/>
      <c r="BH31" s="183"/>
      <c r="BI31" s="183"/>
      <c r="BJ31" s="183"/>
      <c r="BK31" s="183"/>
      <c r="BL31" s="183"/>
      <c r="BM31" s="183"/>
      <c r="BN31" s="183"/>
      <c r="BO31" s="183"/>
      <c r="BP31" s="183"/>
      <c r="BQ31" s="183"/>
    </row>
    <row r="32" spans="1:69" x14ac:dyDescent="0.3">
      <c r="A32" s="762" t="s">
        <v>268</v>
      </c>
      <c r="B32" s="623" t="s">
        <v>956</v>
      </c>
      <c r="C32" s="624" t="s">
        <v>802</v>
      </c>
      <c r="D32" s="621">
        <f>Working!D32</f>
        <v>0</v>
      </c>
      <c r="E32" s="621">
        <f>Working!E32</f>
        <v>0</v>
      </c>
      <c r="F32" s="621">
        <f>Working!F32</f>
        <v>9449.587382920934</v>
      </c>
      <c r="G32" s="621">
        <f>Working!G32</f>
        <v>1304.0430588430891</v>
      </c>
      <c r="H32" s="621">
        <f>Working!H32</f>
        <v>10753.630441764024</v>
      </c>
      <c r="J32" s="183"/>
      <c r="K32" s="183"/>
      <c r="L32" s="183"/>
      <c r="M32" s="183"/>
      <c r="N32" s="183"/>
      <c r="O32" s="183"/>
      <c r="P32" s="183"/>
      <c r="Q32" s="183"/>
      <c r="R32" s="183"/>
      <c r="S32" s="183"/>
      <c r="T32" s="183"/>
      <c r="U32" s="183"/>
      <c r="V32" s="183"/>
      <c r="W32" s="183"/>
      <c r="X32" s="183"/>
      <c r="Y32" s="183"/>
      <c r="Z32" s="183"/>
      <c r="AA32" s="183"/>
      <c r="AB32" s="183"/>
      <c r="AC32" s="183"/>
      <c r="AD32" s="183"/>
      <c r="AE32" s="183"/>
      <c r="AF32" s="183"/>
      <c r="AG32" s="183"/>
      <c r="AH32" s="183"/>
      <c r="AI32" s="183"/>
      <c r="BG32" s="183"/>
      <c r="BH32" s="183"/>
      <c r="BI32" s="183"/>
      <c r="BJ32" s="183"/>
      <c r="BK32" s="183"/>
      <c r="BL32" s="183"/>
      <c r="BM32" s="183"/>
      <c r="BN32" s="183"/>
      <c r="BO32" s="183"/>
      <c r="BP32" s="183"/>
      <c r="BQ32" s="183"/>
    </row>
    <row r="33" spans="1:69" x14ac:dyDescent="0.3">
      <c r="A33" s="762" t="s">
        <v>270</v>
      </c>
      <c r="B33" s="623" t="s">
        <v>955</v>
      </c>
      <c r="C33" s="624" t="s">
        <v>802</v>
      </c>
      <c r="D33" s="621">
        <f>Working!D33</f>
        <v>0</v>
      </c>
      <c r="E33" s="621">
        <f>Working!E33</f>
        <v>0</v>
      </c>
      <c r="F33" s="621">
        <f>Working!F33</f>
        <v>327.33118541811132</v>
      </c>
      <c r="G33" s="621">
        <f>Working!G33</f>
        <v>58.919613375260035</v>
      </c>
      <c r="H33" s="621">
        <f>Working!H33</f>
        <v>386.25079879337136</v>
      </c>
      <c r="J33" s="183"/>
      <c r="K33" s="183"/>
      <c r="L33" s="183"/>
      <c r="M33" s="183"/>
      <c r="N33" s="183"/>
      <c r="O33" s="183"/>
      <c r="P33" s="183"/>
      <c r="Q33" s="183"/>
      <c r="R33" s="183"/>
      <c r="S33" s="183"/>
      <c r="T33" s="183"/>
      <c r="U33" s="183"/>
      <c r="V33" s="183"/>
      <c r="W33" s="183"/>
      <c r="X33" s="183"/>
      <c r="Y33" s="183"/>
      <c r="Z33" s="183"/>
      <c r="AA33" s="183"/>
      <c r="AB33" s="183"/>
      <c r="AC33" s="183"/>
      <c r="AD33" s="183"/>
      <c r="AE33" s="183"/>
      <c r="AF33" s="183"/>
      <c r="AG33" s="183"/>
      <c r="AH33" s="183"/>
      <c r="AI33" s="183"/>
      <c r="BG33" s="183"/>
      <c r="BH33" s="183"/>
      <c r="BI33" s="183"/>
      <c r="BJ33" s="183"/>
      <c r="BK33" s="183"/>
      <c r="BL33" s="183"/>
      <c r="BM33" s="183"/>
      <c r="BN33" s="183"/>
      <c r="BO33" s="183"/>
      <c r="BP33" s="183"/>
      <c r="BQ33" s="183"/>
    </row>
    <row r="34" spans="1:69" x14ac:dyDescent="0.3">
      <c r="A34" s="1087" t="s">
        <v>272</v>
      </c>
      <c r="B34" s="1087" t="s">
        <v>549</v>
      </c>
      <c r="C34" s="1087" t="s">
        <v>802</v>
      </c>
      <c r="D34" s="621">
        <f>Working!D34</f>
        <v>0</v>
      </c>
      <c r="E34" s="621">
        <f>Working!E34</f>
        <v>0</v>
      </c>
      <c r="F34" s="621">
        <f>Working!F34</f>
        <v>208.23999999999995</v>
      </c>
      <c r="G34" s="621">
        <f>Working!G34</f>
        <v>37.483199999999989</v>
      </c>
      <c r="H34" s="621">
        <f>Working!H34</f>
        <v>245.72319999999993</v>
      </c>
      <c r="J34" s="183"/>
      <c r="K34" s="183"/>
      <c r="L34" s="183"/>
      <c r="M34" s="183"/>
      <c r="N34" s="183"/>
      <c r="O34" s="183"/>
      <c r="P34" s="183"/>
      <c r="Q34" s="183"/>
      <c r="R34" s="183"/>
      <c r="S34" s="183"/>
      <c r="T34" s="183"/>
      <c r="U34" s="183"/>
      <c r="V34" s="183"/>
      <c r="W34" s="183"/>
      <c r="X34" s="183"/>
      <c r="Y34" s="183"/>
      <c r="Z34" s="183"/>
      <c r="AA34" s="183"/>
      <c r="AB34" s="183"/>
      <c r="AC34" s="183"/>
      <c r="AD34" s="183"/>
      <c r="AE34" s="183"/>
      <c r="AF34" s="183"/>
      <c r="AG34" s="183"/>
      <c r="AH34" s="183"/>
      <c r="AI34" s="183"/>
      <c r="BG34" s="183"/>
      <c r="BH34" s="183"/>
      <c r="BI34" s="183"/>
      <c r="BJ34" s="183"/>
      <c r="BK34" s="183"/>
      <c r="BL34" s="183"/>
      <c r="BM34" s="183"/>
      <c r="BN34" s="183"/>
      <c r="BO34" s="183"/>
      <c r="BP34" s="183"/>
      <c r="BQ34" s="183"/>
    </row>
    <row r="35" spans="1:69" x14ac:dyDescent="0.3">
      <c r="A35" s="492"/>
      <c r="B35" s="488" t="s">
        <v>845</v>
      </c>
      <c r="C35" s="625" t="s">
        <v>802</v>
      </c>
      <c r="D35" s="187"/>
      <c r="E35" s="626"/>
      <c r="F35" s="627">
        <f>SUM(F32:F34)</f>
        <v>9985.1585683390458</v>
      </c>
      <c r="G35" s="627">
        <f t="shared" ref="G35:H35" si="7">SUM(G32:G34)</f>
        <v>1400.445872218349</v>
      </c>
      <c r="H35" s="627">
        <f t="shared" si="7"/>
        <v>11385.604440557396</v>
      </c>
      <c r="J35" s="183"/>
      <c r="K35" s="183"/>
      <c r="L35" s="183"/>
      <c r="M35" s="183"/>
      <c r="N35" s="183"/>
      <c r="O35" s="183"/>
      <c r="P35" s="183"/>
      <c r="Q35" s="183"/>
      <c r="R35" s="183"/>
      <c r="S35" s="183"/>
      <c r="T35" s="183"/>
      <c r="U35" s="183"/>
      <c r="V35" s="183"/>
      <c r="W35" s="183"/>
      <c r="X35" s="183"/>
      <c r="Y35" s="183"/>
      <c r="Z35" s="183"/>
      <c r="AA35" s="183"/>
      <c r="AB35" s="183"/>
      <c r="AC35" s="183"/>
      <c r="AD35" s="183"/>
      <c r="AE35" s="183"/>
      <c r="AF35" s="183"/>
      <c r="AG35" s="183"/>
      <c r="AH35" s="183"/>
      <c r="AI35" s="183"/>
      <c r="BG35" s="183"/>
      <c r="BH35" s="183"/>
      <c r="BI35" s="183"/>
      <c r="BJ35" s="183"/>
      <c r="BK35" s="183"/>
      <c r="BL35" s="183"/>
      <c r="BM35" s="183"/>
      <c r="BN35" s="183"/>
      <c r="BO35" s="183"/>
      <c r="BP35" s="183"/>
      <c r="BQ35" s="183"/>
    </row>
    <row r="36" spans="1:69" x14ac:dyDescent="0.3">
      <c r="A36" s="771"/>
      <c r="B36" s="553"/>
      <c r="C36" s="554"/>
      <c r="D36" s="557"/>
      <c r="E36" s="556"/>
      <c r="F36" s="555"/>
      <c r="G36" s="555">
        <f>G21+G26+G30+G35</f>
        <v>15170.370960530752</v>
      </c>
      <c r="H36" s="555">
        <f>H21+H26+H30+H35</f>
        <v>121643.88427354724</v>
      </c>
      <c r="J36" s="183"/>
      <c r="K36" s="183"/>
      <c r="L36" s="183"/>
      <c r="M36" s="183"/>
      <c r="N36" s="183"/>
      <c r="O36" s="183"/>
      <c r="P36" s="183"/>
      <c r="Q36" s="183"/>
      <c r="R36" s="183"/>
      <c r="S36" s="183"/>
      <c r="T36" s="183"/>
      <c r="U36" s="183"/>
      <c r="V36" s="183"/>
      <c r="W36" s="183"/>
      <c r="X36" s="183"/>
      <c r="Y36" s="183"/>
      <c r="Z36" s="183"/>
      <c r="AA36" s="183"/>
      <c r="AB36" s="183"/>
      <c r="AC36" s="183"/>
      <c r="AD36" s="183"/>
      <c r="AE36" s="183"/>
      <c r="AF36" s="183"/>
      <c r="AG36" s="183"/>
      <c r="AH36" s="183"/>
      <c r="AI36" s="183"/>
      <c r="BG36" s="183"/>
      <c r="BH36" s="183"/>
      <c r="BI36" s="183"/>
      <c r="BJ36" s="183"/>
      <c r="BK36" s="183"/>
      <c r="BL36" s="183"/>
      <c r="BM36" s="183"/>
      <c r="BN36" s="183"/>
      <c r="BO36" s="183"/>
      <c r="BP36" s="183"/>
      <c r="BQ36" s="183"/>
    </row>
    <row r="37" spans="1:69" x14ac:dyDescent="0.3">
      <c r="A37" s="762"/>
      <c r="B37" s="623" t="s">
        <v>963</v>
      </c>
      <c r="C37" s="624" t="s">
        <v>802</v>
      </c>
      <c r="D37" s="621"/>
      <c r="E37" s="621"/>
      <c r="F37" s="621"/>
      <c r="G37" s="621"/>
      <c r="H37" s="621">
        <f ca="1">Working!H37</f>
        <v>2612.3189689629462</v>
      </c>
      <c r="J37" s="183"/>
      <c r="K37" s="183"/>
      <c r="L37" s="183"/>
      <c r="M37" s="183"/>
      <c r="N37" s="183"/>
      <c r="O37" s="183"/>
      <c r="P37" s="183"/>
      <c r="Q37" s="183"/>
      <c r="R37" s="183"/>
      <c r="S37" s="183"/>
      <c r="T37" s="183"/>
      <c r="U37" s="183"/>
      <c r="V37" s="183"/>
      <c r="W37" s="183"/>
      <c r="X37" s="183"/>
      <c r="Y37" s="183"/>
      <c r="Z37" s="183"/>
      <c r="AA37" s="183"/>
      <c r="AB37" s="183"/>
      <c r="AC37" s="183"/>
      <c r="AD37" s="183"/>
      <c r="AE37" s="183"/>
      <c r="AF37" s="183"/>
      <c r="AG37" s="183"/>
      <c r="AH37" s="183"/>
      <c r="AI37" s="183"/>
      <c r="BG37" s="183"/>
      <c r="BH37" s="183"/>
      <c r="BI37" s="183"/>
      <c r="BJ37" s="183"/>
      <c r="BK37" s="183"/>
      <c r="BL37" s="183"/>
      <c r="BM37" s="183"/>
      <c r="BN37" s="183"/>
      <c r="BO37" s="183"/>
      <c r="BP37" s="183"/>
      <c r="BQ37" s="183"/>
    </row>
    <row r="38" spans="1:69" x14ac:dyDescent="0.3">
      <c r="A38" s="492"/>
      <c r="B38" s="488" t="s">
        <v>811</v>
      </c>
      <c r="C38" s="625" t="s">
        <v>802</v>
      </c>
      <c r="D38" s="187"/>
      <c r="E38" s="626"/>
      <c r="F38" s="627">
        <f>F36+F37</f>
        <v>0</v>
      </c>
      <c r="G38" s="627">
        <f>G36+G37</f>
        <v>15170.370960530752</v>
      </c>
      <c r="H38" s="627">
        <f ca="1">H36+H37</f>
        <v>124256.20324251019</v>
      </c>
      <c r="J38" s="183"/>
      <c r="K38" s="183"/>
      <c r="L38" s="183"/>
      <c r="M38" s="183"/>
      <c r="N38" s="183"/>
      <c r="O38" s="183"/>
      <c r="P38" s="183"/>
      <c r="Q38" s="183"/>
      <c r="R38" s="183"/>
      <c r="S38" s="183"/>
      <c r="T38" s="183"/>
      <c r="U38" s="183"/>
      <c r="V38" s="183"/>
      <c r="W38" s="183"/>
      <c r="X38" s="183"/>
      <c r="Y38" s="183"/>
      <c r="Z38" s="183"/>
      <c r="AA38" s="183"/>
      <c r="AB38" s="183"/>
      <c r="AC38" s="183"/>
      <c r="AD38" s="183"/>
      <c r="AE38" s="183"/>
      <c r="AF38" s="183"/>
      <c r="AG38" s="183"/>
      <c r="AH38" s="183"/>
      <c r="AI38" s="183"/>
      <c r="BG38" s="183"/>
      <c r="BH38" s="183"/>
      <c r="BI38" s="183"/>
      <c r="BJ38" s="183"/>
      <c r="BK38" s="183"/>
      <c r="BL38" s="183"/>
      <c r="BM38" s="183"/>
      <c r="BN38" s="183"/>
      <c r="BO38" s="183"/>
      <c r="BP38" s="183"/>
      <c r="BQ38" s="183"/>
    </row>
    <row r="39" spans="1:69" x14ac:dyDescent="0.3">
      <c r="A39" s="640"/>
      <c r="B39" s="641" t="s">
        <v>836</v>
      </c>
      <c r="C39" s="636"/>
      <c r="D39" s="637"/>
      <c r="E39" s="638"/>
      <c r="F39" s="639"/>
      <c r="G39" s="639"/>
      <c r="H39" s="639"/>
      <c r="J39" s="183"/>
      <c r="K39" s="183"/>
      <c r="L39" s="183"/>
      <c r="M39" s="183"/>
      <c r="N39" s="183"/>
      <c r="O39" s="183"/>
      <c r="P39" s="183"/>
      <c r="Q39" s="183"/>
      <c r="R39" s="183"/>
      <c r="S39" s="183"/>
      <c r="T39" s="183"/>
      <c r="U39" s="183"/>
      <c r="V39" s="183"/>
      <c r="W39" s="183"/>
      <c r="X39" s="183"/>
      <c r="Y39" s="183"/>
      <c r="Z39" s="183"/>
      <c r="AA39" s="183"/>
      <c r="AB39" s="183"/>
      <c r="AC39" s="183"/>
      <c r="AD39" s="183"/>
      <c r="AE39" s="183"/>
      <c r="AF39" s="183"/>
      <c r="AG39" s="183"/>
      <c r="AH39" s="183"/>
      <c r="AI39" s="183"/>
      <c r="BG39" s="183"/>
      <c r="BH39" s="183"/>
      <c r="BI39" s="183"/>
      <c r="BJ39" s="183"/>
      <c r="BK39" s="183"/>
      <c r="BL39" s="183"/>
      <c r="BM39" s="183"/>
      <c r="BN39" s="183"/>
      <c r="BO39" s="183"/>
      <c r="BP39" s="183"/>
      <c r="BQ39" s="183"/>
    </row>
    <row r="40" spans="1:69" x14ac:dyDescent="0.3">
      <c r="A40" s="694">
        <v>1</v>
      </c>
      <c r="B40" s="695" t="s">
        <v>1046</v>
      </c>
      <c r="C40" s="696" t="s">
        <v>11</v>
      </c>
      <c r="D40" s="697"/>
      <c r="E40" s="698"/>
      <c r="F40" s="699">
        <f>Working!F40</f>
        <v>949.12804744677442</v>
      </c>
      <c r="G40" s="699">
        <f>Working!G40</f>
        <v>134.86326088312401</v>
      </c>
      <c r="H40" s="699">
        <f>Working!H40</f>
        <v>1083.9913083298984</v>
      </c>
      <c r="I40" s="216"/>
      <c r="J40" s="183"/>
      <c r="K40" s="183"/>
      <c r="L40" s="183"/>
      <c r="M40" s="183"/>
      <c r="N40" s="183"/>
      <c r="O40" s="183"/>
      <c r="P40" s="183"/>
      <c r="Q40" s="183"/>
      <c r="R40" s="183"/>
      <c r="S40" s="183"/>
      <c r="T40" s="183"/>
      <c r="U40" s="183"/>
      <c r="V40" s="183"/>
      <c r="W40" s="183"/>
      <c r="X40" s="183"/>
      <c r="Y40" s="183"/>
      <c r="Z40" s="183"/>
      <c r="AA40" s="183"/>
      <c r="AB40" s="183"/>
      <c r="AC40" s="183"/>
      <c r="AD40" s="183"/>
      <c r="AE40" s="183"/>
      <c r="AF40" s="183"/>
      <c r="AG40" s="183"/>
      <c r="AH40" s="183"/>
      <c r="AI40" s="183"/>
      <c r="BG40" s="183"/>
      <c r="BH40" s="183"/>
      <c r="BI40" s="183"/>
      <c r="BJ40" s="183"/>
      <c r="BK40" s="183"/>
      <c r="BL40" s="183"/>
      <c r="BM40" s="183"/>
      <c r="BN40" s="183"/>
      <c r="BO40" s="183"/>
      <c r="BP40" s="183"/>
      <c r="BQ40" s="183"/>
    </row>
    <row r="41" spans="1:69" x14ac:dyDescent="0.3">
      <c r="A41" s="694">
        <v>2</v>
      </c>
      <c r="B41" s="695" t="s">
        <v>831</v>
      </c>
      <c r="C41" s="696" t="s">
        <v>11</v>
      </c>
      <c r="D41" s="697"/>
      <c r="E41" s="698"/>
      <c r="F41" s="699">
        <f>Working!F41</f>
        <v>15.7555</v>
      </c>
      <c r="G41" s="699">
        <f>Working!G41</f>
        <v>2.8359899999999998</v>
      </c>
      <c r="H41" s="699">
        <f>Working!H41</f>
        <v>18.59149</v>
      </c>
      <c r="J41" s="183"/>
      <c r="K41" s="183"/>
      <c r="L41" s="183"/>
      <c r="M41" s="183"/>
      <c r="N41" s="183"/>
      <c r="O41" s="183"/>
      <c r="P41" s="183"/>
      <c r="Q41" s="183"/>
      <c r="R41" s="183"/>
      <c r="S41" s="183"/>
      <c r="T41" s="183"/>
      <c r="U41" s="183"/>
      <c r="V41" s="183"/>
      <c r="W41" s="183"/>
      <c r="X41" s="183"/>
      <c r="Y41" s="183"/>
      <c r="Z41" s="183"/>
      <c r="AA41" s="183"/>
      <c r="AB41" s="183"/>
      <c r="AC41" s="183"/>
      <c r="AD41" s="183"/>
      <c r="AE41" s="183"/>
      <c r="AF41" s="183"/>
      <c r="AG41" s="183"/>
      <c r="AH41" s="183"/>
      <c r="AI41" s="183"/>
      <c r="BG41" s="183"/>
      <c r="BH41" s="183"/>
      <c r="BI41" s="183"/>
      <c r="BJ41" s="183"/>
      <c r="BK41" s="183"/>
      <c r="BL41" s="183"/>
      <c r="BM41" s="183"/>
      <c r="BN41" s="183"/>
      <c r="BO41" s="183"/>
      <c r="BP41" s="183"/>
      <c r="BQ41" s="183"/>
    </row>
    <row r="42" spans="1:69" x14ac:dyDescent="0.3">
      <c r="A42" s="694">
        <v>3</v>
      </c>
      <c r="B42" s="695" t="s">
        <v>845</v>
      </c>
      <c r="C42" s="696" t="s">
        <v>11</v>
      </c>
      <c r="D42" s="697"/>
      <c r="E42" s="698"/>
      <c r="F42" s="699">
        <f>Working!F42</f>
        <v>99.851585683390454</v>
      </c>
      <c r="G42" s="699">
        <f>Working!G42</f>
        <v>14.00445872218349</v>
      </c>
      <c r="H42" s="699">
        <f>Working!H42</f>
        <v>113.85604440557395</v>
      </c>
      <c r="J42" s="183"/>
      <c r="K42" s="183"/>
      <c r="L42" s="183"/>
      <c r="M42" s="183"/>
      <c r="N42" s="183"/>
      <c r="O42" s="183"/>
      <c r="P42" s="183"/>
      <c r="Q42" s="183"/>
      <c r="R42" s="183"/>
      <c r="S42" s="183"/>
      <c r="T42" s="183"/>
      <c r="U42" s="183"/>
      <c r="V42" s="183"/>
      <c r="W42" s="183"/>
      <c r="X42" s="183"/>
      <c r="Y42" s="183"/>
      <c r="Z42" s="183"/>
      <c r="AA42" s="183"/>
      <c r="AB42" s="183"/>
      <c r="AC42" s="183"/>
      <c r="AD42" s="183"/>
      <c r="AE42" s="183"/>
      <c r="AF42" s="183"/>
      <c r="AG42" s="183"/>
      <c r="AH42" s="183"/>
      <c r="AI42" s="183"/>
      <c r="BG42" s="183"/>
      <c r="BH42" s="183"/>
      <c r="BI42" s="183"/>
      <c r="BJ42" s="183"/>
      <c r="BK42" s="183"/>
      <c r="BL42" s="183"/>
      <c r="BM42" s="183"/>
      <c r="BN42" s="183"/>
      <c r="BO42" s="183"/>
      <c r="BP42" s="183"/>
      <c r="BQ42" s="183"/>
    </row>
    <row r="43" spans="1:69" x14ac:dyDescent="0.3">
      <c r="A43" s="266"/>
      <c r="B43" s="266" t="s">
        <v>484</v>
      </c>
      <c r="C43" s="489" t="s">
        <v>11</v>
      </c>
      <c r="D43" s="379"/>
      <c r="E43" s="379"/>
      <c r="F43" s="490">
        <f>F42+F41+F40</f>
        <v>1064.735133130165</v>
      </c>
      <c r="G43" s="490">
        <f>G42+G41+G40</f>
        <v>151.70370960530749</v>
      </c>
      <c r="H43" s="490">
        <f>H42+H41+H40</f>
        <v>1216.4388427354725</v>
      </c>
      <c r="J43" s="183"/>
      <c r="K43" s="183"/>
      <c r="L43" s="183"/>
      <c r="M43" s="183"/>
      <c r="N43" s="183"/>
      <c r="O43" s="183"/>
      <c r="P43" s="183"/>
      <c r="Q43" s="183"/>
      <c r="R43" s="183"/>
      <c r="S43" s="183"/>
      <c r="T43" s="183"/>
      <c r="U43" s="183"/>
      <c r="V43" s="183"/>
      <c r="W43" s="183"/>
      <c r="X43" s="183"/>
      <c r="Y43" s="183"/>
      <c r="Z43" s="183"/>
      <c r="AA43" s="183"/>
      <c r="AB43" s="183"/>
      <c r="AC43" s="183"/>
      <c r="AD43" s="183"/>
      <c r="AE43" s="183"/>
      <c r="AF43" s="183"/>
      <c r="AG43" s="183"/>
      <c r="AH43" s="183"/>
      <c r="AI43" s="183"/>
      <c r="BG43" s="183"/>
      <c r="BH43" s="183"/>
      <c r="BI43" s="183"/>
      <c r="BJ43" s="183"/>
      <c r="BK43" s="183"/>
      <c r="BL43" s="183"/>
      <c r="BM43" s="183"/>
      <c r="BN43" s="183"/>
      <c r="BO43" s="183"/>
      <c r="BP43" s="183"/>
      <c r="BQ43" s="183"/>
    </row>
    <row r="44" spans="1:69" x14ac:dyDescent="0.3">
      <c r="A44" s="266"/>
      <c r="B44" s="266" t="s">
        <v>958</v>
      </c>
      <c r="C44" s="489" t="s">
        <v>11</v>
      </c>
      <c r="D44" s="379"/>
      <c r="E44" s="379"/>
      <c r="F44" s="490"/>
      <c r="G44" s="490"/>
      <c r="H44" s="490">
        <f ca="1">Working!H44</f>
        <v>26.123189689629463</v>
      </c>
      <c r="J44" s="183"/>
      <c r="K44" s="183"/>
      <c r="L44" s="183"/>
      <c r="M44" s="183"/>
      <c r="N44" s="183"/>
      <c r="O44" s="183"/>
      <c r="P44" s="183"/>
      <c r="Q44" s="183"/>
      <c r="R44" s="183"/>
      <c r="S44" s="183"/>
      <c r="T44" s="183"/>
      <c r="U44" s="183"/>
      <c r="V44" s="183"/>
      <c r="W44" s="183"/>
      <c r="X44" s="183"/>
      <c r="Y44" s="183"/>
      <c r="Z44" s="183"/>
      <c r="AA44" s="183"/>
      <c r="AB44" s="183"/>
      <c r="AC44" s="183"/>
      <c r="AD44" s="183"/>
      <c r="AE44" s="183"/>
      <c r="AF44" s="183"/>
      <c r="AG44" s="183"/>
      <c r="AH44" s="183"/>
      <c r="AI44" s="183"/>
      <c r="BG44" s="183"/>
      <c r="BH44" s="183"/>
      <c r="BI44" s="183"/>
      <c r="BJ44" s="183"/>
      <c r="BK44" s="183"/>
      <c r="BL44" s="183"/>
      <c r="BM44" s="183"/>
      <c r="BN44" s="183"/>
      <c r="BO44" s="183"/>
      <c r="BP44" s="183"/>
      <c r="BQ44" s="183"/>
    </row>
    <row r="45" spans="1:69" x14ac:dyDescent="0.3">
      <c r="A45" s="266"/>
      <c r="B45" s="266" t="s">
        <v>959</v>
      </c>
      <c r="C45" s="489" t="s">
        <v>11</v>
      </c>
      <c r="D45" s="379"/>
      <c r="E45" s="379"/>
      <c r="F45" s="490"/>
      <c r="G45" s="490"/>
      <c r="H45" s="490">
        <f ca="1">SUM(H43:H44)</f>
        <v>1242.562032425102</v>
      </c>
      <c r="J45" s="183"/>
      <c r="K45" s="183"/>
      <c r="L45" s="183"/>
      <c r="M45" s="183"/>
      <c r="N45" s="183"/>
      <c r="O45" s="183"/>
      <c r="P45" s="183"/>
      <c r="Q45" s="183"/>
      <c r="R45" s="183"/>
      <c r="S45" s="183"/>
      <c r="T45" s="183"/>
      <c r="U45" s="183"/>
      <c r="V45" s="183"/>
      <c r="W45" s="183"/>
      <c r="X45" s="183"/>
      <c r="Y45" s="183"/>
      <c r="Z45" s="183"/>
      <c r="AA45" s="183"/>
      <c r="AB45" s="183"/>
      <c r="AC45" s="183"/>
      <c r="AD45" s="183"/>
      <c r="AE45" s="183"/>
      <c r="AF45" s="183"/>
      <c r="AG45" s="183"/>
      <c r="AH45" s="183"/>
      <c r="AI45" s="183"/>
      <c r="BG45" s="183"/>
      <c r="BH45" s="183"/>
      <c r="BI45" s="183"/>
      <c r="BJ45" s="183"/>
      <c r="BK45" s="183"/>
      <c r="BL45" s="183"/>
      <c r="BM45" s="183"/>
      <c r="BN45" s="183"/>
      <c r="BO45" s="183"/>
      <c r="BP45" s="183"/>
      <c r="BQ45" s="183"/>
    </row>
    <row r="46" spans="1:69" x14ac:dyDescent="0.3">
      <c r="B46" s="80"/>
      <c r="C46" s="80"/>
      <c r="I46" s="409"/>
      <c r="J46" s="183"/>
      <c r="K46" s="183"/>
      <c r="L46" s="183"/>
      <c r="M46" s="183"/>
      <c r="N46" s="183"/>
      <c r="O46" s="183"/>
      <c r="P46" s="183"/>
      <c r="Q46" s="183"/>
      <c r="R46" s="183"/>
      <c r="S46" s="183"/>
      <c r="T46" s="183"/>
      <c r="U46" s="183"/>
      <c r="V46" s="183"/>
      <c r="W46" s="183"/>
      <c r="X46" s="183"/>
      <c r="Y46" s="183"/>
      <c r="Z46" s="183"/>
      <c r="AA46" s="183"/>
      <c r="AB46" s="183"/>
      <c r="AC46" s="183"/>
      <c r="AD46" s="183"/>
      <c r="AE46" s="183"/>
      <c r="AF46" s="183"/>
      <c r="AG46" s="183"/>
      <c r="AH46" s="183"/>
      <c r="AI46" s="183"/>
      <c r="BG46" s="183"/>
      <c r="BH46" s="183"/>
      <c r="BI46" s="183"/>
      <c r="BJ46" s="183"/>
      <c r="BK46" s="183"/>
      <c r="BL46" s="183"/>
      <c r="BM46" s="183"/>
      <c r="BN46" s="183"/>
      <c r="BO46" s="183"/>
      <c r="BP46" s="183"/>
      <c r="BQ46" s="183"/>
    </row>
    <row r="47" spans="1:69" x14ac:dyDescent="0.3">
      <c r="A47" s="553" t="s">
        <v>12</v>
      </c>
      <c r="B47" s="553"/>
      <c r="C47" s="554" t="s">
        <v>11</v>
      </c>
      <c r="D47" s="555"/>
      <c r="E47" s="556"/>
      <c r="F47" s="557"/>
      <c r="G47" s="557"/>
      <c r="H47" s="557"/>
      <c r="I47" s="557"/>
      <c r="J47" s="557"/>
      <c r="K47" s="558"/>
      <c r="L47" s="558"/>
      <c r="M47" s="558"/>
      <c r="N47" s="558"/>
      <c r="O47" s="558"/>
      <c r="P47" s="558"/>
      <c r="Q47" s="558"/>
      <c r="R47" s="558"/>
      <c r="S47" s="558"/>
      <c r="T47" s="558"/>
      <c r="U47" s="558"/>
      <c r="V47" s="558"/>
      <c r="W47" s="558"/>
      <c r="X47" s="558"/>
      <c r="Y47" s="558"/>
      <c r="Z47" s="558"/>
      <c r="AA47" s="558"/>
      <c r="AB47" s="558"/>
      <c r="AC47" s="558"/>
      <c r="AD47" s="558"/>
      <c r="AE47" s="558"/>
      <c r="AF47" s="558"/>
      <c r="AG47" s="558"/>
      <c r="AH47" s="558"/>
      <c r="AI47" s="558"/>
      <c r="BG47" s="183"/>
      <c r="BH47" s="183"/>
      <c r="BI47" s="183"/>
      <c r="BJ47" s="183"/>
      <c r="BK47" s="183"/>
      <c r="BL47" s="183"/>
      <c r="BM47" s="183"/>
      <c r="BN47" s="183"/>
      <c r="BO47" s="183"/>
      <c r="BP47" s="183"/>
      <c r="BQ47" s="183"/>
    </row>
    <row r="48" spans="1:69" x14ac:dyDescent="0.3">
      <c r="A48" s="945">
        <v>1</v>
      </c>
      <c r="B48" s="3" t="s">
        <v>1046</v>
      </c>
      <c r="C48" s="191" t="s">
        <v>11</v>
      </c>
      <c r="D48" s="192">
        <f t="shared" ref="D48:D53" si="8">SUM(E48:AI48)</f>
        <v>1083.9913083298984</v>
      </c>
      <c r="E48" s="193">
        <f>$H$40*Input!E266</f>
        <v>0</v>
      </c>
      <c r="F48" s="193">
        <f>$H$40*Input!F266</f>
        <v>38.075281232387098</v>
      </c>
      <c r="G48" s="193">
        <f>$H$40*Input!H266</f>
        <v>113.58546080290753</v>
      </c>
      <c r="H48" s="193">
        <f>$H$40*Input!I266</f>
        <v>408.27251706251417</v>
      </c>
      <c r="I48" s="193">
        <f>$H$40*Input!J266</f>
        <v>436.38309802897402</v>
      </c>
      <c r="J48" s="193">
        <f>$H$40*Input!K266</f>
        <v>87.674951203115654</v>
      </c>
      <c r="K48" s="193">
        <f>$H$40*Input!L266</f>
        <v>0</v>
      </c>
      <c r="L48" s="193">
        <f>$H$40*Input!M266</f>
        <v>0</v>
      </c>
      <c r="M48" s="193">
        <f>$H$40*Input!N266</f>
        <v>0</v>
      </c>
      <c r="N48" s="193">
        <f>$H$40*Input!O266</f>
        <v>0</v>
      </c>
      <c r="O48" s="193">
        <f>$H$40*Input!P266</f>
        <v>0</v>
      </c>
      <c r="P48" s="193">
        <f>$H$40*Input!Q266</f>
        <v>0</v>
      </c>
      <c r="Q48" s="193">
        <f>$H$40*Input!R266</f>
        <v>0</v>
      </c>
      <c r="R48" s="193">
        <f>$H$40*Input!S266</f>
        <v>0</v>
      </c>
      <c r="S48" s="193">
        <f>$H$40*Input!T266</f>
        <v>0</v>
      </c>
      <c r="T48" s="193">
        <f>$H$40*Input!U266</f>
        <v>0</v>
      </c>
      <c r="U48" s="193">
        <f>$H$40*Input!V266</f>
        <v>0</v>
      </c>
      <c r="V48" s="193">
        <f>$H$40*Input!W266</f>
        <v>0</v>
      </c>
      <c r="W48" s="193">
        <f>$H$40*Input!X266</f>
        <v>0</v>
      </c>
      <c r="X48" s="193">
        <f>$H$40*Input!Y266</f>
        <v>0</v>
      </c>
      <c r="Y48" s="193">
        <f>$H$40*Input!Z266</f>
        <v>0</v>
      </c>
      <c r="Z48" s="193">
        <f>$H$40*Input!AA266</f>
        <v>0</v>
      </c>
      <c r="AA48" s="193">
        <f>$H$40*Input!AB266</f>
        <v>0</v>
      </c>
      <c r="AB48" s="193">
        <f>$H$40*Input!AC266</f>
        <v>0</v>
      </c>
      <c r="AC48" s="193">
        <f>$H$40*Input!AD266</f>
        <v>0</v>
      </c>
      <c r="AD48" s="193">
        <f>$H$40*Input!AE266</f>
        <v>0</v>
      </c>
      <c r="AE48" s="193">
        <f>$H$40*Input!AF266</f>
        <v>0</v>
      </c>
      <c r="AF48" s="193">
        <f>$H$40*Input!AG266</f>
        <v>0</v>
      </c>
      <c r="AG48" s="193">
        <f>$H$40*Input!AH266</f>
        <v>0</v>
      </c>
      <c r="AH48" s="193">
        <f>$H$40*Input!AI266</f>
        <v>0</v>
      </c>
      <c r="AI48" s="193">
        <f>$H$40*Input!AJ266</f>
        <v>0</v>
      </c>
      <c r="BG48" s="183"/>
      <c r="BH48" s="183"/>
      <c r="BI48" s="183"/>
      <c r="BJ48" s="183"/>
      <c r="BK48" s="183"/>
      <c r="BL48" s="183"/>
      <c r="BM48" s="183"/>
      <c r="BN48" s="183"/>
      <c r="BO48" s="183"/>
      <c r="BP48" s="183"/>
      <c r="BQ48" s="183"/>
    </row>
    <row r="49" spans="1:69" x14ac:dyDescent="0.3">
      <c r="A49" s="945">
        <v>2</v>
      </c>
      <c r="B49" s="3" t="s">
        <v>831</v>
      </c>
      <c r="C49" s="191"/>
      <c r="D49" s="192">
        <f t="shared" si="8"/>
        <v>18.59149</v>
      </c>
      <c r="E49" s="193">
        <f>$H$41*Input!E267</f>
        <v>0</v>
      </c>
      <c r="F49" s="193">
        <f>$H$41*Input!F267</f>
        <v>0</v>
      </c>
      <c r="G49" s="193">
        <f>$H$41*Input!H267</f>
        <v>2.7887235000000001</v>
      </c>
      <c r="H49" s="193">
        <f>$H$41*Input!I267</f>
        <v>2.7887235000000001</v>
      </c>
      <c r="I49" s="193">
        <f>$H$41*Input!J267</f>
        <v>6.5070214999999996</v>
      </c>
      <c r="J49" s="193">
        <f>$H$41*Input!K267</f>
        <v>6.5070214999999996</v>
      </c>
      <c r="K49" s="193">
        <f>$H$41*Input!L267</f>
        <v>0</v>
      </c>
      <c r="L49" s="193">
        <f>$H$41*Input!M267</f>
        <v>0</v>
      </c>
      <c r="M49" s="193">
        <f>$H$41*Input!N267</f>
        <v>0</v>
      </c>
      <c r="N49" s="193">
        <f>$H$41*Input!O267</f>
        <v>0</v>
      </c>
      <c r="O49" s="193">
        <f>$H$41*Input!P267</f>
        <v>0</v>
      </c>
      <c r="P49" s="193">
        <f>$H$41*Input!Q267</f>
        <v>0</v>
      </c>
      <c r="Q49" s="193">
        <f>$H$41*Input!R267</f>
        <v>0</v>
      </c>
      <c r="R49" s="193">
        <f>$H$41*Input!S267</f>
        <v>0</v>
      </c>
      <c r="S49" s="193">
        <f>$H$41*Input!T267</f>
        <v>0</v>
      </c>
      <c r="T49" s="193">
        <f>$H$41*Input!U267</f>
        <v>0</v>
      </c>
      <c r="U49" s="193">
        <f>$H$41*Input!V267</f>
        <v>0</v>
      </c>
      <c r="V49" s="193">
        <f>$H$41*Input!W267</f>
        <v>0</v>
      </c>
      <c r="W49" s="193">
        <f>$H$41*Input!X267</f>
        <v>0</v>
      </c>
      <c r="X49" s="193">
        <f>$H$41*Input!Y267</f>
        <v>0</v>
      </c>
      <c r="Y49" s="193">
        <f>$H$41*Input!Z267</f>
        <v>0</v>
      </c>
      <c r="Z49" s="193">
        <f>$H$41*Input!AA267</f>
        <v>0</v>
      </c>
      <c r="AA49" s="193">
        <f>$H$41*Input!AB267</f>
        <v>0</v>
      </c>
      <c r="AB49" s="193">
        <f>$H$41*Input!AC267</f>
        <v>0</v>
      </c>
      <c r="AC49" s="193">
        <f>$H$41*Input!AD267</f>
        <v>0</v>
      </c>
      <c r="AD49" s="193">
        <f>$H$41*Input!AE267</f>
        <v>0</v>
      </c>
      <c r="AE49" s="193">
        <f>$H$41*Input!AF267</f>
        <v>0</v>
      </c>
      <c r="AF49" s="193">
        <f>$H$41*Input!AG267</f>
        <v>0</v>
      </c>
      <c r="AG49" s="193">
        <f>$H$41*Input!AH267</f>
        <v>0</v>
      </c>
      <c r="AH49" s="193">
        <f>$H$41*Input!AI267</f>
        <v>0</v>
      </c>
      <c r="AI49" s="193">
        <f>$H$41*Input!AJ267</f>
        <v>0</v>
      </c>
      <c r="BG49" s="183"/>
      <c r="BH49" s="183"/>
      <c r="BI49" s="183"/>
      <c r="BJ49" s="183"/>
      <c r="BK49" s="183"/>
      <c r="BL49" s="183"/>
      <c r="BM49" s="183"/>
      <c r="BN49" s="183"/>
      <c r="BO49" s="183"/>
      <c r="BP49" s="183"/>
      <c r="BQ49" s="183"/>
    </row>
    <row r="50" spans="1:69" x14ac:dyDescent="0.3">
      <c r="A50" s="82">
        <v>3</v>
      </c>
      <c r="B50" s="3" t="s">
        <v>845</v>
      </c>
      <c r="C50" s="191" t="s">
        <v>11</v>
      </c>
      <c r="D50" s="192">
        <f t="shared" si="8"/>
        <v>113.85604440557395</v>
      </c>
      <c r="E50" s="193">
        <f>$H$42*Input!E268</f>
        <v>0</v>
      </c>
      <c r="F50" s="193">
        <f>$H$42*Input!F268</f>
        <v>0</v>
      </c>
      <c r="G50" s="193">
        <f>$H$42*Input!H268</f>
        <v>5.6928022202786979</v>
      </c>
      <c r="H50" s="193">
        <f>$H$42*Input!I268</f>
        <v>5.6928022202786979</v>
      </c>
      <c r="I50" s="193">
        <f>$H$42*Input!J268</f>
        <v>51.235219982508283</v>
      </c>
      <c r="J50" s="193">
        <f>$H$42*Input!K268</f>
        <v>51.235219982508283</v>
      </c>
      <c r="K50" s="193">
        <f>$H$42*Input!L268</f>
        <v>0</v>
      </c>
      <c r="L50" s="193">
        <f>$H$42*Input!M268</f>
        <v>0</v>
      </c>
      <c r="M50" s="193">
        <f>$H$42*Input!N268</f>
        <v>0</v>
      </c>
      <c r="N50" s="193">
        <f>$H$42*Input!O268</f>
        <v>0</v>
      </c>
      <c r="O50" s="193">
        <f>$H$42*Input!P268</f>
        <v>0</v>
      </c>
      <c r="P50" s="193">
        <f>$H$42*Input!Q268</f>
        <v>0</v>
      </c>
      <c r="Q50" s="193">
        <f>$H$42*Input!R268</f>
        <v>0</v>
      </c>
      <c r="R50" s="193">
        <f>$H$42*Input!S268</f>
        <v>0</v>
      </c>
      <c r="S50" s="193">
        <f>$H$42*Input!T268</f>
        <v>0</v>
      </c>
      <c r="T50" s="193">
        <f>$H$42*Input!U268</f>
        <v>0</v>
      </c>
      <c r="U50" s="193">
        <f>$H$42*Input!V268</f>
        <v>0</v>
      </c>
      <c r="V50" s="193">
        <f>$H$42*Input!W268</f>
        <v>0</v>
      </c>
      <c r="W50" s="193">
        <f>$H$42*Input!X268</f>
        <v>0</v>
      </c>
      <c r="X50" s="193">
        <f>$H$42*Input!Y268</f>
        <v>0</v>
      </c>
      <c r="Y50" s="193">
        <f>$H$42*Input!Z268</f>
        <v>0</v>
      </c>
      <c r="Z50" s="193">
        <f>$H$42*Input!AA268</f>
        <v>0</v>
      </c>
      <c r="AA50" s="193">
        <f>$H$42*Input!AB268</f>
        <v>0</v>
      </c>
      <c r="AB50" s="193">
        <f>$H$42*Input!AC268</f>
        <v>0</v>
      </c>
      <c r="AC50" s="193">
        <f>$H$42*Input!AD268</f>
        <v>0</v>
      </c>
      <c r="AD50" s="193">
        <f>$H$42*Input!AE268</f>
        <v>0</v>
      </c>
      <c r="AE50" s="193">
        <f>$H$42*Input!AF268</f>
        <v>0</v>
      </c>
      <c r="AF50" s="193">
        <f>$H$42*Input!AG268</f>
        <v>0</v>
      </c>
      <c r="AG50" s="193">
        <f>$H$42*Input!AH268</f>
        <v>0</v>
      </c>
      <c r="AH50" s="193">
        <f>$H$42*Input!AI268</f>
        <v>0</v>
      </c>
      <c r="AI50" s="193">
        <f>$H$42*Input!AJ268</f>
        <v>0</v>
      </c>
      <c r="BG50" s="183"/>
      <c r="BH50" s="183"/>
      <c r="BI50" s="183"/>
      <c r="BJ50" s="183"/>
      <c r="BK50" s="183"/>
      <c r="BL50" s="183"/>
      <c r="BM50" s="183"/>
      <c r="BN50" s="183"/>
      <c r="BO50" s="183"/>
      <c r="BP50" s="183"/>
      <c r="BQ50" s="183"/>
    </row>
    <row r="51" spans="1:69" x14ac:dyDescent="0.3">
      <c r="A51" s="2"/>
      <c r="B51" s="178" t="s">
        <v>214</v>
      </c>
      <c r="C51" s="195" t="s">
        <v>11</v>
      </c>
      <c r="D51" s="196">
        <f t="shared" si="8"/>
        <v>1216.4388427354725</v>
      </c>
      <c r="E51" s="197">
        <f t="shared" ref="E51:AI51" si="9">SUM(E48:E50)</f>
        <v>0</v>
      </c>
      <c r="F51" s="197">
        <f t="shared" si="9"/>
        <v>38.075281232387098</v>
      </c>
      <c r="G51" s="197">
        <f t="shared" si="9"/>
        <v>122.06698652318623</v>
      </c>
      <c r="H51" s="197">
        <f t="shared" si="9"/>
        <v>416.75404278279285</v>
      </c>
      <c r="I51" s="197">
        <f t="shared" si="9"/>
        <v>494.12533951148231</v>
      </c>
      <c r="J51" s="197">
        <f t="shared" si="9"/>
        <v>145.41719268562395</v>
      </c>
      <c r="K51" s="197">
        <f t="shared" si="9"/>
        <v>0</v>
      </c>
      <c r="L51" s="197">
        <f t="shared" si="9"/>
        <v>0</v>
      </c>
      <c r="M51" s="197">
        <f t="shared" si="9"/>
        <v>0</v>
      </c>
      <c r="N51" s="197">
        <f t="shared" si="9"/>
        <v>0</v>
      </c>
      <c r="O51" s="197">
        <f t="shared" si="9"/>
        <v>0</v>
      </c>
      <c r="P51" s="197">
        <f t="shared" si="9"/>
        <v>0</v>
      </c>
      <c r="Q51" s="197">
        <f t="shared" si="9"/>
        <v>0</v>
      </c>
      <c r="R51" s="197">
        <f t="shared" si="9"/>
        <v>0</v>
      </c>
      <c r="S51" s="197">
        <f t="shared" si="9"/>
        <v>0</v>
      </c>
      <c r="T51" s="197">
        <f t="shared" si="9"/>
        <v>0</v>
      </c>
      <c r="U51" s="197">
        <f t="shared" si="9"/>
        <v>0</v>
      </c>
      <c r="V51" s="197">
        <f t="shared" si="9"/>
        <v>0</v>
      </c>
      <c r="W51" s="197">
        <f t="shared" si="9"/>
        <v>0</v>
      </c>
      <c r="X51" s="197">
        <f t="shared" si="9"/>
        <v>0</v>
      </c>
      <c r="Y51" s="197">
        <f t="shared" si="9"/>
        <v>0</v>
      </c>
      <c r="Z51" s="197">
        <f t="shared" si="9"/>
        <v>0</v>
      </c>
      <c r="AA51" s="197">
        <f t="shared" si="9"/>
        <v>0</v>
      </c>
      <c r="AB51" s="197">
        <f t="shared" si="9"/>
        <v>0</v>
      </c>
      <c r="AC51" s="197">
        <f t="shared" si="9"/>
        <v>0</v>
      </c>
      <c r="AD51" s="197">
        <f t="shared" si="9"/>
        <v>0</v>
      </c>
      <c r="AE51" s="197">
        <f t="shared" si="9"/>
        <v>0</v>
      </c>
      <c r="AF51" s="197">
        <f t="shared" si="9"/>
        <v>0</v>
      </c>
      <c r="AG51" s="197">
        <f t="shared" si="9"/>
        <v>0</v>
      </c>
      <c r="AH51" s="197">
        <f t="shared" si="9"/>
        <v>0</v>
      </c>
      <c r="AI51" s="197">
        <f t="shared" si="9"/>
        <v>0</v>
      </c>
    </row>
    <row r="52" spans="1:69" x14ac:dyDescent="0.3">
      <c r="A52" s="2"/>
      <c r="B52" s="3" t="s">
        <v>1</v>
      </c>
      <c r="C52" s="198" t="s">
        <v>11</v>
      </c>
      <c r="D52" s="192">
        <f t="shared" ca="1" si="8"/>
        <v>26.123189689629463</v>
      </c>
      <c r="E52" s="199">
        <f ca="1">IF(Input!$L$2,E90+E80,0)</f>
        <v>0</v>
      </c>
      <c r="F52" s="199">
        <f ca="1">IF(Input!$L$2,F90+F80,0)</f>
        <v>0.20095021509930358</v>
      </c>
      <c r="G52" s="199">
        <f ca="1">IF(Input!$L$2,G90+G80,0)</f>
        <v>1.0482554505607788</v>
      </c>
      <c r="H52" s="199">
        <f ca="1">IF(Input!$L$2,H90+H80,0)</f>
        <v>3.9030602619076276</v>
      </c>
      <c r="I52" s="199">
        <f ca="1">IF(Input!$L$2,I90+I80,0)</f>
        <v>8.7516140591380616</v>
      </c>
      <c r="J52" s="199">
        <f ca="1">IF(Input!$L$2,J90+J80,0)</f>
        <v>12.219309702923693</v>
      </c>
      <c r="K52" s="199">
        <f ca="1">IF(Input!$L$2,K90+K80,0)</f>
        <v>0</v>
      </c>
      <c r="L52" s="199">
        <f ca="1">IF(Input!$L$2,L90+L80,0)</f>
        <v>0</v>
      </c>
      <c r="M52" s="199">
        <f ca="1">IF(Input!$L$2,M90+M80,0)</f>
        <v>0</v>
      </c>
      <c r="N52" s="199">
        <f ca="1">IF(Input!$L$2,N90+N80,0)</f>
        <v>0</v>
      </c>
      <c r="O52" s="199">
        <f ca="1">IF(Input!$L$2,O90+O80,0)</f>
        <v>0</v>
      </c>
      <c r="P52" s="199">
        <f ca="1">IF(Input!$L$2,P90+P80,0)</f>
        <v>0</v>
      </c>
      <c r="Q52" s="199">
        <f ca="1">IF(Input!$L$2,Q90+Q80,0)</f>
        <v>0</v>
      </c>
      <c r="R52" s="199">
        <f ca="1">IF(Input!$L$2,R90+R80,0)</f>
        <v>0</v>
      </c>
      <c r="S52" s="199">
        <f ca="1">IF(Input!$L$2,S90+S80,0)</f>
        <v>0</v>
      </c>
      <c r="T52" s="199">
        <f ca="1">IF(Input!$L$2,T90+T80,0)</f>
        <v>0</v>
      </c>
      <c r="U52" s="199">
        <f ca="1">IF(Input!$L$2,U90+U80,0)</f>
        <v>0</v>
      </c>
      <c r="V52" s="199">
        <f ca="1">IF(Input!$L$2,V90+V80,0)</f>
        <v>0</v>
      </c>
      <c r="W52" s="199">
        <f ca="1">IF(Input!$L$2,W90+W80,0)</f>
        <v>0</v>
      </c>
      <c r="X52" s="199">
        <f ca="1">IF(Input!$L$2,X90+X80,0)</f>
        <v>0</v>
      </c>
      <c r="Y52" s="199">
        <f ca="1">IF(Input!$L$2,Y90+Y80,0)</f>
        <v>0</v>
      </c>
      <c r="Z52" s="199">
        <f ca="1">IF(Input!$L$2,Z90+Z80,0)</f>
        <v>0</v>
      </c>
      <c r="AA52" s="199">
        <f ca="1">IF(Input!$L$2,AA90+AA80,0)</f>
        <v>0</v>
      </c>
      <c r="AB52" s="199">
        <f ca="1">IF(Input!$L$2,AB90+AB80,0)</f>
        <v>0</v>
      </c>
      <c r="AC52" s="199">
        <f ca="1">IF(Input!$L$2,AC90+AC80,0)</f>
        <v>0</v>
      </c>
      <c r="AD52" s="199">
        <f ca="1">IF(Input!$L$2,AD90+AD80,0)</f>
        <v>0</v>
      </c>
      <c r="AE52" s="199">
        <f ca="1">IF(Input!$L$2,AE90+AE80,0)</f>
        <v>0</v>
      </c>
      <c r="AF52" s="199">
        <f ca="1">IF(Input!$L$2,AF90+AF80,0)</f>
        <v>0</v>
      </c>
      <c r="AG52" s="199">
        <f ca="1">IF(Input!$L$2,AG90+AG80,0)</f>
        <v>0</v>
      </c>
      <c r="AH52" s="199">
        <f ca="1">IF(Input!$L$2,AH90+AH80,0)</f>
        <v>0</v>
      </c>
      <c r="AI52" s="199">
        <f ca="1">IF(Input!$L$2,AI90+AI80,0)</f>
        <v>0</v>
      </c>
    </row>
    <row r="53" spans="1:69" x14ac:dyDescent="0.3">
      <c r="A53" s="8"/>
      <c r="B53" s="7" t="s">
        <v>455</v>
      </c>
      <c r="C53" s="200" t="s">
        <v>11</v>
      </c>
      <c r="D53" s="192">
        <f t="shared" ca="1" si="8"/>
        <v>1242.5620324251017</v>
      </c>
      <c r="E53" s="201">
        <f ca="1">(E51+E52)*(1+Input!$I$10)</f>
        <v>0</v>
      </c>
      <c r="F53" s="201">
        <f ca="1">(F51+F52)*(1+Input!$I$10)</f>
        <v>38.276231447486403</v>
      </c>
      <c r="G53" s="201">
        <f t="shared" ref="G53:AI53" ca="1" si="10">G51+G52</f>
        <v>123.115241973747</v>
      </c>
      <c r="H53" s="201">
        <f t="shared" ca="1" si="10"/>
        <v>420.65710304470048</v>
      </c>
      <c r="I53" s="201">
        <f t="shared" ca="1" si="10"/>
        <v>502.87695357062034</v>
      </c>
      <c r="J53" s="201">
        <f t="shared" ca="1" si="10"/>
        <v>157.63650238854763</v>
      </c>
      <c r="K53" s="201">
        <f t="shared" ca="1" si="10"/>
        <v>0</v>
      </c>
      <c r="L53" s="201">
        <f t="shared" ca="1" si="10"/>
        <v>0</v>
      </c>
      <c r="M53" s="201">
        <f t="shared" ca="1" si="10"/>
        <v>0</v>
      </c>
      <c r="N53" s="201">
        <f t="shared" ca="1" si="10"/>
        <v>0</v>
      </c>
      <c r="O53" s="201">
        <f t="shared" ca="1" si="10"/>
        <v>0</v>
      </c>
      <c r="P53" s="201">
        <f t="shared" ca="1" si="10"/>
        <v>0</v>
      </c>
      <c r="Q53" s="201">
        <f t="shared" ca="1" si="10"/>
        <v>0</v>
      </c>
      <c r="R53" s="201">
        <f t="shared" ca="1" si="10"/>
        <v>0</v>
      </c>
      <c r="S53" s="201">
        <f t="shared" ca="1" si="10"/>
        <v>0</v>
      </c>
      <c r="T53" s="201">
        <f t="shared" ca="1" si="10"/>
        <v>0</v>
      </c>
      <c r="U53" s="201">
        <f t="shared" ca="1" si="10"/>
        <v>0</v>
      </c>
      <c r="V53" s="201">
        <f t="shared" ca="1" si="10"/>
        <v>0</v>
      </c>
      <c r="W53" s="201">
        <f t="shared" ca="1" si="10"/>
        <v>0</v>
      </c>
      <c r="X53" s="201">
        <f t="shared" ca="1" si="10"/>
        <v>0</v>
      </c>
      <c r="Y53" s="201">
        <f t="shared" ca="1" si="10"/>
        <v>0</v>
      </c>
      <c r="Z53" s="201">
        <f t="shared" ca="1" si="10"/>
        <v>0</v>
      </c>
      <c r="AA53" s="201">
        <f t="shared" ca="1" si="10"/>
        <v>0</v>
      </c>
      <c r="AB53" s="201">
        <f t="shared" ca="1" si="10"/>
        <v>0</v>
      </c>
      <c r="AC53" s="201">
        <f t="shared" ca="1" si="10"/>
        <v>0</v>
      </c>
      <c r="AD53" s="201">
        <f t="shared" ca="1" si="10"/>
        <v>0</v>
      </c>
      <c r="AE53" s="201">
        <f t="shared" ca="1" si="10"/>
        <v>0</v>
      </c>
      <c r="AF53" s="201">
        <f t="shared" ca="1" si="10"/>
        <v>0</v>
      </c>
      <c r="AG53" s="201">
        <f t="shared" ca="1" si="10"/>
        <v>0</v>
      </c>
      <c r="AH53" s="201">
        <f t="shared" ca="1" si="10"/>
        <v>0</v>
      </c>
      <c r="AI53" s="201">
        <f t="shared" ca="1" si="10"/>
        <v>0</v>
      </c>
    </row>
    <row r="54" spans="1:69" x14ac:dyDescent="0.3">
      <c r="A54" s="8"/>
      <c r="D54" s="5"/>
      <c r="E54" s="81"/>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row>
    <row r="55" spans="1:69" x14ac:dyDescent="0.3">
      <c r="A55" s="5"/>
      <c r="B55" s="5" t="s">
        <v>8</v>
      </c>
      <c r="C55" s="198" t="s">
        <v>0</v>
      </c>
      <c r="D55" s="205"/>
      <c r="E55" s="206">
        <f>Input!E245</f>
        <v>0.7</v>
      </c>
      <c r="F55" s="206">
        <f>Input!F245</f>
        <v>0.7</v>
      </c>
      <c r="G55" s="206">
        <f>Input!H245</f>
        <v>0.7</v>
      </c>
      <c r="H55" s="206">
        <f>Input!J245</f>
        <v>0.7</v>
      </c>
      <c r="I55" s="206">
        <f>Input!K245</f>
        <v>0.7</v>
      </c>
      <c r="J55" s="206">
        <f>Input!L245</f>
        <v>0.7</v>
      </c>
      <c r="K55" s="206">
        <f>Input!M245</f>
        <v>0.7</v>
      </c>
      <c r="L55" s="206">
        <f>Input!N245</f>
        <v>0.7</v>
      </c>
      <c r="M55" s="206">
        <f>Input!O245</f>
        <v>0.7</v>
      </c>
      <c r="N55" s="206">
        <f>Input!P245</f>
        <v>0.7</v>
      </c>
      <c r="O55" s="206">
        <f>Input!Q245</f>
        <v>0.7</v>
      </c>
      <c r="P55" s="206">
        <f>Input!R245</f>
        <v>0.7</v>
      </c>
      <c r="Q55" s="206">
        <f>Input!S245</f>
        <v>0.7</v>
      </c>
      <c r="R55" s="206">
        <f>Input!T245</f>
        <v>0.7</v>
      </c>
      <c r="S55" s="206">
        <f>Input!U245</f>
        <v>0.7</v>
      </c>
      <c r="T55" s="206">
        <f>Input!V245</f>
        <v>0.7</v>
      </c>
      <c r="U55" s="206">
        <f>Input!W245</f>
        <v>0.7</v>
      </c>
      <c r="V55" s="206">
        <f>Input!X245</f>
        <v>0.7</v>
      </c>
      <c r="W55" s="206">
        <f>Input!Y245</f>
        <v>0.7</v>
      </c>
      <c r="X55" s="206">
        <f>Input!Z245</f>
        <v>0.7</v>
      </c>
      <c r="Y55" s="206">
        <f>Input!AA245</f>
        <v>0.7</v>
      </c>
      <c r="Z55" s="206">
        <f>Input!AB245</f>
        <v>0.7</v>
      </c>
      <c r="AA55" s="206">
        <f>Input!AC245</f>
        <v>0.7</v>
      </c>
      <c r="AB55" s="206">
        <f>Input!AD245</f>
        <v>0.7</v>
      </c>
      <c r="AC55" s="206">
        <f>Input!AE245</f>
        <v>0.7</v>
      </c>
      <c r="AD55" s="206">
        <f>Input!AF245</f>
        <v>0.7</v>
      </c>
      <c r="AE55" s="206">
        <f>Input!AG245</f>
        <v>0.7</v>
      </c>
      <c r="AF55" s="206">
        <f>Input!AH245</f>
        <v>0.7</v>
      </c>
      <c r="AG55" s="206">
        <f>Input!AI245</f>
        <v>0.7</v>
      </c>
      <c r="AH55" s="206">
        <f>Input!AJ245</f>
        <v>0.7</v>
      </c>
      <c r="AI55" s="206">
        <f>Input!AK245</f>
        <v>0.7</v>
      </c>
    </row>
    <row r="56" spans="1:69" x14ac:dyDescent="0.3">
      <c r="A56" s="5"/>
      <c r="B56" s="5" t="s">
        <v>52</v>
      </c>
      <c r="C56" s="198" t="s">
        <v>0</v>
      </c>
      <c r="D56" s="205"/>
      <c r="E56" s="206">
        <f>Input!E246</f>
        <v>0</v>
      </c>
      <c r="F56" s="206">
        <f>Input!F246</f>
        <v>0</v>
      </c>
      <c r="G56" s="206">
        <f>Input!H246</f>
        <v>0</v>
      </c>
      <c r="H56" s="206">
        <f>Input!J246</f>
        <v>0</v>
      </c>
      <c r="I56" s="206">
        <f>Input!K246</f>
        <v>0</v>
      </c>
      <c r="J56" s="206">
        <f>Input!L246</f>
        <v>0</v>
      </c>
      <c r="K56" s="206">
        <f>Input!M246</f>
        <v>0</v>
      </c>
      <c r="L56" s="206">
        <f>Input!N246</f>
        <v>0</v>
      </c>
      <c r="M56" s="206">
        <f>Input!O246</f>
        <v>0</v>
      </c>
      <c r="N56" s="206">
        <f>Input!P246</f>
        <v>0</v>
      </c>
      <c r="O56" s="206">
        <f>Input!Q246</f>
        <v>0</v>
      </c>
      <c r="P56" s="206">
        <f>Input!R246</f>
        <v>0</v>
      </c>
      <c r="Q56" s="206">
        <f>Input!S246</f>
        <v>0</v>
      </c>
      <c r="R56" s="206">
        <f>Input!T246</f>
        <v>0</v>
      </c>
      <c r="S56" s="206">
        <f>Input!U246</f>
        <v>0</v>
      </c>
      <c r="T56" s="206">
        <f>Input!V246</f>
        <v>0</v>
      </c>
      <c r="U56" s="206">
        <f>Input!W246</f>
        <v>0</v>
      </c>
      <c r="V56" s="206">
        <f>Input!X246</f>
        <v>0</v>
      </c>
      <c r="W56" s="206">
        <f>Input!Y246</f>
        <v>0</v>
      </c>
      <c r="X56" s="206">
        <f>Input!Z246</f>
        <v>0</v>
      </c>
      <c r="Y56" s="206">
        <f>Input!AA246</f>
        <v>0</v>
      </c>
      <c r="Z56" s="206">
        <f>Input!AB246</f>
        <v>0</v>
      </c>
      <c r="AA56" s="206">
        <f>Input!AC246</f>
        <v>0</v>
      </c>
      <c r="AB56" s="206">
        <f>Input!AD246</f>
        <v>0</v>
      </c>
      <c r="AC56" s="206">
        <f>Input!AE246</f>
        <v>0</v>
      </c>
      <c r="AD56" s="206">
        <f>Input!AF246</f>
        <v>0</v>
      </c>
      <c r="AE56" s="206">
        <f>Input!AG246</f>
        <v>0</v>
      </c>
      <c r="AF56" s="206">
        <f>Input!AH246</f>
        <v>0</v>
      </c>
      <c r="AG56" s="206">
        <f>Input!AI246</f>
        <v>0</v>
      </c>
      <c r="AH56" s="206">
        <f>Input!AJ246</f>
        <v>0</v>
      </c>
      <c r="AI56" s="206">
        <f>Input!AK246</f>
        <v>0</v>
      </c>
    </row>
    <row r="57" spans="1:69" x14ac:dyDescent="0.3">
      <c r="A57" s="5"/>
      <c r="B57" s="5" t="s">
        <v>112</v>
      </c>
      <c r="C57" s="198" t="s">
        <v>0</v>
      </c>
      <c r="D57" s="205"/>
      <c r="E57" s="206">
        <f>Input!E247</f>
        <v>0</v>
      </c>
      <c r="F57" s="206">
        <f>Input!F247</f>
        <v>0</v>
      </c>
      <c r="G57" s="206">
        <f>Input!H247</f>
        <v>0</v>
      </c>
      <c r="H57" s="206">
        <f>Input!J247</f>
        <v>0</v>
      </c>
      <c r="I57" s="206">
        <f>Input!K247</f>
        <v>0</v>
      </c>
      <c r="J57" s="206">
        <f>Input!L247</f>
        <v>0</v>
      </c>
      <c r="K57" s="206">
        <f>Input!M247</f>
        <v>0</v>
      </c>
      <c r="L57" s="206">
        <f>Input!N247</f>
        <v>0</v>
      </c>
      <c r="M57" s="206">
        <f>Input!O247</f>
        <v>0</v>
      </c>
      <c r="N57" s="206">
        <f>Input!P247</f>
        <v>0</v>
      </c>
      <c r="O57" s="206">
        <f>Input!Q247</f>
        <v>0</v>
      </c>
      <c r="P57" s="206">
        <f>Input!R247</f>
        <v>0</v>
      </c>
      <c r="Q57" s="206">
        <f>Input!S247</f>
        <v>0</v>
      </c>
      <c r="R57" s="206">
        <f>Input!T247</f>
        <v>0</v>
      </c>
      <c r="S57" s="206">
        <f>Input!U247</f>
        <v>0</v>
      </c>
      <c r="T57" s="206">
        <f>Input!V247</f>
        <v>0</v>
      </c>
      <c r="U57" s="206">
        <f>Input!W247</f>
        <v>0</v>
      </c>
      <c r="V57" s="206">
        <f>Input!X247</f>
        <v>0</v>
      </c>
      <c r="W57" s="206">
        <f>Input!Y247</f>
        <v>0</v>
      </c>
      <c r="X57" s="206">
        <f>Input!Z247</f>
        <v>0</v>
      </c>
      <c r="Y57" s="206">
        <f>Input!AA247</f>
        <v>0</v>
      </c>
      <c r="Z57" s="206">
        <f>Input!AB247</f>
        <v>0</v>
      </c>
      <c r="AA57" s="206">
        <f>Input!AC247</f>
        <v>0</v>
      </c>
      <c r="AB57" s="206">
        <f>Input!AD247</f>
        <v>0</v>
      </c>
      <c r="AC57" s="206">
        <f>Input!AE247</f>
        <v>0</v>
      </c>
      <c r="AD57" s="206">
        <f>Input!AF247</f>
        <v>0</v>
      </c>
      <c r="AE57" s="206">
        <f>Input!AG247</f>
        <v>0</v>
      </c>
      <c r="AF57" s="206">
        <f>Input!AH247</f>
        <v>0</v>
      </c>
      <c r="AG57" s="206">
        <f>Input!AI247</f>
        <v>0</v>
      </c>
      <c r="AH57" s="206">
        <f>Input!AJ247</f>
        <v>0</v>
      </c>
      <c r="AI57" s="206">
        <f>Input!AK247</f>
        <v>0</v>
      </c>
    </row>
    <row r="58" spans="1:69" x14ac:dyDescent="0.3">
      <c r="A58" s="5"/>
      <c r="B58" s="5" t="s">
        <v>5</v>
      </c>
      <c r="C58" s="198" t="s">
        <v>0</v>
      </c>
      <c r="D58" s="205"/>
      <c r="E58" s="206">
        <f>Input!E248</f>
        <v>0.30000000000000004</v>
      </c>
      <c r="F58" s="206">
        <f>Input!F248</f>
        <v>0.30000000000000004</v>
      </c>
      <c r="G58" s="206">
        <f>Input!H248</f>
        <v>0.30000000000000004</v>
      </c>
      <c r="H58" s="206">
        <f>Input!J248</f>
        <v>0.30000000000000004</v>
      </c>
      <c r="I58" s="206">
        <f>Input!K248</f>
        <v>0.30000000000000004</v>
      </c>
      <c r="J58" s="206">
        <f>Input!L248</f>
        <v>0.30000000000000004</v>
      </c>
      <c r="K58" s="206">
        <f>Input!M248</f>
        <v>0.30000000000000004</v>
      </c>
      <c r="L58" s="206">
        <f>Input!N248</f>
        <v>0.30000000000000004</v>
      </c>
      <c r="M58" s="206">
        <f>Input!O248</f>
        <v>0.30000000000000004</v>
      </c>
      <c r="N58" s="206">
        <f>Input!P248</f>
        <v>0.30000000000000004</v>
      </c>
      <c r="O58" s="206">
        <f>Input!Q248</f>
        <v>0.30000000000000004</v>
      </c>
      <c r="P58" s="206">
        <f>Input!R248</f>
        <v>0.30000000000000004</v>
      </c>
      <c r="Q58" s="206">
        <f>Input!S248</f>
        <v>0.30000000000000004</v>
      </c>
      <c r="R58" s="206">
        <f>Input!T248</f>
        <v>0.30000000000000004</v>
      </c>
      <c r="S58" s="206">
        <f>Input!U248</f>
        <v>0.30000000000000004</v>
      </c>
      <c r="T58" s="206">
        <f>Input!V248</f>
        <v>0.30000000000000004</v>
      </c>
      <c r="U58" s="206">
        <f>Input!W248</f>
        <v>0.30000000000000004</v>
      </c>
      <c r="V58" s="206">
        <f>Input!X248</f>
        <v>0.30000000000000004</v>
      </c>
      <c r="W58" s="206">
        <f>Input!Y248</f>
        <v>0.30000000000000004</v>
      </c>
      <c r="X58" s="206">
        <f>Input!Z248</f>
        <v>0.30000000000000004</v>
      </c>
      <c r="Y58" s="206">
        <f>Input!AA248</f>
        <v>0.30000000000000004</v>
      </c>
      <c r="Z58" s="206">
        <f>Input!AB248</f>
        <v>0.30000000000000004</v>
      </c>
      <c r="AA58" s="206">
        <f>Input!AC248</f>
        <v>0.30000000000000004</v>
      </c>
      <c r="AB58" s="206">
        <f>Input!AD248</f>
        <v>0.30000000000000004</v>
      </c>
      <c r="AC58" s="206">
        <f>Input!AE248</f>
        <v>0.30000000000000004</v>
      </c>
      <c r="AD58" s="206">
        <f>Input!AF248</f>
        <v>0.30000000000000004</v>
      </c>
      <c r="AE58" s="206">
        <f>Input!AG248</f>
        <v>0.30000000000000004</v>
      </c>
      <c r="AF58" s="206">
        <f>Input!AH248</f>
        <v>0.30000000000000004</v>
      </c>
      <c r="AG58" s="206">
        <f>Input!AI248</f>
        <v>0.30000000000000004</v>
      </c>
      <c r="AH58" s="206">
        <f>Input!AJ248</f>
        <v>0.30000000000000004</v>
      </c>
      <c r="AI58" s="206">
        <f>Input!AK248</f>
        <v>0.30000000000000004</v>
      </c>
    </row>
    <row r="59" spans="1:69" x14ac:dyDescent="0.3">
      <c r="A59" s="5"/>
      <c r="B59" s="5"/>
      <c r="C59" s="198"/>
      <c r="D59" s="205"/>
      <c r="E59" s="206"/>
      <c r="F59" s="206"/>
      <c r="G59" s="206"/>
      <c r="H59" s="206"/>
      <c r="I59" s="206"/>
      <c r="J59" s="206"/>
      <c r="K59" s="206"/>
      <c r="L59" s="206"/>
      <c r="M59" s="206"/>
      <c r="N59" s="206"/>
      <c r="O59" s="206"/>
      <c r="P59" s="206"/>
      <c r="Q59" s="206"/>
      <c r="R59" s="206"/>
      <c r="S59" s="206"/>
      <c r="T59" s="206"/>
      <c r="U59" s="206"/>
      <c r="V59" s="206"/>
      <c r="W59" s="206"/>
      <c r="X59" s="206"/>
      <c r="Y59" s="206"/>
      <c r="Z59" s="206"/>
      <c r="AA59" s="206"/>
      <c r="AB59" s="206"/>
      <c r="AC59" s="206"/>
      <c r="AD59" s="206"/>
      <c r="AE59" s="206"/>
      <c r="AF59" s="206"/>
      <c r="AG59" s="206"/>
      <c r="AH59" s="206"/>
      <c r="AI59" s="206"/>
    </row>
    <row r="60" spans="1:69" x14ac:dyDescent="0.3">
      <c r="A60" s="5"/>
      <c r="B60" s="5" t="s">
        <v>8</v>
      </c>
      <c r="C60" s="198" t="s">
        <v>11</v>
      </c>
      <c r="D60" s="207">
        <f ca="1">SUM(E60:AI60)</f>
        <v>869.79342269757126</v>
      </c>
      <c r="E60" s="199">
        <f t="shared" ref="E60:AI63" ca="1" si="11">E$53*E55</f>
        <v>0</v>
      </c>
      <c r="F60" s="199">
        <f t="shared" ca="1" si="11"/>
        <v>26.793362013240479</v>
      </c>
      <c r="G60" s="199">
        <f t="shared" ca="1" si="11"/>
        <v>86.180669381622891</v>
      </c>
      <c r="H60" s="199">
        <f t="shared" ca="1" si="11"/>
        <v>294.45997213129033</v>
      </c>
      <c r="I60" s="199">
        <f t="shared" ca="1" si="11"/>
        <v>352.01386749943424</v>
      </c>
      <c r="J60" s="199">
        <f t="shared" ca="1" si="11"/>
        <v>110.34555167198333</v>
      </c>
      <c r="K60" s="199">
        <f t="shared" ca="1" si="11"/>
        <v>0</v>
      </c>
      <c r="L60" s="199">
        <f t="shared" ca="1" si="11"/>
        <v>0</v>
      </c>
      <c r="M60" s="199">
        <f t="shared" ca="1" si="11"/>
        <v>0</v>
      </c>
      <c r="N60" s="199">
        <f t="shared" ca="1" si="11"/>
        <v>0</v>
      </c>
      <c r="O60" s="199">
        <f t="shared" ca="1" si="11"/>
        <v>0</v>
      </c>
      <c r="P60" s="199">
        <f t="shared" ca="1" si="11"/>
        <v>0</v>
      </c>
      <c r="Q60" s="199">
        <f t="shared" ca="1" si="11"/>
        <v>0</v>
      </c>
      <c r="R60" s="199">
        <f t="shared" ca="1" si="11"/>
        <v>0</v>
      </c>
      <c r="S60" s="199">
        <f t="shared" ca="1" si="11"/>
        <v>0</v>
      </c>
      <c r="T60" s="199">
        <f t="shared" ca="1" si="11"/>
        <v>0</v>
      </c>
      <c r="U60" s="199">
        <f t="shared" ca="1" si="11"/>
        <v>0</v>
      </c>
      <c r="V60" s="199">
        <f t="shared" ca="1" si="11"/>
        <v>0</v>
      </c>
      <c r="W60" s="199">
        <f t="shared" ca="1" si="11"/>
        <v>0</v>
      </c>
      <c r="X60" s="199">
        <f t="shared" ca="1" si="11"/>
        <v>0</v>
      </c>
      <c r="Y60" s="199">
        <f t="shared" ca="1" si="11"/>
        <v>0</v>
      </c>
      <c r="Z60" s="199">
        <f t="shared" ca="1" si="11"/>
        <v>0</v>
      </c>
      <c r="AA60" s="199">
        <f t="shared" ca="1" si="11"/>
        <v>0</v>
      </c>
      <c r="AB60" s="199">
        <f t="shared" ca="1" si="11"/>
        <v>0</v>
      </c>
      <c r="AC60" s="199">
        <f t="shared" ca="1" si="11"/>
        <v>0</v>
      </c>
      <c r="AD60" s="199">
        <f t="shared" ca="1" si="11"/>
        <v>0</v>
      </c>
      <c r="AE60" s="199">
        <f t="shared" ca="1" si="11"/>
        <v>0</v>
      </c>
      <c r="AF60" s="199">
        <f t="shared" ca="1" si="11"/>
        <v>0</v>
      </c>
      <c r="AG60" s="199">
        <f t="shared" ca="1" si="11"/>
        <v>0</v>
      </c>
      <c r="AH60" s="199">
        <f t="shared" ca="1" si="11"/>
        <v>0</v>
      </c>
      <c r="AI60" s="199">
        <f t="shared" ca="1" si="11"/>
        <v>0</v>
      </c>
    </row>
    <row r="61" spans="1:69" x14ac:dyDescent="0.3">
      <c r="A61" s="5"/>
      <c r="B61" s="5" t="s">
        <v>7</v>
      </c>
      <c r="C61" s="198" t="s">
        <v>11</v>
      </c>
      <c r="D61" s="207">
        <f ca="1">SUM(E61:AI61)</f>
        <v>0</v>
      </c>
      <c r="E61" s="199">
        <f t="shared" ca="1" si="11"/>
        <v>0</v>
      </c>
      <c r="F61" s="199">
        <f t="shared" ca="1" si="11"/>
        <v>0</v>
      </c>
      <c r="G61" s="199">
        <f t="shared" ca="1" si="11"/>
        <v>0</v>
      </c>
      <c r="H61" s="199">
        <f t="shared" ca="1" si="11"/>
        <v>0</v>
      </c>
      <c r="I61" s="199">
        <f t="shared" ca="1" si="11"/>
        <v>0</v>
      </c>
      <c r="J61" s="199">
        <f t="shared" ca="1" si="11"/>
        <v>0</v>
      </c>
      <c r="K61" s="199">
        <f t="shared" ca="1" si="11"/>
        <v>0</v>
      </c>
      <c r="L61" s="199">
        <f t="shared" ca="1" si="11"/>
        <v>0</v>
      </c>
      <c r="M61" s="199">
        <f t="shared" ca="1" si="11"/>
        <v>0</v>
      </c>
      <c r="N61" s="199">
        <f t="shared" ca="1" si="11"/>
        <v>0</v>
      </c>
      <c r="O61" s="199">
        <f t="shared" ca="1" si="11"/>
        <v>0</v>
      </c>
      <c r="P61" s="199">
        <f t="shared" ca="1" si="11"/>
        <v>0</v>
      </c>
      <c r="Q61" s="199">
        <f t="shared" ca="1" si="11"/>
        <v>0</v>
      </c>
      <c r="R61" s="199">
        <f t="shared" ca="1" si="11"/>
        <v>0</v>
      </c>
      <c r="S61" s="199">
        <f t="shared" ca="1" si="11"/>
        <v>0</v>
      </c>
      <c r="T61" s="199">
        <f t="shared" ca="1" si="11"/>
        <v>0</v>
      </c>
      <c r="U61" s="199">
        <f t="shared" ca="1" si="11"/>
        <v>0</v>
      </c>
      <c r="V61" s="199">
        <f t="shared" ca="1" si="11"/>
        <v>0</v>
      </c>
      <c r="W61" s="199">
        <f t="shared" ca="1" si="11"/>
        <v>0</v>
      </c>
      <c r="X61" s="199">
        <f t="shared" ca="1" si="11"/>
        <v>0</v>
      </c>
      <c r="Y61" s="199">
        <f t="shared" ca="1" si="11"/>
        <v>0</v>
      </c>
      <c r="Z61" s="199">
        <f t="shared" ca="1" si="11"/>
        <v>0</v>
      </c>
      <c r="AA61" s="199">
        <f t="shared" ca="1" si="11"/>
        <v>0</v>
      </c>
      <c r="AB61" s="199">
        <f t="shared" ca="1" si="11"/>
        <v>0</v>
      </c>
      <c r="AC61" s="199">
        <f t="shared" ca="1" si="11"/>
        <v>0</v>
      </c>
      <c r="AD61" s="199">
        <f t="shared" ca="1" si="11"/>
        <v>0</v>
      </c>
      <c r="AE61" s="199">
        <f t="shared" ca="1" si="11"/>
        <v>0</v>
      </c>
      <c r="AF61" s="199">
        <f t="shared" ca="1" si="11"/>
        <v>0</v>
      </c>
      <c r="AG61" s="199">
        <f t="shared" ca="1" si="11"/>
        <v>0</v>
      </c>
      <c r="AH61" s="199">
        <f t="shared" ca="1" si="11"/>
        <v>0</v>
      </c>
      <c r="AI61" s="199">
        <f t="shared" ca="1" si="11"/>
        <v>0</v>
      </c>
    </row>
    <row r="62" spans="1:69" x14ac:dyDescent="0.3">
      <c r="A62" s="5"/>
      <c r="B62" s="5" t="s">
        <v>112</v>
      </c>
      <c r="C62" s="198" t="s">
        <v>11</v>
      </c>
      <c r="D62" s="207">
        <f ca="1">SUM(E62:AI62)</f>
        <v>0</v>
      </c>
      <c r="E62" s="199">
        <f t="shared" ca="1" si="11"/>
        <v>0</v>
      </c>
      <c r="F62" s="199">
        <f t="shared" ca="1" si="11"/>
        <v>0</v>
      </c>
      <c r="G62" s="199">
        <f t="shared" ca="1" si="11"/>
        <v>0</v>
      </c>
      <c r="H62" s="199">
        <f t="shared" ca="1" si="11"/>
        <v>0</v>
      </c>
      <c r="I62" s="199">
        <f t="shared" ca="1" si="11"/>
        <v>0</v>
      </c>
      <c r="J62" s="199">
        <f t="shared" ca="1" si="11"/>
        <v>0</v>
      </c>
      <c r="K62" s="199">
        <f t="shared" ca="1" si="11"/>
        <v>0</v>
      </c>
      <c r="L62" s="199">
        <f t="shared" ca="1" si="11"/>
        <v>0</v>
      </c>
      <c r="M62" s="199">
        <f t="shared" ca="1" si="11"/>
        <v>0</v>
      </c>
      <c r="N62" s="199">
        <f t="shared" ca="1" si="11"/>
        <v>0</v>
      </c>
      <c r="O62" s="199">
        <f t="shared" ca="1" si="11"/>
        <v>0</v>
      </c>
      <c r="P62" s="199">
        <f t="shared" ca="1" si="11"/>
        <v>0</v>
      </c>
      <c r="Q62" s="199">
        <f t="shared" ca="1" si="11"/>
        <v>0</v>
      </c>
      <c r="R62" s="199">
        <f t="shared" ca="1" si="11"/>
        <v>0</v>
      </c>
      <c r="S62" s="199">
        <f t="shared" ca="1" si="11"/>
        <v>0</v>
      </c>
      <c r="T62" s="199">
        <f t="shared" ca="1" si="11"/>
        <v>0</v>
      </c>
      <c r="U62" s="199">
        <f t="shared" ca="1" si="11"/>
        <v>0</v>
      </c>
      <c r="V62" s="199">
        <f t="shared" ca="1" si="11"/>
        <v>0</v>
      </c>
      <c r="W62" s="199">
        <f t="shared" ca="1" si="11"/>
        <v>0</v>
      </c>
      <c r="X62" s="199">
        <f t="shared" ca="1" si="11"/>
        <v>0</v>
      </c>
      <c r="Y62" s="199">
        <f t="shared" ca="1" si="11"/>
        <v>0</v>
      </c>
      <c r="Z62" s="199">
        <f t="shared" ca="1" si="11"/>
        <v>0</v>
      </c>
      <c r="AA62" s="199">
        <f t="shared" ca="1" si="11"/>
        <v>0</v>
      </c>
      <c r="AB62" s="199">
        <f t="shared" ca="1" si="11"/>
        <v>0</v>
      </c>
      <c r="AC62" s="199">
        <f t="shared" ca="1" si="11"/>
        <v>0</v>
      </c>
      <c r="AD62" s="199">
        <f t="shared" ca="1" si="11"/>
        <v>0</v>
      </c>
      <c r="AE62" s="199">
        <f t="shared" ca="1" si="11"/>
        <v>0</v>
      </c>
      <c r="AF62" s="199">
        <f t="shared" ca="1" si="11"/>
        <v>0</v>
      </c>
      <c r="AG62" s="199">
        <f t="shared" ca="1" si="11"/>
        <v>0</v>
      </c>
      <c r="AH62" s="199">
        <f t="shared" ca="1" si="11"/>
        <v>0</v>
      </c>
      <c r="AI62" s="199">
        <f t="shared" ca="1" si="11"/>
        <v>0</v>
      </c>
    </row>
    <row r="63" spans="1:69" x14ac:dyDescent="0.3">
      <c r="A63" s="5"/>
      <c r="B63" s="5" t="s">
        <v>5</v>
      </c>
      <c r="C63" s="198" t="s">
        <v>11</v>
      </c>
      <c r="D63" s="207">
        <f ca="1">SUM(E63:AI63)</f>
        <v>372.76860972753065</v>
      </c>
      <c r="E63" s="199">
        <f t="shared" ca="1" si="11"/>
        <v>0</v>
      </c>
      <c r="F63" s="199">
        <f t="shared" ca="1" si="11"/>
        <v>11.482869434245922</v>
      </c>
      <c r="G63" s="199">
        <f t="shared" ca="1" si="11"/>
        <v>36.934572592124105</v>
      </c>
      <c r="H63" s="199">
        <f t="shared" ca="1" si="11"/>
        <v>126.19713091341016</v>
      </c>
      <c r="I63" s="199">
        <f t="shared" ca="1" si="11"/>
        <v>150.86308607118613</v>
      </c>
      <c r="J63" s="199">
        <f t="shared" ca="1" si="11"/>
        <v>47.290950716564296</v>
      </c>
      <c r="K63" s="199">
        <f t="shared" ca="1" si="11"/>
        <v>0</v>
      </c>
      <c r="L63" s="199">
        <f t="shared" ca="1" si="11"/>
        <v>0</v>
      </c>
      <c r="M63" s="199">
        <f t="shared" ca="1" si="11"/>
        <v>0</v>
      </c>
      <c r="N63" s="199">
        <f t="shared" ca="1" si="11"/>
        <v>0</v>
      </c>
      <c r="O63" s="199">
        <f t="shared" ca="1" si="11"/>
        <v>0</v>
      </c>
      <c r="P63" s="199">
        <f t="shared" ca="1" si="11"/>
        <v>0</v>
      </c>
      <c r="Q63" s="199">
        <f t="shared" ca="1" si="11"/>
        <v>0</v>
      </c>
      <c r="R63" s="199">
        <f t="shared" ca="1" si="11"/>
        <v>0</v>
      </c>
      <c r="S63" s="199">
        <f t="shared" ca="1" si="11"/>
        <v>0</v>
      </c>
      <c r="T63" s="199">
        <f t="shared" ca="1" si="11"/>
        <v>0</v>
      </c>
      <c r="U63" s="199">
        <f t="shared" ca="1" si="11"/>
        <v>0</v>
      </c>
      <c r="V63" s="199">
        <f t="shared" ca="1" si="11"/>
        <v>0</v>
      </c>
      <c r="W63" s="199">
        <f t="shared" ca="1" si="11"/>
        <v>0</v>
      </c>
      <c r="X63" s="199">
        <f t="shared" ca="1" si="11"/>
        <v>0</v>
      </c>
      <c r="Y63" s="199">
        <f t="shared" ca="1" si="11"/>
        <v>0</v>
      </c>
      <c r="Z63" s="199">
        <f t="shared" ca="1" si="11"/>
        <v>0</v>
      </c>
      <c r="AA63" s="199">
        <f t="shared" ca="1" si="11"/>
        <v>0</v>
      </c>
      <c r="AB63" s="199">
        <f t="shared" ca="1" si="11"/>
        <v>0</v>
      </c>
      <c r="AC63" s="199">
        <f t="shared" ca="1" si="11"/>
        <v>0</v>
      </c>
      <c r="AD63" s="199">
        <f t="shared" ca="1" si="11"/>
        <v>0</v>
      </c>
      <c r="AE63" s="199">
        <f t="shared" ca="1" si="11"/>
        <v>0</v>
      </c>
      <c r="AF63" s="199">
        <f t="shared" ca="1" si="11"/>
        <v>0</v>
      </c>
      <c r="AG63" s="199">
        <f t="shared" ca="1" si="11"/>
        <v>0</v>
      </c>
      <c r="AH63" s="199">
        <f t="shared" ca="1" si="11"/>
        <v>0</v>
      </c>
      <c r="AI63" s="199">
        <f t="shared" ca="1" si="11"/>
        <v>0</v>
      </c>
    </row>
    <row r="64" spans="1:69" x14ac:dyDescent="0.3">
      <c r="A64" s="5"/>
      <c r="B64" s="5"/>
      <c r="C64" s="198"/>
      <c r="D64" s="208">
        <f ca="1">SUM(D60:D63)-D53</f>
        <v>0</v>
      </c>
      <c r="E64" s="209"/>
      <c r="F64" s="209"/>
      <c r="G64" s="209"/>
      <c r="H64" s="206"/>
      <c r="I64" s="206"/>
      <c r="J64" s="206"/>
      <c r="K64" s="206"/>
      <c r="L64" s="206"/>
      <c r="M64" s="206"/>
      <c r="N64" s="206"/>
      <c r="O64" s="206"/>
      <c r="P64" s="206"/>
      <c r="Q64" s="206"/>
      <c r="R64" s="206"/>
      <c r="S64" s="206"/>
      <c r="T64" s="206"/>
      <c r="U64" s="206"/>
      <c r="V64" s="206"/>
      <c r="W64" s="206"/>
      <c r="X64" s="206"/>
      <c r="Y64" s="206"/>
      <c r="Z64" s="206"/>
      <c r="AA64" s="206"/>
      <c r="AB64" s="206"/>
      <c r="AC64" s="206"/>
      <c r="AD64" s="206"/>
      <c r="AE64" s="206"/>
      <c r="AF64" s="206"/>
      <c r="AG64" s="206"/>
      <c r="AH64" s="206"/>
      <c r="AI64" s="206"/>
    </row>
    <row r="65" spans="1:35" x14ac:dyDescent="0.3">
      <c r="A65" s="210" t="s">
        <v>179</v>
      </c>
      <c r="B65" s="178"/>
      <c r="C65" s="195"/>
      <c r="D65" s="211"/>
      <c r="E65" s="212"/>
      <c r="F65" s="212"/>
      <c r="G65" s="212"/>
      <c r="H65" s="212"/>
      <c r="I65" s="212"/>
      <c r="J65" s="212"/>
      <c r="K65" s="212"/>
      <c r="L65" s="212"/>
      <c r="M65" s="212"/>
      <c r="N65" s="212"/>
      <c r="O65" s="212"/>
      <c r="P65" s="212"/>
      <c r="Q65" s="212"/>
      <c r="R65" s="212"/>
      <c r="S65" s="212"/>
      <c r="T65" s="212"/>
      <c r="U65" s="211"/>
      <c r="V65" s="211"/>
      <c r="W65" s="211"/>
      <c r="X65" s="211"/>
      <c r="Y65" s="211"/>
      <c r="Z65" s="211"/>
      <c r="AA65" s="211"/>
      <c r="AB65" s="211"/>
      <c r="AC65" s="211"/>
      <c r="AD65" s="211"/>
      <c r="AE65" s="211"/>
      <c r="AF65" s="211"/>
      <c r="AG65" s="211"/>
      <c r="AH65" s="211"/>
      <c r="AI65" s="211"/>
    </row>
    <row r="66" spans="1:35" x14ac:dyDescent="0.3">
      <c r="A66" s="5"/>
      <c r="B66" s="5" t="s">
        <v>112</v>
      </c>
      <c r="C66" s="198" t="s">
        <v>11</v>
      </c>
      <c r="D66" s="208"/>
      <c r="E66" s="199">
        <f t="shared" ref="E66:AI66" ca="1" si="12">E62</f>
        <v>0</v>
      </c>
      <c r="F66" s="199">
        <f t="shared" ca="1" si="12"/>
        <v>0</v>
      </c>
      <c r="G66" s="199">
        <f t="shared" ca="1" si="12"/>
        <v>0</v>
      </c>
      <c r="H66" s="199">
        <f t="shared" ca="1" si="12"/>
        <v>0</v>
      </c>
      <c r="I66" s="199">
        <f t="shared" ca="1" si="12"/>
        <v>0</v>
      </c>
      <c r="J66" s="199">
        <f t="shared" ca="1" si="12"/>
        <v>0</v>
      </c>
      <c r="K66" s="199">
        <f t="shared" ca="1" si="12"/>
        <v>0</v>
      </c>
      <c r="L66" s="199">
        <f t="shared" ca="1" si="12"/>
        <v>0</v>
      </c>
      <c r="M66" s="199">
        <f t="shared" ca="1" si="12"/>
        <v>0</v>
      </c>
      <c r="N66" s="199">
        <f t="shared" ca="1" si="12"/>
        <v>0</v>
      </c>
      <c r="O66" s="199">
        <f t="shared" ca="1" si="12"/>
        <v>0</v>
      </c>
      <c r="P66" s="199">
        <f t="shared" ca="1" si="12"/>
        <v>0</v>
      </c>
      <c r="Q66" s="199">
        <f t="shared" ca="1" si="12"/>
        <v>0</v>
      </c>
      <c r="R66" s="199">
        <f t="shared" ca="1" si="12"/>
        <v>0</v>
      </c>
      <c r="S66" s="199">
        <f t="shared" ca="1" si="12"/>
        <v>0</v>
      </c>
      <c r="T66" s="199">
        <f t="shared" ca="1" si="12"/>
        <v>0</v>
      </c>
      <c r="U66" s="199">
        <f t="shared" ca="1" si="12"/>
        <v>0</v>
      </c>
      <c r="V66" s="199">
        <f t="shared" ca="1" si="12"/>
        <v>0</v>
      </c>
      <c r="W66" s="199">
        <f t="shared" ca="1" si="12"/>
        <v>0</v>
      </c>
      <c r="X66" s="199">
        <f t="shared" ca="1" si="12"/>
        <v>0</v>
      </c>
      <c r="Y66" s="199">
        <f t="shared" ca="1" si="12"/>
        <v>0</v>
      </c>
      <c r="Z66" s="199">
        <f t="shared" ca="1" si="12"/>
        <v>0</v>
      </c>
      <c r="AA66" s="199">
        <f t="shared" ca="1" si="12"/>
        <v>0</v>
      </c>
      <c r="AB66" s="199">
        <f t="shared" ca="1" si="12"/>
        <v>0</v>
      </c>
      <c r="AC66" s="199">
        <f t="shared" ca="1" si="12"/>
        <v>0</v>
      </c>
      <c r="AD66" s="199">
        <f t="shared" ca="1" si="12"/>
        <v>0</v>
      </c>
      <c r="AE66" s="199">
        <f t="shared" ca="1" si="12"/>
        <v>0</v>
      </c>
      <c r="AF66" s="199">
        <f t="shared" ca="1" si="12"/>
        <v>0</v>
      </c>
      <c r="AG66" s="199">
        <f t="shared" ca="1" si="12"/>
        <v>0</v>
      </c>
      <c r="AH66" s="199">
        <f t="shared" ca="1" si="12"/>
        <v>0</v>
      </c>
      <c r="AI66" s="199">
        <f t="shared" ca="1" si="12"/>
        <v>0</v>
      </c>
    </row>
    <row r="67" spans="1:35" x14ac:dyDescent="0.3">
      <c r="A67" s="5"/>
      <c r="B67" s="5" t="s">
        <v>178</v>
      </c>
      <c r="C67" s="198" t="s">
        <v>11</v>
      </c>
      <c r="D67" s="205"/>
      <c r="E67" s="175">
        <f t="shared" ref="E67:AI67" ca="1" si="13">D67+E66</f>
        <v>0</v>
      </c>
      <c r="F67" s="175">
        <f t="shared" ca="1" si="13"/>
        <v>0</v>
      </c>
      <c r="G67" s="175">
        <f t="shared" ca="1" si="13"/>
        <v>0</v>
      </c>
      <c r="H67" s="175">
        <f t="shared" ca="1" si="13"/>
        <v>0</v>
      </c>
      <c r="I67" s="175">
        <f t="shared" ca="1" si="13"/>
        <v>0</v>
      </c>
      <c r="J67" s="175">
        <f t="shared" ca="1" si="13"/>
        <v>0</v>
      </c>
      <c r="K67" s="175">
        <f t="shared" ca="1" si="13"/>
        <v>0</v>
      </c>
      <c r="L67" s="175">
        <f t="shared" ca="1" si="13"/>
        <v>0</v>
      </c>
      <c r="M67" s="175">
        <f t="shared" ca="1" si="13"/>
        <v>0</v>
      </c>
      <c r="N67" s="175">
        <f t="shared" ca="1" si="13"/>
        <v>0</v>
      </c>
      <c r="O67" s="175">
        <f t="shared" ca="1" si="13"/>
        <v>0</v>
      </c>
      <c r="P67" s="175">
        <f t="shared" ca="1" si="13"/>
        <v>0</v>
      </c>
      <c r="Q67" s="175">
        <f t="shared" ca="1" si="13"/>
        <v>0</v>
      </c>
      <c r="R67" s="175">
        <f t="shared" ca="1" si="13"/>
        <v>0</v>
      </c>
      <c r="S67" s="175">
        <f t="shared" ca="1" si="13"/>
        <v>0</v>
      </c>
      <c r="T67" s="175">
        <f t="shared" ca="1" si="13"/>
        <v>0</v>
      </c>
      <c r="U67" s="175">
        <f t="shared" ca="1" si="13"/>
        <v>0</v>
      </c>
      <c r="V67" s="175">
        <f t="shared" ca="1" si="13"/>
        <v>0</v>
      </c>
      <c r="W67" s="175">
        <f t="shared" ca="1" si="13"/>
        <v>0</v>
      </c>
      <c r="X67" s="175">
        <f t="shared" ca="1" si="13"/>
        <v>0</v>
      </c>
      <c r="Y67" s="175">
        <f t="shared" ca="1" si="13"/>
        <v>0</v>
      </c>
      <c r="Z67" s="175">
        <f t="shared" ca="1" si="13"/>
        <v>0</v>
      </c>
      <c r="AA67" s="175">
        <f t="shared" ca="1" si="13"/>
        <v>0</v>
      </c>
      <c r="AB67" s="175">
        <f t="shared" ca="1" si="13"/>
        <v>0</v>
      </c>
      <c r="AC67" s="175">
        <f t="shared" ca="1" si="13"/>
        <v>0</v>
      </c>
      <c r="AD67" s="175">
        <f t="shared" ca="1" si="13"/>
        <v>0</v>
      </c>
      <c r="AE67" s="175">
        <f t="shared" ca="1" si="13"/>
        <v>0</v>
      </c>
      <c r="AF67" s="175">
        <f t="shared" ca="1" si="13"/>
        <v>0</v>
      </c>
      <c r="AG67" s="175">
        <f t="shared" ca="1" si="13"/>
        <v>0</v>
      </c>
      <c r="AH67" s="175">
        <f t="shared" ca="1" si="13"/>
        <v>0</v>
      </c>
      <c r="AI67" s="175">
        <f t="shared" ca="1" si="13"/>
        <v>0</v>
      </c>
    </row>
    <row r="68" spans="1:35" x14ac:dyDescent="0.3">
      <c r="A68" s="5"/>
      <c r="B68" s="5"/>
      <c r="C68" s="198"/>
      <c r="D68" s="205"/>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row>
    <row r="69" spans="1:35" x14ac:dyDescent="0.3">
      <c r="A69" s="210" t="s">
        <v>177</v>
      </c>
      <c r="B69" s="178"/>
      <c r="C69" s="195"/>
      <c r="D69" s="211"/>
      <c r="E69" s="212"/>
      <c r="F69" s="212"/>
      <c r="G69" s="212"/>
      <c r="H69" s="212"/>
      <c r="I69" s="212"/>
      <c r="J69" s="212"/>
      <c r="K69" s="212"/>
      <c r="L69" s="212"/>
      <c r="M69" s="212"/>
      <c r="N69" s="212"/>
      <c r="O69" s="212"/>
      <c r="P69" s="212"/>
      <c r="Q69" s="212"/>
      <c r="R69" s="212"/>
      <c r="S69" s="212"/>
      <c r="T69" s="212"/>
      <c r="U69" s="211"/>
      <c r="V69" s="211"/>
      <c r="W69" s="211"/>
      <c r="X69" s="211"/>
      <c r="Y69" s="211"/>
      <c r="Z69" s="211"/>
      <c r="AA69" s="211"/>
      <c r="AB69" s="211"/>
      <c r="AC69" s="211"/>
      <c r="AD69" s="211"/>
      <c r="AE69" s="211"/>
      <c r="AF69" s="211"/>
      <c r="AG69" s="211"/>
      <c r="AH69" s="211"/>
      <c r="AI69" s="211"/>
    </row>
    <row r="70" spans="1:35" x14ac:dyDescent="0.3">
      <c r="A70" s="5"/>
      <c r="B70" s="5" t="s">
        <v>5</v>
      </c>
      <c r="C70" s="198" t="s">
        <v>11</v>
      </c>
      <c r="D70" s="208"/>
      <c r="E70" s="199">
        <f t="shared" ref="E70:AI70" ca="1" si="14">E63</f>
        <v>0</v>
      </c>
      <c r="F70" s="199">
        <f t="shared" ca="1" si="14"/>
        <v>11.482869434245922</v>
      </c>
      <c r="G70" s="199">
        <f t="shared" ca="1" si="14"/>
        <v>36.934572592124105</v>
      </c>
      <c r="H70" s="199">
        <f t="shared" ca="1" si="14"/>
        <v>126.19713091341016</v>
      </c>
      <c r="I70" s="199">
        <f t="shared" ca="1" si="14"/>
        <v>150.86308607118613</v>
      </c>
      <c r="J70" s="199">
        <f t="shared" ca="1" si="14"/>
        <v>47.290950716564296</v>
      </c>
      <c r="K70" s="199">
        <f t="shared" ca="1" si="14"/>
        <v>0</v>
      </c>
      <c r="L70" s="199">
        <f t="shared" ca="1" si="14"/>
        <v>0</v>
      </c>
      <c r="M70" s="199">
        <f t="shared" ca="1" si="14"/>
        <v>0</v>
      </c>
      <c r="N70" s="199">
        <f t="shared" ca="1" si="14"/>
        <v>0</v>
      </c>
      <c r="O70" s="199">
        <f t="shared" ca="1" si="14"/>
        <v>0</v>
      </c>
      <c r="P70" s="199">
        <f t="shared" ca="1" si="14"/>
        <v>0</v>
      </c>
      <c r="Q70" s="199">
        <f t="shared" ca="1" si="14"/>
        <v>0</v>
      </c>
      <c r="R70" s="199">
        <f t="shared" ca="1" si="14"/>
        <v>0</v>
      </c>
      <c r="S70" s="199">
        <f t="shared" ca="1" si="14"/>
        <v>0</v>
      </c>
      <c r="T70" s="199">
        <f t="shared" ca="1" si="14"/>
        <v>0</v>
      </c>
      <c r="U70" s="199">
        <f t="shared" ca="1" si="14"/>
        <v>0</v>
      </c>
      <c r="V70" s="199">
        <f t="shared" ca="1" si="14"/>
        <v>0</v>
      </c>
      <c r="W70" s="199">
        <f t="shared" ca="1" si="14"/>
        <v>0</v>
      </c>
      <c r="X70" s="199">
        <f t="shared" ca="1" si="14"/>
        <v>0</v>
      </c>
      <c r="Y70" s="199">
        <f t="shared" ca="1" si="14"/>
        <v>0</v>
      </c>
      <c r="Z70" s="199">
        <f t="shared" ca="1" si="14"/>
        <v>0</v>
      </c>
      <c r="AA70" s="199">
        <f t="shared" ca="1" si="14"/>
        <v>0</v>
      </c>
      <c r="AB70" s="199">
        <f t="shared" ca="1" si="14"/>
        <v>0</v>
      </c>
      <c r="AC70" s="199">
        <f t="shared" ca="1" si="14"/>
        <v>0</v>
      </c>
      <c r="AD70" s="199">
        <f t="shared" ca="1" si="14"/>
        <v>0</v>
      </c>
      <c r="AE70" s="199">
        <f t="shared" ca="1" si="14"/>
        <v>0</v>
      </c>
      <c r="AF70" s="199">
        <f t="shared" ca="1" si="14"/>
        <v>0</v>
      </c>
      <c r="AG70" s="199">
        <f t="shared" ca="1" si="14"/>
        <v>0</v>
      </c>
      <c r="AH70" s="199">
        <f t="shared" ca="1" si="14"/>
        <v>0</v>
      </c>
      <c r="AI70" s="199">
        <f t="shared" ca="1" si="14"/>
        <v>0</v>
      </c>
    </row>
    <row r="71" spans="1:35" x14ac:dyDescent="0.3">
      <c r="A71" s="5"/>
      <c r="B71" s="5" t="s">
        <v>149</v>
      </c>
      <c r="C71" s="198" t="s">
        <v>11</v>
      </c>
      <c r="D71" s="205"/>
      <c r="E71" s="175">
        <f t="shared" ref="E71:AI71" ca="1" si="15">D71+E70</f>
        <v>0</v>
      </c>
      <c r="F71" s="175">
        <f t="shared" ca="1" si="15"/>
        <v>11.482869434245922</v>
      </c>
      <c r="G71" s="175">
        <f t="shared" ca="1" si="15"/>
        <v>48.417442026370026</v>
      </c>
      <c r="H71" s="175">
        <f t="shared" ca="1" si="15"/>
        <v>174.6145729397802</v>
      </c>
      <c r="I71" s="175">
        <f t="shared" ca="1" si="15"/>
        <v>325.47765901096636</v>
      </c>
      <c r="J71" s="175">
        <f t="shared" ca="1" si="15"/>
        <v>372.76860972753065</v>
      </c>
      <c r="K71" s="175">
        <f t="shared" ca="1" si="15"/>
        <v>372.76860972753065</v>
      </c>
      <c r="L71" s="175">
        <f t="shared" ca="1" si="15"/>
        <v>372.76860972753065</v>
      </c>
      <c r="M71" s="175">
        <f t="shared" ca="1" si="15"/>
        <v>372.76860972753065</v>
      </c>
      <c r="N71" s="175">
        <f t="shared" ca="1" si="15"/>
        <v>372.76860972753065</v>
      </c>
      <c r="O71" s="175">
        <f t="shared" ca="1" si="15"/>
        <v>372.76860972753065</v>
      </c>
      <c r="P71" s="175">
        <f t="shared" ca="1" si="15"/>
        <v>372.76860972753065</v>
      </c>
      <c r="Q71" s="175">
        <f t="shared" ca="1" si="15"/>
        <v>372.76860972753065</v>
      </c>
      <c r="R71" s="175">
        <f t="shared" ca="1" si="15"/>
        <v>372.76860972753065</v>
      </c>
      <c r="S71" s="175">
        <f t="shared" ca="1" si="15"/>
        <v>372.76860972753065</v>
      </c>
      <c r="T71" s="175">
        <f t="shared" ca="1" si="15"/>
        <v>372.76860972753065</v>
      </c>
      <c r="U71" s="175">
        <f t="shared" ca="1" si="15"/>
        <v>372.76860972753065</v>
      </c>
      <c r="V71" s="175">
        <f t="shared" ca="1" si="15"/>
        <v>372.76860972753065</v>
      </c>
      <c r="W71" s="175">
        <f t="shared" ca="1" si="15"/>
        <v>372.76860972753065</v>
      </c>
      <c r="X71" s="175">
        <f t="shared" ca="1" si="15"/>
        <v>372.76860972753065</v>
      </c>
      <c r="Y71" s="175">
        <f t="shared" ca="1" si="15"/>
        <v>372.76860972753065</v>
      </c>
      <c r="Z71" s="175">
        <f t="shared" ca="1" si="15"/>
        <v>372.76860972753065</v>
      </c>
      <c r="AA71" s="175">
        <f t="shared" ca="1" si="15"/>
        <v>372.76860972753065</v>
      </c>
      <c r="AB71" s="175">
        <f t="shared" ca="1" si="15"/>
        <v>372.76860972753065</v>
      </c>
      <c r="AC71" s="175">
        <f t="shared" ca="1" si="15"/>
        <v>372.76860972753065</v>
      </c>
      <c r="AD71" s="175">
        <f t="shared" ca="1" si="15"/>
        <v>372.76860972753065</v>
      </c>
      <c r="AE71" s="175">
        <f t="shared" ca="1" si="15"/>
        <v>372.76860972753065</v>
      </c>
      <c r="AF71" s="175">
        <f t="shared" ca="1" si="15"/>
        <v>372.76860972753065</v>
      </c>
      <c r="AG71" s="175">
        <f t="shared" ca="1" si="15"/>
        <v>372.76860972753065</v>
      </c>
      <c r="AH71" s="175">
        <f t="shared" ca="1" si="15"/>
        <v>372.76860972753065</v>
      </c>
      <c r="AI71" s="175">
        <f t="shared" ca="1" si="15"/>
        <v>372.76860972753065</v>
      </c>
    </row>
    <row r="72" spans="1:35" x14ac:dyDescent="0.3">
      <c r="A72" s="8"/>
    </row>
    <row r="73" spans="1:35" x14ac:dyDescent="0.3">
      <c r="A73" s="210" t="s">
        <v>176</v>
      </c>
      <c r="B73" s="178"/>
      <c r="C73" s="195"/>
      <c r="D73" s="211"/>
      <c r="E73" s="197"/>
      <c r="F73" s="197"/>
      <c r="G73" s="197"/>
      <c r="H73" s="197"/>
      <c r="I73" s="197"/>
      <c r="J73" s="197"/>
      <c r="K73" s="197"/>
      <c r="L73" s="197"/>
      <c r="M73" s="197"/>
      <c r="N73" s="197"/>
      <c r="O73" s="197"/>
      <c r="P73" s="197"/>
      <c r="Q73" s="197"/>
      <c r="R73" s="197"/>
      <c r="S73" s="197"/>
      <c r="T73" s="197"/>
      <c r="U73" s="197"/>
      <c r="V73" s="197"/>
      <c r="W73" s="197"/>
      <c r="X73" s="211"/>
      <c r="Y73" s="211"/>
      <c r="Z73" s="211"/>
      <c r="AA73" s="211"/>
      <c r="AB73" s="211"/>
      <c r="AC73" s="211"/>
      <c r="AD73" s="211"/>
      <c r="AE73" s="211"/>
      <c r="AF73" s="211"/>
      <c r="AG73" s="211"/>
      <c r="AH73" s="211"/>
      <c r="AI73" s="211"/>
    </row>
    <row r="74" spans="1:35" x14ac:dyDescent="0.3">
      <c r="A74" s="5"/>
      <c r="B74" s="5" t="s">
        <v>138</v>
      </c>
      <c r="C74" s="198" t="s">
        <v>11</v>
      </c>
      <c r="D74" s="205"/>
      <c r="E74" s="208">
        <f t="shared" ref="E74:AI74" si="16">D77</f>
        <v>0</v>
      </c>
      <c r="F74" s="208">
        <f t="shared" ca="1" si="16"/>
        <v>0</v>
      </c>
      <c r="G74" s="208">
        <f t="shared" ca="1" si="16"/>
        <v>26.793362013240479</v>
      </c>
      <c r="H74" s="208">
        <f t="shared" ca="1" si="16"/>
        <v>112.97403139486337</v>
      </c>
      <c r="I74" s="208">
        <f t="shared" ca="1" si="16"/>
        <v>407.43400352615367</v>
      </c>
      <c r="J74" s="208">
        <f t="shared" ca="1" si="16"/>
        <v>759.44787102558792</v>
      </c>
      <c r="K74" s="208">
        <f t="shared" ca="1" si="16"/>
        <v>869.79342269757126</v>
      </c>
      <c r="L74" s="208">
        <f t="shared" ca="1" si="16"/>
        <v>855.2968656526117</v>
      </c>
      <c r="M74" s="208">
        <f t="shared" ca="1" si="16"/>
        <v>840.80030860765214</v>
      </c>
      <c r="N74" s="208">
        <f t="shared" ca="1" si="16"/>
        <v>826.30375156269258</v>
      </c>
      <c r="O74" s="208">
        <f t="shared" ca="1" si="16"/>
        <v>811.80719451773302</v>
      </c>
      <c r="P74" s="208">
        <f t="shared" ca="1" si="16"/>
        <v>797.31063747277346</v>
      </c>
      <c r="Q74" s="208">
        <f t="shared" ca="1" si="16"/>
        <v>782.81408042781391</v>
      </c>
      <c r="R74" s="208">
        <f t="shared" ca="1" si="16"/>
        <v>768.31752338285435</v>
      </c>
      <c r="S74" s="208">
        <f t="shared" ca="1" si="16"/>
        <v>753.82096633789479</v>
      </c>
      <c r="T74" s="208">
        <f t="shared" ca="1" si="16"/>
        <v>739.32440929293523</v>
      </c>
      <c r="U74" s="208">
        <f t="shared" ca="1" si="16"/>
        <v>724.82785224797567</v>
      </c>
      <c r="V74" s="208">
        <f t="shared" ca="1" si="16"/>
        <v>710.33129520301611</v>
      </c>
      <c r="W74" s="208">
        <f t="shared" ca="1" si="16"/>
        <v>695.83473815805655</v>
      </c>
      <c r="X74" s="208">
        <f t="shared" ca="1" si="16"/>
        <v>681.33818111309699</v>
      </c>
      <c r="Y74" s="208">
        <f t="shared" ca="1" si="16"/>
        <v>666.84162406813743</v>
      </c>
      <c r="Z74" s="208">
        <f t="shared" ca="1" si="16"/>
        <v>652.34506702317788</v>
      </c>
      <c r="AA74" s="208">
        <f t="shared" ca="1" si="16"/>
        <v>637.84850997821832</v>
      </c>
      <c r="AB74" s="208">
        <f t="shared" ca="1" si="16"/>
        <v>623.35195293325876</v>
      </c>
      <c r="AC74" s="208">
        <f t="shared" ca="1" si="16"/>
        <v>608.8553958882992</v>
      </c>
      <c r="AD74" s="208">
        <f t="shared" ca="1" si="16"/>
        <v>594.35883884333964</v>
      </c>
      <c r="AE74" s="208">
        <f t="shared" ca="1" si="16"/>
        <v>579.86228179838008</v>
      </c>
      <c r="AF74" s="208">
        <f t="shared" ca="1" si="16"/>
        <v>565.36572475342052</v>
      </c>
      <c r="AG74" s="208">
        <f t="shared" ca="1" si="16"/>
        <v>550.86916770846096</v>
      </c>
      <c r="AH74" s="208">
        <f t="shared" ca="1" si="16"/>
        <v>536.3726106635014</v>
      </c>
      <c r="AI74" s="208">
        <f t="shared" ca="1" si="16"/>
        <v>521.87605361854185</v>
      </c>
    </row>
    <row r="75" spans="1:35" x14ac:dyDescent="0.3">
      <c r="A75" s="5"/>
      <c r="B75" s="5" t="s">
        <v>1109</v>
      </c>
      <c r="C75" s="198" t="s">
        <v>11</v>
      </c>
      <c r="D75" s="208">
        <f ca="1">SUM(E75:V75)</f>
        <v>869.79342269757126</v>
      </c>
      <c r="E75" s="199">
        <f t="shared" ref="E75:AI75" ca="1" si="17">E60</f>
        <v>0</v>
      </c>
      <c r="F75" s="199">
        <f t="shared" ca="1" si="17"/>
        <v>26.793362013240479</v>
      </c>
      <c r="G75" s="199">
        <f t="shared" ca="1" si="17"/>
        <v>86.180669381622891</v>
      </c>
      <c r="H75" s="199">
        <f t="shared" ca="1" si="17"/>
        <v>294.45997213129033</v>
      </c>
      <c r="I75" s="199">
        <f t="shared" ca="1" si="17"/>
        <v>352.01386749943424</v>
      </c>
      <c r="J75" s="199">
        <f t="shared" ca="1" si="17"/>
        <v>110.34555167198333</v>
      </c>
      <c r="K75" s="199">
        <f t="shared" ca="1" si="17"/>
        <v>0</v>
      </c>
      <c r="L75" s="199">
        <f t="shared" ca="1" si="17"/>
        <v>0</v>
      </c>
      <c r="M75" s="199">
        <f t="shared" ca="1" si="17"/>
        <v>0</v>
      </c>
      <c r="N75" s="199">
        <f t="shared" ca="1" si="17"/>
        <v>0</v>
      </c>
      <c r="O75" s="199">
        <f t="shared" ca="1" si="17"/>
        <v>0</v>
      </c>
      <c r="P75" s="199">
        <f t="shared" ca="1" si="17"/>
        <v>0</v>
      </c>
      <c r="Q75" s="199">
        <f t="shared" ca="1" si="17"/>
        <v>0</v>
      </c>
      <c r="R75" s="199">
        <f t="shared" ca="1" si="17"/>
        <v>0</v>
      </c>
      <c r="S75" s="199">
        <f t="shared" ca="1" si="17"/>
        <v>0</v>
      </c>
      <c r="T75" s="199">
        <f t="shared" ca="1" si="17"/>
        <v>0</v>
      </c>
      <c r="U75" s="199">
        <f t="shared" ca="1" si="17"/>
        <v>0</v>
      </c>
      <c r="V75" s="199">
        <f t="shared" ca="1" si="17"/>
        <v>0</v>
      </c>
      <c r="W75" s="199">
        <f t="shared" ca="1" si="17"/>
        <v>0</v>
      </c>
      <c r="X75" s="199">
        <f t="shared" ca="1" si="17"/>
        <v>0</v>
      </c>
      <c r="Y75" s="199">
        <f t="shared" ca="1" si="17"/>
        <v>0</v>
      </c>
      <c r="Z75" s="199">
        <f t="shared" ca="1" si="17"/>
        <v>0</v>
      </c>
      <c r="AA75" s="199">
        <f t="shared" ca="1" si="17"/>
        <v>0</v>
      </c>
      <c r="AB75" s="199">
        <f t="shared" ca="1" si="17"/>
        <v>0</v>
      </c>
      <c r="AC75" s="199">
        <f t="shared" ca="1" si="17"/>
        <v>0</v>
      </c>
      <c r="AD75" s="199">
        <f t="shared" ca="1" si="17"/>
        <v>0</v>
      </c>
      <c r="AE75" s="199">
        <f t="shared" ca="1" si="17"/>
        <v>0</v>
      </c>
      <c r="AF75" s="199">
        <f t="shared" ca="1" si="17"/>
        <v>0</v>
      </c>
      <c r="AG75" s="199">
        <f t="shared" ca="1" si="17"/>
        <v>0</v>
      </c>
      <c r="AH75" s="199">
        <f t="shared" ca="1" si="17"/>
        <v>0</v>
      </c>
      <c r="AI75" s="199">
        <f t="shared" ca="1" si="17"/>
        <v>0</v>
      </c>
    </row>
    <row r="76" spans="1:35" x14ac:dyDescent="0.3">
      <c r="A76" s="5"/>
      <c r="B76" s="5" t="s">
        <v>136</v>
      </c>
      <c r="C76" s="198" t="s">
        <v>11</v>
      </c>
      <c r="D76" s="205"/>
      <c r="E76" s="208">
        <f>IF(E$10&gt;Input!$E$184,MIN(E74+E75,$D$75/(Input!$E$185*4)),0)</f>
        <v>0</v>
      </c>
      <c r="F76" s="208">
        <f>IF(F$10&gt;Input!$E$184,MIN(F74+F75,$D$75/(Input!$E$185*4)),0)</f>
        <v>0</v>
      </c>
      <c r="G76" s="208">
        <f>IF(G$10&gt;Input!$E$184,MIN(G74+G75,$D$75/(Input!$E$185*4)),0)</f>
        <v>0</v>
      </c>
      <c r="H76" s="208">
        <f>IF(H$10&gt;Input!$E$184,MIN(H74+H75,$D$75/(Input!$E$185*4)),0)</f>
        <v>0</v>
      </c>
      <c r="I76" s="208">
        <f>IF(I$10&gt;Input!$E$184,MIN(I74+I75,$D$75/(Input!$E$185*4)),0)</f>
        <v>0</v>
      </c>
      <c r="J76" s="208">
        <f>IF(J$10&gt;Input!$E$184,MIN(J74+J75,$D$75/(Input!$E$185*4)),0)</f>
        <v>0</v>
      </c>
      <c r="K76" s="208">
        <f ca="1">IF(K$10&gt;Input!$E$184,MIN(K74+K75,$D$75/(Input!$E$185*4)),0)</f>
        <v>14.496557044959522</v>
      </c>
      <c r="L76" s="208">
        <f ca="1">IF(L$10&gt;Input!$E$184,MIN(L74+L75,$D$75/(Input!$E$185*4)),0)</f>
        <v>14.496557044959522</v>
      </c>
      <c r="M76" s="208">
        <f ca="1">IF(M$10&gt;Input!$E$184,MIN(M74+M75,$D$75/(Input!$E$185*4)),0)</f>
        <v>14.496557044959522</v>
      </c>
      <c r="N76" s="208">
        <f ca="1">IF(N$10&gt;Input!$E$184,MIN(N74+N75,$D$75/(Input!$E$185*4)),0)</f>
        <v>14.496557044959522</v>
      </c>
      <c r="O76" s="208">
        <f ca="1">IF(O$10&gt;Input!$E$184,MIN(O74+O75,$D$75/(Input!$E$185*4)),0)</f>
        <v>14.496557044959522</v>
      </c>
      <c r="P76" s="208">
        <f ca="1">IF(P$10&gt;Input!$E$184,MIN(P74+P75,$D$75/(Input!$E$185*4)),0)</f>
        <v>14.496557044959522</v>
      </c>
      <c r="Q76" s="208">
        <f ca="1">IF(Q$10&gt;Input!$E$184,MIN(Q74+Q75,$D$75/(Input!$E$185*4)),0)</f>
        <v>14.496557044959522</v>
      </c>
      <c r="R76" s="208">
        <f ca="1">IF(R$10&gt;Input!$E$184,MIN(R74+R75,$D$75/(Input!$E$185*4)),0)</f>
        <v>14.496557044959522</v>
      </c>
      <c r="S76" s="208">
        <f ca="1">IF(S$10&gt;Input!$E$184,MIN(S74+S75,$D$75/(Input!$E$185*4)),0)</f>
        <v>14.496557044959522</v>
      </c>
      <c r="T76" s="208">
        <f ca="1">IF(T$10&gt;Input!$E$184,MIN(T74+T75,$D$75/(Input!$E$185*4)),0)</f>
        <v>14.496557044959522</v>
      </c>
      <c r="U76" s="208">
        <f ca="1">IF(U$10&gt;Input!$E$184,MIN(U74+U75,$D$75/(Input!$E$185*4)),0)</f>
        <v>14.496557044959522</v>
      </c>
      <c r="V76" s="208">
        <f ca="1">IF(V$10&gt;Input!$E$184,MIN(V74+V75,$D$75/(Input!$E$185*4)),0)</f>
        <v>14.496557044959522</v>
      </c>
      <c r="W76" s="208">
        <f ca="1">IF(W$10&gt;Input!$E$184,MIN(W74+W75,$D$75/(Input!$E$185*4)),0)</f>
        <v>14.496557044959522</v>
      </c>
      <c r="X76" s="208">
        <f ca="1">IF(X$10&gt;Input!$E$184,MIN(X74+X75,$D$75/(Input!$E$185*4)),0)</f>
        <v>14.496557044959522</v>
      </c>
      <c r="Y76" s="208">
        <f ca="1">IF(Y$10&gt;Input!$E$184,MIN(Y74+Y75,$D$75/(Input!$E$185*4)),0)</f>
        <v>14.496557044959522</v>
      </c>
      <c r="Z76" s="208">
        <f ca="1">IF(Z$10&gt;Input!$E$184,MIN(Z74+Z75,$D$75/(Input!$E$185*4)),0)</f>
        <v>14.496557044959522</v>
      </c>
      <c r="AA76" s="208">
        <f ca="1">IF(AA$10&gt;Input!$E$184,MIN(AA74+AA75,$D$75/(Input!$E$185*4)),0)</f>
        <v>14.496557044959522</v>
      </c>
      <c r="AB76" s="208">
        <f ca="1">IF(AB$10&gt;Input!$E$184,MIN(AB74+AB75,$D$75/(Input!$E$185*4)),0)</f>
        <v>14.496557044959522</v>
      </c>
      <c r="AC76" s="208">
        <f ca="1">IF(AC$10&gt;Input!$E$184,MIN(AC74+AC75,$D$75/(Input!$E$185*4)),0)</f>
        <v>14.496557044959522</v>
      </c>
      <c r="AD76" s="208">
        <f ca="1">IF(AD$10&gt;Input!$E$184,MIN(AD74+AD75,$D$75/(Input!$E$185*4)),0)</f>
        <v>14.496557044959522</v>
      </c>
      <c r="AE76" s="208">
        <f ca="1">IF(AE$10&gt;Input!$E$184,MIN(AE74+AE75,$D$75/(Input!$E$185*4)),0)</f>
        <v>14.496557044959522</v>
      </c>
      <c r="AF76" s="208">
        <f ca="1">IF(AF$10&gt;Input!$E$184,MIN(AF74+AF75,$D$75/(Input!$E$185*4)),0)</f>
        <v>14.496557044959522</v>
      </c>
      <c r="AG76" s="208">
        <f ca="1">IF(AG$10&gt;Input!$E$184,MIN(AG74+AG75,$D$75/(Input!$E$185*4)),0)</f>
        <v>14.496557044959522</v>
      </c>
      <c r="AH76" s="208">
        <f ca="1">IF(AH$10&gt;Input!$E$184,MIN(AH74+AH75,$D$75/(Input!$E$185*4)),0)</f>
        <v>14.496557044959522</v>
      </c>
      <c r="AI76" s="208">
        <f ca="1">IF(AI$10&gt;Input!$E$184,MIN(AI74+AI75,$D$75/(Input!$E$185*4)),0)</f>
        <v>14.496557044959522</v>
      </c>
    </row>
    <row r="77" spans="1:35" x14ac:dyDescent="0.3">
      <c r="A77" s="5"/>
      <c r="B77" s="5" t="s">
        <v>135</v>
      </c>
      <c r="C77" s="198" t="s">
        <v>11</v>
      </c>
      <c r="D77" s="205"/>
      <c r="E77" s="208">
        <f t="shared" ref="E77:AI77" ca="1" si="18">E74+E75-E76</f>
        <v>0</v>
      </c>
      <c r="F77" s="208">
        <f t="shared" ca="1" si="18"/>
        <v>26.793362013240479</v>
      </c>
      <c r="G77" s="208">
        <f t="shared" ca="1" si="18"/>
        <v>112.97403139486337</v>
      </c>
      <c r="H77" s="208">
        <f t="shared" ca="1" si="18"/>
        <v>407.43400352615367</v>
      </c>
      <c r="I77" s="208">
        <f t="shared" ca="1" si="18"/>
        <v>759.44787102558792</v>
      </c>
      <c r="J77" s="208">
        <f t="shared" ca="1" si="18"/>
        <v>869.79342269757126</v>
      </c>
      <c r="K77" s="208">
        <f t="shared" ca="1" si="18"/>
        <v>855.2968656526117</v>
      </c>
      <c r="L77" s="208">
        <f t="shared" ca="1" si="18"/>
        <v>840.80030860765214</v>
      </c>
      <c r="M77" s="208">
        <f t="shared" ca="1" si="18"/>
        <v>826.30375156269258</v>
      </c>
      <c r="N77" s="208">
        <f t="shared" ca="1" si="18"/>
        <v>811.80719451773302</v>
      </c>
      <c r="O77" s="208">
        <f t="shared" ca="1" si="18"/>
        <v>797.31063747277346</v>
      </c>
      <c r="P77" s="208">
        <f t="shared" ca="1" si="18"/>
        <v>782.81408042781391</v>
      </c>
      <c r="Q77" s="208">
        <f t="shared" ca="1" si="18"/>
        <v>768.31752338285435</v>
      </c>
      <c r="R77" s="208">
        <f t="shared" ca="1" si="18"/>
        <v>753.82096633789479</v>
      </c>
      <c r="S77" s="208">
        <f t="shared" ca="1" si="18"/>
        <v>739.32440929293523</v>
      </c>
      <c r="T77" s="208">
        <f t="shared" ca="1" si="18"/>
        <v>724.82785224797567</v>
      </c>
      <c r="U77" s="208">
        <f t="shared" ca="1" si="18"/>
        <v>710.33129520301611</v>
      </c>
      <c r="V77" s="208">
        <f t="shared" ca="1" si="18"/>
        <v>695.83473815805655</v>
      </c>
      <c r="W77" s="208">
        <f t="shared" ca="1" si="18"/>
        <v>681.33818111309699</v>
      </c>
      <c r="X77" s="208">
        <f t="shared" ca="1" si="18"/>
        <v>666.84162406813743</v>
      </c>
      <c r="Y77" s="208">
        <f t="shared" ca="1" si="18"/>
        <v>652.34506702317788</v>
      </c>
      <c r="Z77" s="208">
        <f t="shared" ca="1" si="18"/>
        <v>637.84850997821832</v>
      </c>
      <c r="AA77" s="208">
        <f t="shared" ca="1" si="18"/>
        <v>623.35195293325876</v>
      </c>
      <c r="AB77" s="208">
        <f t="shared" ca="1" si="18"/>
        <v>608.8553958882992</v>
      </c>
      <c r="AC77" s="208">
        <f t="shared" ca="1" si="18"/>
        <v>594.35883884333964</v>
      </c>
      <c r="AD77" s="208">
        <f t="shared" ca="1" si="18"/>
        <v>579.86228179838008</v>
      </c>
      <c r="AE77" s="208">
        <f t="shared" ca="1" si="18"/>
        <v>565.36572475342052</v>
      </c>
      <c r="AF77" s="208">
        <f t="shared" ca="1" si="18"/>
        <v>550.86916770846096</v>
      </c>
      <c r="AG77" s="208">
        <f t="shared" ca="1" si="18"/>
        <v>536.3726106635014</v>
      </c>
      <c r="AH77" s="208">
        <f t="shared" ca="1" si="18"/>
        <v>521.87605361854185</v>
      </c>
      <c r="AI77" s="208">
        <f t="shared" ca="1" si="18"/>
        <v>507.37949657358234</v>
      </c>
    </row>
    <row r="78" spans="1:35" x14ac:dyDescent="0.3">
      <c r="A78" s="5"/>
      <c r="B78" s="5"/>
      <c r="C78" s="198"/>
      <c r="D78" s="205"/>
      <c r="E78" s="208"/>
      <c r="F78" s="208"/>
      <c r="G78" s="208"/>
      <c r="H78" s="208"/>
      <c r="I78" s="208"/>
      <c r="J78" s="208"/>
      <c r="K78" s="208"/>
      <c r="L78" s="208"/>
      <c r="M78" s="208"/>
      <c r="N78" s="208"/>
      <c r="O78" s="208"/>
      <c r="P78" s="208"/>
      <c r="Q78" s="208"/>
      <c r="R78" s="208"/>
      <c r="S78" s="208"/>
      <c r="T78" s="208"/>
      <c r="U78" s="208"/>
      <c r="V78" s="208"/>
      <c r="W78" s="208"/>
      <c r="X78" s="208"/>
      <c r="Y78" s="208"/>
      <c r="Z78" s="208"/>
      <c r="AA78" s="208"/>
      <c r="AB78" s="208"/>
      <c r="AC78" s="208"/>
      <c r="AD78" s="208"/>
      <c r="AE78" s="208"/>
      <c r="AF78" s="208"/>
      <c r="AG78" s="208"/>
      <c r="AH78" s="208"/>
      <c r="AI78" s="208"/>
    </row>
    <row r="79" spans="1:35" x14ac:dyDescent="0.3">
      <c r="A79" s="5"/>
      <c r="B79" s="5" t="s">
        <v>53</v>
      </c>
      <c r="C79" s="198" t="s">
        <v>0</v>
      </c>
      <c r="D79" s="205"/>
      <c r="E79" s="318">
        <f>Input!$E$186</f>
        <v>0.06</v>
      </c>
      <c r="F79" s="318">
        <f>Input!$E$186</f>
        <v>0.06</v>
      </c>
      <c r="G79" s="318">
        <f>Input!$E$186</f>
        <v>0.06</v>
      </c>
      <c r="H79" s="318">
        <f>Input!$E$186</f>
        <v>0.06</v>
      </c>
      <c r="I79" s="318">
        <f>Input!$E$186</f>
        <v>0.06</v>
      </c>
      <c r="J79" s="318">
        <f>Input!$E$186</f>
        <v>0.06</v>
      </c>
      <c r="K79" s="318">
        <f>Input!$E$186</f>
        <v>0.06</v>
      </c>
      <c r="L79" s="318">
        <f>Input!$E$186</f>
        <v>0.06</v>
      </c>
      <c r="M79" s="318">
        <f>Input!$E$186</f>
        <v>0.06</v>
      </c>
      <c r="N79" s="318">
        <f>Input!$E$186</f>
        <v>0.06</v>
      </c>
      <c r="O79" s="318">
        <f>Input!$E$186</f>
        <v>0.06</v>
      </c>
      <c r="P79" s="318">
        <f>Input!$E$186</f>
        <v>0.06</v>
      </c>
      <c r="Q79" s="318">
        <f>Input!$E$186</f>
        <v>0.06</v>
      </c>
      <c r="R79" s="318">
        <f>Input!$E$186</f>
        <v>0.06</v>
      </c>
      <c r="S79" s="318">
        <f>Input!$E$186</f>
        <v>0.06</v>
      </c>
      <c r="T79" s="318">
        <f>Input!$E$186</f>
        <v>0.06</v>
      </c>
      <c r="U79" s="318">
        <f>Input!$E$186</f>
        <v>0.06</v>
      </c>
      <c r="V79" s="318">
        <f>Input!$E$186</f>
        <v>0.06</v>
      </c>
      <c r="W79" s="318">
        <f>Input!$E$186</f>
        <v>0.06</v>
      </c>
      <c r="X79" s="318">
        <f>Input!$E$186</f>
        <v>0.06</v>
      </c>
      <c r="Y79" s="318">
        <f>Input!$E$186</f>
        <v>0.06</v>
      </c>
      <c r="Z79" s="318">
        <f>Input!$E$186</f>
        <v>0.06</v>
      </c>
      <c r="AA79" s="318">
        <f>Input!$E$186</f>
        <v>0.06</v>
      </c>
      <c r="AB79" s="318">
        <f>Input!$E$186</f>
        <v>0.06</v>
      </c>
      <c r="AC79" s="318">
        <f>Input!$E$186</f>
        <v>0.06</v>
      </c>
      <c r="AD79" s="318">
        <f>Input!$E$186</f>
        <v>0.06</v>
      </c>
      <c r="AE79" s="318">
        <f>Input!$E$186</f>
        <v>0.06</v>
      </c>
      <c r="AF79" s="318">
        <f>Input!$E$186</f>
        <v>0.06</v>
      </c>
      <c r="AG79" s="318">
        <f>Input!$E$186</f>
        <v>0.06</v>
      </c>
      <c r="AH79" s="318">
        <f>Input!$E$186</f>
        <v>0.06</v>
      </c>
      <c r="AI79" s="318">
        <f>Input!$E$186</f>
        <v>0.06</v>
      </c>
    </row>
    <row r="80" spans="1:35" x14ac:dyDescent="0.3">
      <c r="A80" s="5"/>
      <c r="B80" s="5" t="s">
        <v>1</v>
      </c>
      <c r="C80" s="198" t="s">
        <v>11</v>
      </c>
      <c r="D80" s="208">
        <f ca="1">SUM(E80:AI80)</f>
        <v>26.123189689629463</v>
      </c>
      <c r="E80" s="175">
        <f t="shared" ref="E80:AI80" ca="1" si="19">AVERAGE(E74,E77)*E79/4*(E8/E5)</f>
        <v>0</v>
      </c>
      <c r="F80" s="175">
        <f t="shared" ca="1" si="19"/>
        <v>0.20095021509930358</v>
      </c>
      <c r="G80" s="175">
        <f t="shared" ca="1" si="19"/>
        <v>1.0482554505607788</v>
      </c>
      <c r="H80" s="175">
        <f t="shared" ca="1" si="19"/>
        <v>3.9030602619076276</v>
      </c>
      <c r="I80" s="175">
        <f t="shared" ca="1" si="19"/>
        <v>8.7516140591380616</v>
      </c>
      <c r="J80" s="175">
        <f t="shared" ca="1" si="19"/>
        <v>12.219309702923693</v>
      </c>
      <c r="K80" s="175">
        <f t="shared" ca="1" si="19"/>
        <v>0</v>
      </c>
      <c r="L80" s="175">
        <f t="shared" ca="1" si="19"/>
        <v>0</v>
      </c>
      <c r="M80" s="175">
        <f t="shared" ca="1" si="19"/>
        <v>0</v>
      </c>
      <c r="N80" s="175">
        <f t="shared" ca="1" si="19"/>
        <v>0</v>
      </c>
      <c r="O80" s="175">
        <f t="shared" ca="1" si="19"/>
        <v>0</v>
      </c>
      <c r="P80" s="175">
        <f t="shared" ca="1" si="19"/>
        <v>0</v>
      </c>
      <c r="Q80" s="175">
        <f t="shared" ca="1" si="19"/>
        <v>0</v>
      </c>
      <c r="R80" s="175">
        <f t="shared" ca="1" si="19"/>
        <v>0</v>
      </c>
      <c r="S80" s="175">
        <f t="shared" ca="1" si="19"/>
        <v>0</v>
      </c>
      <c r="T80" s="175">
        <f t="shared" ca="1" si="19"/>
        <v>0</v>
      </c>
      <c r="U80" s="175">
        <f t="shared" ca="1" si="19"/>
        <v>0</v>
      </c>
      <c r="V80" s="175">
        <f t="shared" ca="1" si="19"/>
        <v>0</v>
      </c>
      <c r="W80" s="175">
        <f t="shared" ca="1" si="19"/>
        <v>0</v>
      </c>
      <c r="X80" s="175">
        <f t="shared" ca="1" si="19"/>
        <v>0</v>
      </c>
      <c r="Y80" s="175">
        <f t="shared" ca="1" si="19"/>
        <v>0</v>
      </c>
      <c r="Z80" s="175">
        <f t="shared" ca="1" si="19"/>
        <v>0</v>
      </c>
      <c r="AA80" s="175">
        <f t="shared" ca="1" si="19"/>
        <v>0</v>
      </c>
      <c r="AB80" s="175">
        <f t="shared" ca="1" si="19"/>
        <v>0</v>
      </c>
      <c r="AC80" s="175">
        <f t="shared" ca="1" si="19"/>
        <v>0</v>
      </c>
      <c r="AD80" s="175">
        <f t="shared" ca="1" si="19"/>
        <v>0</v>
      </c>
      <c r="AE80" s="175">
        <f t="shared" ca="1" si="19"/>
        <v>0</v>
      </c>
      <c r="AF80" s="175">
        <f t="shared" ca="1" si="19"/>
        <v>0</v>
      </c>
      <c r="AG80" s="175">
        <f t="shared" ca="1" si="19"/>
        <v>0</v>
      </c>
      <c r="AH80" s="175">
        <f t="shared" ca="1" si="19"/>
        <v>0</v>
      </c>
      <c r="AI80" s="175">
        <f t="shared" ca="1" si="19"/>
        <v>0</v>
      </c>
    </row>
    <row r="81" spans="1:35" x14ac:dyDescent="0.3">
      <c r="A81" s="5"/>
      <c r="B81" s="5" t="s">
        <v>134</v>
      </c>
      <c r="C81" s="198" t="s">
        <v>11</v>
      </c>
      <c r="D81" s="208">
        <f ca="1">SUM(E81:AF81)</f>
        <v>937.63730966798119</v>
      </c>
      <c r="E81" s="175">
        <f t="shared" ref="E81:AI81" ca="1" si="20">AVERAGE(E74,E77)*E79*E9</f>
        <v>0</v>
      </c>
      <c r="F81" s="175">
        <f t="shared" ca="1" si="20"/>
        <v>0</v>
      </c>
      <c r="G81" s="175">
        <f t="shared" ca="1" si="20"/>
        <v>0</v>
      </c>
      <c r="H81" s="175">
        <f t="shared" ca="1" si="20"/>
        <v>0</v>
      </c>
      <c r="I81" s="175">
        <f t="shared" ca="1" si="20"/>
        <v>0</v>
      </c>
      <c r="J81" s="175">
        <f t="shared" ca="1" si="20"/>
        <v>0</v>
      </c>
      <c r="K81" s="175">
        <f t="shared" ca="1" si="20"/>
        <v>51.75270865050549</v>
      </c>
      <c r="L81" s="175">
        <f t="shared" ca="1" si="20"/>
        <v>50.882915227807906</v>
      </c>
      <c r="M81" s="175">
        <f t="shared" ca="1" si="20"/>
        <v>50.013121805110345</v>
      </c>
      <c r="N81" s="175">
        <f t="shared" ca="1" si="20"/>
        <v>49.143328382412761</v>
      </c>
      <c r="O81" s="175">
        <f t="shared" ca="1" si="20"/>
        <v>48.273534959715199</v>
      </c>
      <c r="P81" s="175">
        <f t="shared" ca="1" si="20"/>
        <v>47.403741537017616</v>
      </c>
      <c r="Q81" s="175">
        <f t="shared" ca="1" si="20"/>
        <v>46.533948114320047</v>
      </c>
      <c r="R81" s="175">
        <f t="shared" ca="1" si="20"/>
        <v>45.664154691622471</v>
      </c>
      <c r="S81" s="175">
        <f t="shared" ca="1" si="20"/>
        <v>44.794361268924902</v>
      </c>
      <c r="T81" s="175">
        <f t="shared" ca="1" si="20"/>
        <v>43.924567846227319</v>
      </c>
      <c r="U81" s="175">
        <f t="shared" ca="1" si="20"/>
        <v>43.054774423529757</v>
      </c>
      <c r="V81" s="175">
        <f t="shared" ca="1" si="20"/>
        <v>42.184981000832174</v>
      </c>
      <c r="W81" s="175">
        <f t="shared" ca="1" si="20"/>
        <v>41.315187578134605</v>
      </c>
      <c r="X81" s="175">
        <f t="shared" ca="1" si="20"/>
        <v>40.445394155437029</v>
      </c>
      <c r="Y81" s="175">
        <f t="shared" ca="1" si="20"/>
        <v>39.57560073273946</v>
      </c>
      <c r="Z81" s="175">
        <f t="shared" ca="1" si="20"/>
        <v>38.705807310041884</v>
      </c>
      <c r="AA81" s="175">
        <f t="shared" ca="1" si="20"/>
        <v>37.836013887344315</v>
      </c>
      <c r="AB81" s="175">
        <f t="shared" ca="1" si="20"/>
        <v>36.966220464646732</v>
      </c>
      <c r="AC81" s="175">
        <f t="shared" ca="1" si="20"/>
        <v>36.09642704194917</v>
      </c>
      <c r="AD81" s="175">
        <f t="shared" ca="1" si="20"/>
        <v>35.226633619251587</v>
      </c>
      <c r="AE81" s="175">
        <f t="shared" ca="1" si="20"/>
        <v>34.356840196554018</v>
      </c>
      <c r="AF81" s="175">
        <f t="shared" ca="1" si="20"/>
        <v>33.487046773856441</v>
      </c>
      <c r="AG81" s="175">
        <f t="shared" ca="1" si="20"/>
        <v>32.617253351158872</v>
      </c>
      <c r="AH81" s="175">
        <f t="shared" ca="1" si="20"/>
        <v>31.747459928461293</v>
      </c>
      <c r="AI81" s="175">
        <f t="shared" ca="1" si="20"/>
        <v>30.877666505763727</v>
      </c>
    </row>
    <row r="82" spans="1:35" x14ac:dyDescent="0.3">
      <c r="A82" s="8"/>
    </row>
    <row r="83" spans="1:35" x14ac:dyDescent="0.3">
      <c r="A83" s="210" t="s">
        <v>175</v>
      </c>
      <c r="B83" s="178"/>
      <c r="C83" s="195"/>
      <c r="D83" s="211"/>
      <c r="E83" s="212"/>
      <c r="F83" s="212"/>
      <c r="G83" s="212"/>
      <c r="H83" s="212"/>
      <c r="I83" s="212"/>
      <c r="J83" s="212"/>
      <c r="K83" s="212"/>
      <c r="L83" s="212"/>
      <c r="M83" s="212"/>
      <c r="N83" s="212"/>
      <c r="O83" s="212"/>
      <c r="P83" s="212"/>
      <c r="Q83" s="212"/>
      <c r="R83" s="212"/>
      <c r="S83" s="212"/>
      <c r="T83" s="212"/>
      <c r="U83" s="211"/>
      <c r="V83" s="211"/>
      <c r="W83" s="211"/>
      <c r="X83" s="211"/>
      <c r="Y83" s="211"/>
      <c r="Z83" s="211"/>
      <c r="AA83" s="211"/>
      <c r="AB83" s="211"/>
      <c r="AC83" s="211"/>
      <c r="AD83" s="211"/>
      <c r="AE83" s="211"/>
      <c r="AF83" s="211"/>
      <c r="AG83" s="211"/>
      <c r="AH83" s="211"/>
      <c r="AI83" s="211"/>
    </row>
    <row r="84" spans="1:35" x14ac:dyDescent="0.3">
      <c r="A84" s="5"/>
      <c r="B84" s="5" t="s">
        <v>138</v>
      </c>
      <c r="C84" s="198" t="s">
        <v>11</v>
      </c>
      <c r="D84" s="205"/>
      <c r="E84" s="208">
        <f t="shared" ref="E84:AI84" si="21">D87</f>
        <v>0</v>
      </c>
      <c r="F84" s="208">
        <f t="shared" ca="1" si="21"/>
        <v>0</v>
      </c>
      <c r="G84" s="208">
        <f t="shared" ca="1" si="21"/>
        <v>0</v>
      </c>
      <c r="H84" s="208">
        <f t="shared" ca="1" si="21"/>
        <v>0</v>
      </c>
      <c r="I84" s="208">
        <f t="shared" ca="1" si="21"/>
        <v>0</v>
      </c>
      <c r="J84" s="208">
        <f t="shared" ca="1" si="21"/>
        <v>0</v>
      </c>
      <c r="K84" s="208">
        <f t="shared" ca="1" si="21"/>
        <v>0</v>
      </c>
      <c r="L84" s="208">
        <f t="shared" ca="1" si="21"/>
        <v>0</v>
      </c>
      <c r="M84" s="208">
        <f t="shared" ca="1" si="21"/>
        <v>0</v>
      </c>
      <c r="N84" s="208">
        <f t="shared" ca="1" si="21"/>
        <v>0</v>
      </c>
      <c r="O84" s="208">
        <f t="shared" ca="1" si="21"/>
        <v>0</v>
      </c>
      <c r="P84" s="208">
        <f t="shared" ca="1" si="21"/>
        <v>0</v>
      </c>
      <c r="Q84" s="208">
        <f t="shared" ca="1" si="21"/>
        <v>0</v>
      </c>
      <c r="R84" s="208">
        <f t="shared" ca="1" si="21"/>
        <v>0</v>
      </c>
      <c r="S84" s="208">
        <f t="shared" ca="1" si="21"/>
        <v>0</v>
      </c>
      <c r="T84" s="208">
        <f t="shared" ca="1" si="21"/>
        <v>0</v>
      </c>
      <c r="U84" s="208">
        <f t="shared" ca="1" si="21"/>
        <v>0</v>
      </c>
      <c r="V84" s="208">
        <f t="shared" ca="1" si="21"/>
        <v>0</v>
      </c>
      <c r="W84" s="208">
        <f t="shared" ca="1" si="21"/>
        <v>0</v>
      </c>
      <c r="X84" s="208">
        <f t="shared" ca="1" si="21"/>
        <v>0</v>
      </c>
      <c r="Y84" s="208">
        <f t="shared" ca="1" si="21"/>
        <v>0</v>
      </c>
      <c r="Z84" s="208">
        <f t="shared" ca="1" si="21"/>
        <v>0</v>
      </c>
      <c r="AA84" s="208">
        <f t="shared" ca="1" si="21"/>
        <v>0</v>
      </c>
      <c r="AB84" s="208">
        <f t="shared" ca="1" si="21"/>
        <v>0</v>
      </c>
      <c r="AC84" s="208">
        <f t="shared" ca="1" si="21"/>
        <v>0</v>
      </c>
      <c r="AD84" s="208">
        <f t="shared" ca="1" si="21"/>
        <v>0</v>
      </c>
      <c r="AE84" s="208">
        <f t="shared" ca="1" si="21"/>
        <v>0</v>
      </c>
      <c r="AF84" s="208">
        <f t="shared" ca="1" si="21"/>
        <v>0</v>
      </c>
      <c r="AG84" s="208">
        <f t="shared" ca="1" si="21"/>
        <v>0</v>
      </c>
      <c r="AH84" s="208">
        <f t="shared" ca="1" si="21"/>
        <v>0</v>
      </c>
      <c r="AI84" s="208">
        <f t="shared" ca="1" si="21"/>
        <v>0</v>
      </c>
    </row>
    <row r="85" spans="1:35" x14ac:dyDescent="0.3">
      <c r="A85" s="5"/>
      <c r="B85" s="5" t="s">
        <v>137</v>
      </c>
      <c r="C85" s="198" t="s">
        <v>11</v>
      </c>
      <c r="D85" s="208">
        <f ca="1">SUM(E85:V85)</f>
        <v>0</v>
      </c>
      <c r="E85" s="199">
        <f t="shared" ref="E85:AI85" ca="1" si="22">E61</f>
        <v>0</v>
      </c>
      <c r="F85" s="199">
        <f t="shared" ca="1" si="22"/>
        <v>0</v>
      </c>
      <c r="G85" s="199">
        <f t="shared" ca="1" si="22"/>
        <v>0</v>
      </c>
      <c r="H85" s="199">
        <f t="shared" ca="1" si="22"/>
        <v>0</v>
      </c>
      <c r="I85" s="199">
        <f t="shared" ca="1" si="22"/>
        <v>0</v>
      </c>
      <c r="J85" s="199">
        <f t="shared" ca="1" si="22"/>
        <v>0</v>
      </c>
      <c r="K85" s="199">
        <f t="shared" ca="1" si="22"/>
        <v>0</v>
      </c>
      <c r="L85" s="199">
        <f t="shared" ca="1" si="22"/>
        <v>0</v>
      </c>
      <c r="M85" s="199">
        <f t="shared" ca="1" si="22"/>
        <v>0</v>
      </c>
      <c r="N85" s="199">
        <f t="shared" ca="1" si="22"/>
        <v>0</v>
      </c>
      <c r="O85" s="199">
        <f t="shared" ca="1" si="22"/>
        <v>0</v>
      </c>
      <c r="P85" s="199">
        <f t="shared" ca="1" si="22"/>
        <v>0</v>
      </c>
      <c r="Q85" s="199">
        <f t="shared" ca="1" si="22"/>
        <v>0</v>
      </c>
      <c r="R85" s="199">
        <f t="shared" ca="1" si="22"/>
        <v>0</v>
      </c>
      <c r="S85" s="199">
        <f t="shared" ca="1" si="22"/>
        <v>0</v>
      </c>
      <c r="T85" s="199">
        <f t="shared" ca="1" si="22"/>
        <v>0</v>
      </c>
      <c r="U85" s="199">
        <f t="shared" ca="1" si="22"/>
        <v>0</v>
      </c>
      <c r="V85" s="199">
        <f t="shared" ca="1" si="22"/>
        <v>0</v>
      </c>
      <c r="W85" s="199">
        <f t="shared" ca="1" si="22"/>
        <v>0</v>
      </c>
      <c r="X85" s="199">
        <f t="shared" ca="1" si="22"/>
        <v>0</v>
      </c>
      <c r="Y85" s="199">
        <f t="shared" ca="1" si="22"/>
        <v>0</v>
      </c>
      <c r="Z85" s="199">
        <f t="shared" ca="1" si="22"/>
        <v>0</v>
      </c>
      <c r="AA85" s="199">
        <f t="shared" ca="1" si="22"/>
        <v>0</v>
      </c>
      <c r="AB85" s="199">
        <f t="shared" ca="1" si="22"/>
        <v>0</v>
      </c>
      <c r="AC85" s="199">
        <f t="shared" ca="1" si="22"/>
        <v>0</v>
      </c>
      <c r="AD85" s="199">
        <f t="shared" ca="1" si="22"/>
        <v>0</v>
      </c>
      <c r="AE85" s="199">
        <f t="shared" ca="1" si="22"/>
        <v>0</v>
      </c>
      <c r="AF85" s="199">
        <f t="shared" ca="1" si="22"/>
        <v>0</v>
      </c>
      <c r="AG85" s="199">
        <f t="shared" ca="1" si="22"/>
        <v>0</v>
      </c>
      <c r="AH85" s="199">
        <f t="shared" ca="1" si="22"/>
        <v>0</v>
      </c>
      <c r="AI85" s="199">
        <f t="shared" ca="1" si="22"/>
        <v>0</v>
      </c>
    </row>
    <row r="86" spans="1:35" x14ac:dyDescent="0.3">
      <c r="A86" s="5"/>
      <c r="B86" s="5" t="s">
        <v>136</v>
      </c>
      <c r="C86" s="198" t="s">
        <v>11</v>
      </c>
      <c r="D86" s="205"/>
      <c r="E86" s="208">
        <f>IF(E$10&gt;Input!$E$188,MIN(E84+E85,$D$85/(Input!$E$189*4)),0)</f>
        <v>0</v>
      </c>
      <c r="F86" s="208">
        <f>IF(F$10&gt;Input!$E$188,MIN(F84+F85,$D$85/(Input!$E$189*4)),0)</f>
        <v>0</v>
      </c>
      <c r="G86" s="208">
        <f>IF(G$10&gt;Input!$E$188,MIN(G84+G85,$D$85/(Input!$E$189*4)),0)</f>
        <v>0</v>
      </c>
      <c r="H86" s="208">
        <f>IF(H$10&gt;Input!$E$188,MIN(H84+H85,$D$85/(Input!$E$189*4)),0)</f>
        <v>0</v>
      </c>
      <c r="I86" s="208">
        <f>IF(I$10&gt;Input!$E$188,MIN(I84+I85,$D$85/(Input!$E$189*4)),0)</f>
        <v>0</v>
      </c>
      <c r="J86" s="208">
        <f>IF(J$10&gt;Input!$E$188,MIN(J84+J85,$D$85/(Input!$E$189*4)),0)</f>
        <v>0</v>
      </c>
      <c r="K86" s="208">
        <f ca="1">IF(K$10&gt;Input!$E$188,MIN(K84+K85,$D$85/(Input!$E$189*4)),0)</f>
        <v>0</v>
      </c>
      <c r="L86" s="208">
        <f ca="1">IF(L$10&gt;Input!$E$188,MIN(L84+L85,$D$85/(Input!$E$189*4)),0)</f>
        <v>0</v>
      </c>
      <c r="M86" s="208">
        <f ca="1">IF(M$10&gt;Input!$E$188,MIN(M84+M85,$D$85/(Input!$E$189*4)),0)</f>
        <v>0</v>
      </c>
      <c r="N86" s="208">
        <f ca="1">IF(N$10&gt;Input!$E$188,MIN(N84+N85,$D$85/(Input!$E$189*4)),0)</f>
        <v>0</v>
      </c>
      <c r="O86" s="208">
        <f ca="1">IF(O$10&gt;Input!$E$188,MIN(O84+O85,$D$85/(Input!$E$189*4)),0)</f>
        <v>0</v>
      </c>
      <c r="P86" s="208">
        <f ca="1">IF(P$10&gt;Input!$E$188,MIN(P84+P85,$D$85/(Input!$E$189*4)),0)</f>
        <v>0</v>
      </c>
      <c r="Q86" s="208">
        <f ca="1">IF(Q$10&gt;Input!$E$188,MIN(Q84+Q85,$D$85/(Input!$E$189*4)),0)</f>
        <v>0</v>
      </c>
      <c r="R86" s="208">
        <f ca="1">IF(R$10&gt;Input!$E$188,MIN(R84+R85,$D$85/(Input!$E$189*4)),0)</f>
        <v>0</v>
      </c>
      <c r="S86" s="208">
        <f ca="1">IF(S$10&gt;Input!$E$188,MIN(S84+S85,$D$85/(Input!$E$189*4)),0)</f>
        <v>0</v>
      </c>
      <c r="T86" s="208">
        <f ca="1">IF(T$10&gt;Input!$E$188,MIN(T84+T85,$D$85/(Input!$E$189*4)),0)</f>
        <v>0</v>
      </c>
      <c r="U86" s="208">
        <f ca="1">IF(U$10&gt;Input!$E$188,MIN(U84+U85,$D$85/(Input!$E$189*4)),0)</f>
        <v>0</v>
      </c>
      <c r="V86" s="208">
        <f ca="1">IF(V$10&gt;Input!$E$188,MIN(V84+V85,$D$85/(Input!$E$189*4)),0)</f>
        <v>0</v>
      </c>
      <c r="W86" s="208">
        <f ca="1">IF(W$10&gt;Input!$E$188,MIN(W84+W85,$D$85/(Input!$E$189*4)),0)</f>
        <v>0</v>
      </c>
      <c r="X86" s="208">
        <f ca="1">IF(X$10&gt;Input!$E$188,MIN(X84+X85,$D$85/(Input!$E$189*4)),0)</f>
        <v>0</v>
      </c>
      <c r="Y86" s="208">
        <f ca="1">IF(Y$10&gt;Input!$E$188,MIN(Y84+Y85,$D$85/(Input!$E$189*4)),0)</f>
        <v>0</v>
      </c>
      <c r="Z86" s="208">
        <f ca="1">IF(Z$10&gt;Input!$E$188,MIN(Z84+Z85,$D$85/(Input!$E$189*4)),0)</f>
        <v>0</v>
      </c>
      <c r="AA86" s="208">
        <f ca="1">IF(AA$10&gt;Input!$E$188,MIN(AA84+AA85,$D$85/(Input!$E$189*4)),0)</f>
        <v>0</v>
      </c>
      <c r="AB86" s="208">
        <f ca="1">IF(AB$10&gt;Input!$E$188,MIN(AB84+AB85,$D$85/(Input!$E$189*4)),0)</f>
        <v>0</v>
      </c>
      <c r="AC86" s="208">
        <f ca="1">IF(AC$10&gt;Input!$E$188,MIN(AC84+AC85,$D$85/(Input!$E$189*4)),0)</f>
        <v>0</v>
      </c>
      <c r="AD86" s="208">
        <f ca="1">IF(AD$10&gt;Input!$E$188,MIN(AD84+AD85,$D$85/(Input!$E$189*4)),0)</f>
        <v>0</v>
      </c>
      <c r="AE86" s="208">
        <f ca="1">IF(AE$10&gt;Input!$E$188,MIN(AE84+AE85,$D$85/(Input!$E$189*4)),0)</f>
        <v>0</v>
      </c>
      <c r="AF86" s="208">
        <f ca="1">IF(AF$10&gt;Input!$E$188,MIN(AF84+AF85,$D$85/(Input!$E$189*4)),0)</f>
        <v>0</v>
      </c>
      <c r="AG86" s="208">
        <f ca="1">IF(AG$10&gt;Input!$E$188,MIN(AG84+AG85,$D$85/(Input!$E$189*4)),0)</f>
        <v>0</v>
      </c>
      <c r="AH86" s="208">
        <f ca="1">IF(AH$10&gt;Input!$E$188,MIN(AH84+AH85,$D$85/(Input!$E$189*4)),0)</f>
        <v>0</v>
      </c>
      <c r="AI86" s="208">
        <f ca="1">IF(AI$10&gt;Input!$E$188,MIN(AI84+AI85,$D$85/(Input!$E$189*4)),0)</f>
        <v>0</v>
      </c>
    </row>
    <row r="87" spans="1:35" x14ac:dyDescent="0.3">
      <c r="A87" s="5"/>
      <c r="B87" s="5" t="s">
        <v>135</v>
      </c>
      <c r="C87" s="198" t="s">
        <v>11</v>
      </c>
      <c r="D87" s="205"/>
      <c r="E87" s="208">
        <f t="shared" ref="E87:AI87" ca="1" si="23">E84+E85-E86</f>
        <v>0</v>
      </c>
      <c r="F87" s="208">
        <f t="shared" ca="1" si="23"/>
        <v>0</v>
      </c>
      <c r="G87" s="208">
        <f t="shared" ca="1" si="23"/>
        <v>0</v>
      </c>
      <c r="H87" s="208">
        <f t="shared" ca="1" si="23"/>
        <v>0</v>
      </c>
      <c r="I87" s="208">
        <f t="shared" ca="1" si="23"/>
        <v>0</v>
      </c>
      <c r="J87" s="208">
        <f t="shared" ca="1" si="23"/>
        <v>0</v>
      </c>
      <c r="K87" s="208">
        <f t="shared" ca="1" si="23"/>
        <v>0</v>
      </c>
      <c r="L87" s="208">
        <f t="shared" ca="1" si="23"/>
        <v>0</v>
      </c>
      <c r="M87" s="208">
        <f t="shared" ca="1" si="23"/>
        <v>0</v>
      </c>
      <c r="N87" s="208">
        <f t="shared" ca="1" si="23"/>
        <v>0</v>
      </c>
      <c r="O87" s="208">
        <f t="shared" ca="1" si="23"/>
        <v>0</v>
      </c>
      <c r="P87" s="208">
        <f t="shared" ca="1" si="23"/>
        <v>0</v>
      </c>
      <c r="Q87" s="208">
        <f t="shared" ca="1" si="23"/>
        <v>0</v>
      </c>
      <c r="R87" s="208">
        <f t="shared" ca="1" si="23"/>
        <v>0</v>
      </c>
      <c r="S87" s="208">
        <f t="shared" ca="1" si="23"/>
        <v>0</v>
      </c>
      <c r="T87" s="208">
        <f t="shared" ca="1" si="23"/>
        <v>0</v>
      </c>
      <c r="U87" s="208">
        <f t="shared" ca="1" si="23"/>
        <v>0</v>
      </c>
      <c r="V87" s="208">
        <f t="shared" ca="1" si="23"/>
        <v>0</v>
      </c>
      <c r="W87" s="208">
        <f t="shared" ca="1" si="23"/>
        <v>0</v>
      </c>
      <c r="X87" s="208">
        <f t="shared" ca="1" si="23"/>
        <v>0</v>
      </c>
      <c r="Y87" s="208">
        <f t="shared" ca="1" si="23"/>
        <v>0</v>
      </c>
      <c r="Z87" s="208">
        <f t="shared" ca="1" si="23"/>
        <v>0</v>
      </c>
      <c r="AA87" s="208">
        <f t="shared" ca="1" si="23"/>
        <v>0</v>
      </c>
      <c r="AB87" s="208">
        <f t="shared" ca="1" si="23"/>
        <v>0</v>
      </c>
      <c r="AC87" s="208">
        <f t="shared" ca="1" si="23"/>
        <v>0</v>
      </c>
      <c r="AD87" s="208">
        <f t="shared" ca="1" si="23"/>
        <v>0</v>
      </c>
      <c r="AE87" s="208">
        <f t="shared" ca="1" si="23"/>
        <v>0</v>
      </c>
      <c r="AF87" s="208">
        <f t="shared" ca="1" si="23"/>
        <v>0</v>
      </c>
      <c r="AG87" s="208">
        <f t="shared" ca="1" si="23"/>
        <v>0</v>
      </c>
      <c r="AH87" s="208">
        <f t="shared" ca="1" si="23"/>
        <v>0</v>
      </c>
      <c r="AI87" s="208">
        <f t="shared" ca="1" si="23"/>
        <v>0</v>
      </c>
    </row>
    <row r="88" spans="1:35" x14ac:dyDescent="0.3">
      <c r="A88" s="5"/>
      <c r="B88" s="5"/>
      <c r="C88" s="198"/>
      <c r="D88" s="205"/>
      <c r="E88" s="208"/>
      <c r="F88" s="208"/>
      <c r="G88" s="208"/>
      <c r="H88" s="208"/>
      <c r="I88" s="208"/>
      <c r="J88" s="208"/>
      <c r="K88" s="208"/>
      <c r="L88" s="208"/>
      <c r="M88" s="208"/>
      <c r="N88" s="208"/>
      <c r="O88" s="208"/>
      <c r="P88" s="208"/>
      <c r="Q88" s="208"/>
      <c r="R88" s="208"/>
      <c r="S88" s="208"/>
      <c r="T88" s="208"/>
      <c r="U88" s="208"/>
      <c r="V88" s="208"/>
      <c r="W88" s="208"/>
      <c r="X88" s="208"/>
      <c r="Y88" s="208"/>
      <c r="Z88" s="208"/>
      <c r="AA88" s="208"/>
      <c r="AB88" s="208"/>
      <c r="AC88" s="208"/>
      <c r="AD88" s="208"/>
      <c r="AE88" s="208"/>
      <c r="AF88" s="208"/>
      <c r="AG88" s="208"/>
      <c r="AH88" s="208"/>
      <c r="AI88" s="208"/>
    </row>
    <row r="89" spans="1:35" x14ac:dyDescent="0.3">
      <c r="A89" s="5"/>
      <c r="B89" s="5" t="s">
        <v>53</v>
      </c>
      <c r="C89" s="198" t="s">
        <v>0</v>
      </c>
      <c r="D89" s="205"/>
      <c r="E89" s="318">
        <f>Input!$E$190</f>
        <v>8.5000000000000006E-2</v>
      </c>
      <c r="F89" s="318">
        <f>Input!$E$190</f>
        <v>8.5000000000000006E-2</v>
      </c>
      <c r="G89" s="318">
        <f>Input!$E$190</f>
        <v>8.5000000000000006E-2</v>
      </c>
      <c r="H89" s="318">
        <f>Input!$E$190</f>
        <v>8.5000000000000006E-2</v>
      </c>
      <c r="I89" s="318">
        <f>Input!$E$190</f>
        <v>8.5000000000000006E-2</v>
      </c>
      <c r="J89" s="318">
        <f>Input!$E$190</f>
        <v>8.5000000000000006E-2</v>
      </c>
      <c r="K89" s="318">
        <f>Input!$E$190</f>
        <v>8.5000000000000006E-2</v>
      </c>
      <c r="L89" s="318">
        <f>Input!$E$190</f>
        <v>8.5000000000000006E-2</v>
      </c>
      <c r="M89" s="318">
        <f>Input!$E$190</f>
        <v>8.5000000000000006E-2</v>
      </c>
      <c r="N89" s="318">
        <f>Input!$E$190</f>
        <v>8.5000000000000006E-2</v>
      </c>
      <c r="O89" s="318">
        <f>Input!$E$190</f>
        <v>8.5000000000000006E-2</v>
      </c>
      <c r="P89" s="318">
        <f>Input!$E$190</f>
        <v>8.5000000000000006E-2</v>
      </c>
      <c r="Q89" s="318">
        <f>Input!$E$190</f>
        <v>8.5000000000000006E-2</v>
      </c>
      <c r="R89" s="318">
        <f>Input!$E$190</f>
        <v>8.5000000000000006E-2</v>
      </c>
      <c r="S89" s="318">
        <f>Input!$E$190</f>
        <v>8.5000000000000006E-2</v>
      </c>
      <c r="T89" s="318">
        <f>Input!$E$190</f>
        <v>8.5000000000000006E-2</v>
      </c>
      <c r="U89" s="318">
        <f>Input!$E$190</f>
        <v>8.5000000000000006E-2</v>
      </c>
      <c r="V89" s="318">
        <f>Input!$E$190</f>
        <v>8.5000000000000006E-2</v>
      </c>
      <c r="W89" s="318">
        <f>Input!$E$190</f>
        <v>8.5000000000000006E-2</v>
      </c>
      <c r="X89" s="318">
        <f>Input!$E$190</f>
        <v>8.5000000000000006E-2</v>
      </c>
      <c r="Y89" s="318">
        <f>Input!$E$190</f>
        <v>8.5000000000000006E-2</v>
      </c>
      <c r="Z89" s="318">
        <f>Input!$E$190</f>
        <v>8.5000000000000006E-2</v>
      </c>
      <c r="AA89" s="318">
        <f>Input!$E$190</f>
        <v>8.5000000000000006E-2</v>
      </c>
      <c r="AB89" s="318">
        <f>Input!$E$190</f>
        <v>8.5000000000000006E-2</v>
      </c>
      <c r="AC89" s="318">
        <f>Input!$E$190</f>
        <v>8.5000000000000006E-2</v>
      </c>
      <c r="AD89" s="318">
        <f>Input!$E$190</f>
        <v>8.5000000000000006E-2</v>
      </c>
      <c r="AE89" s="318">
        <f>Input!$E$190</f>
        <v>8.5000000000000006E-2</v>
      </c>
      <c r="AF89" s="318">
        <f>Input!$E$190</f>
        <v>8.5000000000000006E-2</v>
      </c>
      <c r="AG89" s="318">
        <f>Input!$E$190</f>
        <v>8.5000000000000006E-2</v>
      </c>
      <c r="AH89" s="318">
        <f>Input!$E$190</f>
        <v>8.5000000000000006E-2</v>
      </c>
      <c r="AI89" s="318">
        <f>Input!$E$190</f>
        <v>8.5000000000000006E-2</v>
      </c>
    </row>
    <row r="90" spans="1:35" x14ac:dyDescent="0.3">
      <c r="A90" s="5"/>
      <c r="B90" s="5" t="s">
        <v>1</v>
      </c>
      <c r="C90" s="198" t="s">
        <v>11</v>
      </c>
      <c r="D90" s="205"/>
      <c r="E90" s="175">
        <f t="shared" ref="E90:AI90" ca="1" si="24">AVERAGE(E84,E87)*E89*(1-E9)</f>
        <v>0</v>
      </c>
      <c r="F90" s="175">
        <f t="shared" ca="1" si="24"/>
        <v>0</v>
      </c>
      <c r="G90" s="175">
        <f t="shared" ca="1" si="24"/>
        <v>0</v>
      </c>
      <c r="H90" s="175">
        <f t="shared" ca="1" si="24"/>
        <v>0</v>
      </c>
      <c r="I90" s="175">
        <f t="shared" ca="1" si="24"/>
        <v>0</v>
      </c>
      <c r="J90" s="175">
        <f t="shared" ca="1" si="24"/>
        <v>0</v>
      </c>
      <c r="K90" s="175">
        <f t="shared" ca="1" si="24"/>
        <v>0</v>
      </c>
      <c r="L90" s="175">
        <f t="shared" ca="1" si="24"/>
        <v>0</v>
      </c>
      <c r="M90" s="175">
        <f t="shared" ca="1" si="24"/>
        <v>0</v>
      </c>
      <c r="N90" s="175">
        <f t="shared" ca="1" si="24"/>
        <v>0</v>
      </c>
      <c r="O90" s="175">
        <f t="shared" ca="1" si="24"/>
        <v>0</v>
      </c>
      <c r="P90" s="175">
        <f t="shared" ca="1" si="24"/>
        <v>0</v>
      </c>
      <c r="Q90" s="175">
        <f t="shared" ca="1" si="24"/>
        <v>0</v>
      </c>
      <c r="R90" s="175">
        <f t="shared" ca="1" si="24"/>
        <v>0</v>
      </c>
      <c r="S90" s="175">
        <f t="shared" ca="1" si="24"/>
        <v>0</v>
      </c>
      <c r="T90" s="175">
        <f t="shared" ca="1" si="24"/>
        <v>0</v>
      </c>
      <c r="U90" s="175">
        <f t="shared" ca="1" si="24"/>
        <v>0</v>
      </c>
      <c r="V90" s="175">
        <f t="shared" ca="1" si="24"/>
        <v>0</v>
      </c>
      <c r="W90" s="175">
        <f t="shared" ca="1" si="24"/>
        <v>0</v>
      </c>
      <c r="X90" s="175">
        <f t="shared" ca="1" si="24"/>
        <v>0</v>
      </c>
      <c r="Y90" s="175">
        <f t="shared" ca="1" si="24"/>
        <v>0</v>
      </c>
      <c r="Z90" s="175">
        <f t="shared" ca="1" si="24"/>
        <v>0</v>
      </c>
      <c r="AA90" s="175">
        <f t="shared" ca="1" si="24"/>
        <v>0</v>
      </c>
      <c r="AB90" s="175">
        <f t="shared" ca="1" si="24"/>
        <v>0</v>
      </c>
      <c r="AC90" s="175">
        <f t="shared" ca="1" si="24"/>
        <v>0</v>
      </c>
      <c r="AD90" s="175">
        <f t="shared" ca="1" si="24"/>
        <v>0</v>
      </c>
      <c r="AE90" s="175">
        <f t="shared" ca="1" si="24"/>
        <v>0</v>
      </c>
      <c r="AF90" s="175">
        <f t="shared" ca="1" si="24"/>
        <v>0</v>
      </c>
      <c r="AG90" s="175">
        <f t="shared" ca="1" si="24"/>
        <v>0</v>
      </c>
      <c r="AH90" s="175">
        <f t="shared" ca="1" si="24"/>
        <v>0</v>
      </c>
      <c r="AI90" s="175">
        <f t="shared" ca="1" si="24"/>
        <v>0</v>
      </c>
    </row>
    <row r="91" spans="1:35" x14ac:dyDescent="0.3">
      <c r="A91" s="5"/>
      <c r="B91" s="5" t="s">
        <v>134</v>
      </c>
      <c r="C91" s="198" t="s">
        <v>11</v>
      </c>
      <c r="D91" s="205"/>
      <c r="E91" s="175">
        <f t="shared" ref="E91:AI91" ca="1" si="25">AVERAGE(E84,E87)*E89/4*(E8/E5)</f>
        <v>0</v>
      </c>
      <c r="F91" s="175">
        <f t="shared" ca="1" si="25"/>
        <v>0</v>
      </c>
      <c r="G91" s="175">
        <f t="shared" ca="1" si="25"/>
        <v>0</v>
      </c>
      <c r="H91" s="175">
        <f t="shared" ca="1" si="25"/>
        <v>0</v>
      </c>
      <c r="I91" s="175">
        <f t="shared" ca="1" si="25"/>
        <v>0</v>
      </c>
      <c r="J91" s="175">
        <f t="shared" ca="1" si="25"/>
        <v>0</v>
      </c>
      <c r="K91" s="175">
        <f t="shared" ca="1" si="25"/>
        <v>0</v>
      </c>
      <c r="L91" s="175">
        <f t="shared" ca="1" si="25"/>
        <v>0</v>
      </c>
      <c r="M91" s="175">
        <f t="shared" ca="1" si="25"/>
        <v>0</v>
      </c>
      <c r="N91" s="175">
        <f t="shared" ca="1" si="25"/>
        <v>0</v>
      </c>
      <c r="O91" s="175">
        <f t="shared" ca="1" si="25"/>
        <v>0</v>
      </c>
      <c r="P91" s="175">
        <f t="shared" ca="1" si="25"/>
        <v>0</v>
      </c>
      <c r="Q91" s="175">
        <f t="shared" ca="1" si="25"/>
        <v>0</v>
      </c>
      <c r="R91" s="175">
        <f t="shared" ca="1" si="25"/>
        <v>0</v>
      </c>
      <c r="S91" s="175">
        <f t="shared" ca="1" si="25"/>
        <v>0</v>
      </c>
      <c r="T91" s="175">
        <f t="shared" ca="1" si="25"/>
        <v>0</v>
      </c>
      <c r="U91" s="175">
        <f t="shared" ca="1" si="25"/>
        <v>0</v>
      </c>
      <c r="V91" s="175">
        <f t="shared" ca="1" si="25"/>
        <v>0</v>
      </c>
      <c r="W91" s="175">
        <f t="shared" ca="1" si="25"/>
        <v>0</v>
      </c>
      <c r="X91" s="175">
        <f t="shared" ca="1" si="25"/>
        <v>0</v>
      </c>
      <c r="Y91" s="175">
        <f t="shared" ca="1" si="25"/>
        <v>0</v>
      </c>
      <c r="Z91" s="175">
        <f t="shared" ca="1" si="25"/>
        <v>0</v>
      </c>
      <c r="AA91" s="175">
        <f t="shared" ca="1" si="25"/>
        <v>0</v>
      </c>
      <c r="AB91" s="175">
        <f t="shared" ca="1" si="25"/>
        <v>0</v>
      </c>
      <c r="AC91" s="175">
        <f t="shared" ca="1" si="25"/>
        <v>0</v>
      </c>
      <c r="AD91" s="175">
        <f t="shared" ca="1" si="25"/>
        <v>0</v>
      </c>
      <c r="AE91" s="175">
        <f t="shared" ca="1" si="25"/>
        <v>0</v>
      </c>
      <c r="AF91" s="175">
        <f t="shared" ca="1" si="25"/>
        <v>0</v>
      </c>
      <c r="AG91" s="175">
        <f t="shared" ca="1" si="25"/>
        <v>0</v>
      </c>
      <c r="AH91" s="175">
        <f t="shared" ca="1" si="25"/>
        <v>0</v>
      </c>
      <c r="AI91" s="175">
        <f t="shared" ca="1" si="25"/>
        <v>0</v>
      </c>
    </row>
    <row r="92" spans="1:35" x14ac:dyDescent="0.3">
      <c r="A92" s="8"/>
    </row>
    <row r="93" spans="1:35" x14ac:dyDescent="0.3">
      <c r="A93" s="274"/>
      <c r="B93" s="3"/>
      <c r="C93" s="241"/>
      <c r="D93" s="274"/>
      <c r="E93" s="274"/>
      <c r="F93" s="274"/>
      <c r="G93" s="274"/>
      <c r="H93" s="274"/>
      <c r="I93" s="274"/>
      <c r="J93" s="274"/>
      <c r="K93" s="274"/>
      <c r="L93" s="274"/>
      <c r="M93" s="274"/>
      <c r="N93" s="274"/>
      <c r="O93" s="274"/>
      <c r="P93" s="274"/>
      <c r="Q93" s="274"/>
      <c r="R93" s="274"/>
      <c r="S93" s="274"/>
      <c r="T93" s="274"/>
      <c r="U93" s="274"/>
      <c r="V93" s="274"/>
      <c r="W93" s="274"/>
      <c r="X93" s="274"/>
      <c r="Y93" s="274"/>
      <c r="Z93" s="274"/>
      <c r="AA93" s="274"/>
      <c r="AB93" s="274"/>
      <c r="AC93" s="274"/>
      <c r="AD93" s="274"/>
      <c r="AE93" s="274"/>
      <c r="AF93" s="274"/>
      <c r="AG93" s="274"/>
      <c r="AH93" s="274"/>
      <c r="AI93" s="274"/>
    </row>
    <row r="94" spans="1:35" x14ac:dyDescent="0.3">
      <c r="A94" s="274"/>
      <c r="B94" s="3"/>
      <c r="C94" s="241"/>
      <c r="D94" s="274"/>
      <c r="E94" s="274"/>
      <c r="F94" s="274"/>
      <c r="G94" s="274"/>
      <c r="H94" s="274"/>
      <c r="I94" s="274"/>
      <c r="J94" s="274"/>
      <c r="K94" s="274"/>
      <c r="L94" s="274"/>
      <c r="M94" s="274"/>
      <c r="N94" s="274"/>
      <c r="O94" s="274"/>
      <c r="P94" s="274"/>
      <c r="Q94" s="274"/>
      <c r="R94" s="274"/>
      <c r="S94" s="274"/>
      <c r="T94" s="274"/>
      <c r="U94" s="274"/>
      <c r="V94" s="274"/>
      <c r="W94" s="274"/>
      <c r="X94" s="274"/>
      <c r="Y94" s="274"/>
      <c r="Z94" s="274"/>
      <c r="AA94" s="274"/>
      <c r="AB94" s="274"/>
      <c r="AC94" s="274"/>
      <c r="AD94" s="274"/>
      <c r="AE94" s="274"/>
      <c r="AF94" s="274"/>
      <c r="AG94" s="274"/>
      <c r="AH94" s="274"/>
      <c r="AI94" s="274"/>
    </row>
    <row r="95" spans="1:35" x14ac:dyDescent="0.3">
      <c r="A95" s="274"/>
      <c r="B95" s="3"/>
      <c r="C95" s="241"/>
      <c r="D95" s="274"/>
      <c r="E95" s="274"/>
      <c r="F95" s="274"/>
      <c r="G95" s="274"/>
      <c r="H95" s="274"/>
      <c r="I95" s="274"/>
      <c r="J95" s="274"/>
      <c r="K95" s="274"/>
      <c r="L95" s="274"/>
      <c r="M95" s="274"/>
      <c r="N95" s="274"/>
      <c r="O95" s="274"/>
      <c r="P95" s="274"/>
      <c r="Q95" s="274"/>
      <c r="R95" s="274"/>
      <c r="S95" s="274"/>
      <c r="T95" s="274"/>
      <c r="U95" s="274"/>
      <c r="V95" s="274"/>
      <c r="W95" s="274"/>
      <c r="X95" s="274"/>
      <c r="Y95" s="274"/>
      <c r="Z95" s="274"/>
      <c r="AA95" s="274"/>
      <c r="AB95" s="274"/>
      <c r="AC95" s="274"/>
      <c r="AD95" s="274"/>
      <c r="AE95" s="274"/>
      <c r="AF95" s="274"/>
      <c r="AG95" s="274"/>
      <c r="AH95" s="274"/>
      <c r="AI95" s="274"/>
    </row>
    <row r="96" spans="1:35" x14ac:dyDescent="0.3">
      <c r="A96" s="274"/>
      <c r="B96" s="3"/>
      <c r="C96" s="241"/>
      <c r="D96" s="274"/>
      <c r="E96" s="274"/>
      <c r="F96" s="274"/>
      <c r="G96" s="274"/>
      <c r="H96" s="274"/>
      <c r="I96" s="274"/>
      <c r="J96" s="274"/>
      <c r="K96" s="274"/>
      <c r="L96" s="274"/>
      <c r="M96" s="274"/>
      <c r="N96" s="274"/>
      <c r="O96" s="274"/>
      <c r="P96" s="274"/>
      <c r="Q96" s="274"/>
      <c r="R96" s="274"/>
      <c r="S96" s="274"/>
      <c r="T96" s="274"/>
      <c r="U96" s="274"/>
      <c r="V96" s="274"/>
      <c r="W96" s="274"/>
      <c r="X96" s="274"/>
      <c r="Y96" s="274"/>
      <c r="Z96" s="274"/>
      <c r="AA96" s="274"/>
      <c r="AB96" s="274"/>
      <c r="AC96" s="274"/>
      <c r="AD96" s="274"/>
      <c r="AE96" s="274"/>
      <c r="AF96" s="274"/>
      <c r="AG96" s="274"/>
      <c r="AH96" s="274"/>
      <c r="AI96" s="274"/>
    </row>
    <row r="97" spans="1:35" x14ac:dyDescent="0.3">
      <c r="A97" s="274"/>
      <c r="B97" s="3"/>
      <c r="C97" s="241"/>
      <c r="D97" s="274"/>
      <c r="E97" s="274"/>
      <c r="F97" s="274"/>
      <c r="G97" s="274"/>
      <c r="H97" s="274"/>
      <c r="I97" s="274"/>
      <c r="J97" s="274"/>
      <c r="K97" s="274"/>
      <c r="L97" s="274"/>
      <c r="M97" s="274"/>
      <c r="N97" s="274"/>
      <c r="O97" s="274"/>
      <c r="P97" s="274"/>
      <c r="Q97" s="274"/>
      <c r="R97" s="274"/>
      <c r="S97" s="274"/>
      <c r="T97" s="274"/>
      <c r="U97" s="274"/>
      <c r="V97" s="274"/>
      <c r="W97" s="274"/>
      <c r="X97" s="274"/>
      <c r="Y97" s="274"/>
      <c r="Z97" s="274"/>
      <c r="AA97" s="274"/>
      <c r="AB97" s="274"/>
      <c r="AC97" s="274"/>
      <c r="AD97" s="274"/>
      <c r="AE97" s="274"/>
      <c r="AF97" s="274"/>
      <c r="AG97" s="274"/>
      <c r="AH97" s="274"/>
      <c r="AI97" s="274"/>
    </row>
    <row r="98" spans="1:35" x14ac:dyDescent="0.3">
      <c r="A98" s="274"/>
      <c r="B98" s="3"/>
      <c r="C98" s="241"/>
      <c r="D98" s="274"/>
      <c r="E98" s="274"/>
      <c r="F98" s="274"/>
      <c r="G98" s="274"/>
      <c r="H98" s="274"/>
      <c r="I98" s="274"/>
      <c r="J98" s="274"/>
      <c r="K98" s="274"/>
      <c r="L98" s="274"/>
      <c r="M98" s="274"/>
      <c r="N98" s="274"/>
      <c r="O98" s="274"/>
      <c r="P98" s="274"/>
      <c r="Q98" s="274"/>
      <c r="R98" s="274"/>
      <c r="S98" s="274"/>
      <c r="T98" s="274"/>
      <c r="U98" s="274"/>
      <c r="V98" s="274"/>
      <c r="W98" s="274"/>
      <c r="X98" s="274"/>
      <c r="Y98" s="274"/>
      <c r="Z98" s="274"/>
      <c r="AA98" s="274"/>
      <c r="AB98" s="274"/>
      <c r="AC98" s="274"/>
      <c r="AD98" s="274"/>
      <c r="AE98" s="274"/>
      <c r="AF98" s="274"/>
      <c r="AG98" s="274"/>
      <c r="AH98" s="274"/>
      <c r="AI98" s="274"/>
    </row>
    <row r="99" spans="1:35" x14ac:dyDescent="0.3">
      <c r="A99" s="274"/>
      <c r="B99" s="3"/>
      <c r="C99" s="241"/>
      <c r="D99" s="274"/>
      <c r="E99" s="274"/>
      <c r="F99" s="274"/>
      <c r="G99" s="274"/>
      <c r="H99" s="274"/>
      <c r="I99" s="274"/>
      <c r="J99" s="274"/>
      <c r="K99" s="274"/>
      <c r="L99" s="274"/>
      <c r="M99" s="274"/>
      <c r="N99" s="274"/>
      <c r="O99" s="274"/>
      <c r="P99" s="274"/>
      <c r="Q99" s="274"/>
      <c r="R99" s="274"/>
      <c r="S99" s="274"/>
      <c r="T99" s="274"/>
      <c r="U99" s="274"/>
      <c r="V99" s="274"/>
      <c r="W99" s="274"/>
      <c r="X99" s="274"/>
      <c r="Y99" s="274"/>
      <c r="Z99" s="274"/>
      <c r="AA99" s="274"/>
      <c r="AB99" s="274"/>
      <c r="AC99" s="274"/>
      <c r="AD99" s="274"/>
      <c r="AE99" s="274"/>
      <c r="AF99" s="274"/>
      <c r="AG99" s="274"/>
      <c r="AH99" s="274"/>
      <c r="AI99" s="274"/>
    </row>
    <row r="100" spans="1:35" x14ac:dyDescent="0.3">
      <c r="A100" s="274"/>
      <c r="B100" s="3"/>
      <c r="C100" s="241"/>
      <c r="D100" s="274"/>
      <c r="E100" s="274"/>
      <c r="F100" s="274"/>
      <c r="G100" s="274"/>
      <c r="H100" s="274"/>
      <c r="I100" s="274"/>
      <c r="J100" s="274"/>
      <c r="K100" s="274"/>
      <c r="L100" s="274"/>
      <c r="M100" s="274"/>
      <c r="N100" s="274"/>
      <c r="O100" s="274"/>
      <c r="P100" s="274"/>
      <c r="Q100" s="274"/>
      <c r="R100" s="274"/>
      <c r="S100" s="274"/>
      <c r="T100" s="274"/>
      <c r="U100" s="274"/>
      <c r="V100" s="274"/>
      <c r="W100" s="274"/>
      <c r="X100" s="274"/>
      <c r="Y100" s="274"/>
      <c r="Z100" s="274"/>
      <c r="AA100" s="274"/>
      <c r="AB100" s="274"/>
      <c r="AC100" s="274"/>
      <c r="AD100" s="274"/>
      <c r="AE100" s="274"/>
      <c r="AF100" s="274"/>
      <c r="AG100" s="274"/>
      <c r="AH100" s="274"/>
      <c r="AI100" s="274"/>
    </row>
    <row r="101" spans="1:35" x14ac:dyDescent="0.3">
      <c r="A101" s="274"/>
      <c r="B101" s="3"/>
      <c r="C101" s="241"/>
      <c r="D101" s="274"/>
      <c r="E101" s="274"/>
      <c r="F101" s="274"/>
      <c r="G101" s="274"/>
      <c r="H101" s="274"/>
      <c r="I101" s="274"/>
      <c r="J101" s="274"/>
      <c r="K101" s="274"/>
      <c r="L101" s="274"/>
      <c r="M101" s="274"/>
      <c r="N101" s="274"/>
      <c r="O101" s="274"/>
      <c r="P101" s="274"/>
      <c r="Q101" s="274"/>
      <c r="R101" s="274"/>
      <c r="S101" s="274"/>
      <c r="T101" s="274"/>
      <c r="U101" s="274"/>
      <c r="V101" s="274"/>
      <c r="W101" s="274"/>
      <c r="X101" s="274"/>
      <c r="Y101" s="274"/>
      <c r="Z101" s="274"/>
      <c r="AA101" s="274"/>
      <c r="AB101" s="274"/>
      <c r="AC101" s="274"/>
      <c r="AD101" s="274"/>
      <c r="AE101" s="274"/>
      <c r="AF101" s="274"/>
      <c r="AG101" s="274"/>
      <c r="AH101" s="274"/>
      <c r="AI101" s="274"/>
    </row>
    <row r="102" spans="1:35" x14ac:dyDescent="0.3">
      <c r="A102" s="274"/>
      <c r="B102" s="3"/>
      <c r="C102" s="241"/>
      <c r="D102" s="274"/>
      <c r="E102" s="274"/>
      <c r="F102" s="274"/>
      <c r="G102" s="274"/>
      <c r="H102" s="274"/>
      <c r="I102" s="274"/>
      <c r="J102" s="274"/>
      <c r="K102" s="274"/>
      <c r="L102" s="274"/>
      <c r="M102" s="274"/>
      <c r="N102" s="274"/>
      <c r="O102" s="274"/>
      <c r="P102" s="274"/>
      <c r="Q102" s="274"/>
      <c r="R102" s="274"/>
      <c r="S102" s="274"/>
      <c r="T102" s="274"/>
      <c r="U102" s="274"/>
      <c r="V102" s="274"/>
      <c r="W102" s="274"/>
      <c r="X102" s="274"/>
      <c r="Y102" s="274"/>
      <c r="Z102" s="274"/>
      <c r="AA102" s="274"/>
      <c r="AB102" s="274"/>
      <c r="AC102" s="274"/>
      <c r="AD102" s="274"/>
      <c r="AE102" s="274"/>
      <c r="AF102" s="274"/>
      <c r="AG102" s="274"/>
      <c r="AH102" s="274"/>
      <c r="AI102" s="274"/>
    </row>
    <row r="103" spans="1:35" x14ac:dyDescent="0.3">
      <c r="A103" s="274"/>
      <c r="B103" s="3"/>
      <c r="C103" s="241"/>
      <c r="D103" s="274"/>
      <c r="E103" s="274"/>
      <c r="F103" s="274"/>
      <c r="G103" s="274"/>
      <c r="H103" s="274"/>
      <c r="I103" s="274"/>
      <c r="J103" s="274"/>
      <c r="K103" s="274"/>
      <c r="L103" s="274"/>
      <c r="M103" s="274"/>
      <c r="N103" s="274"/>
      <c r="O103" s="274"/>
      <c r="P103" s="274"/>
      <c r="Q103" s="274"/>
      <c r="R103" s="274"/>
      <c r="S103" s="274"/>
      <c r="T103" s="274"/>
      <c r="U103" s="274"/>
      <c r="V103" s="274"/>
      <c r="W103" s="274"/>
      <c r="X103" s="274"/>
      <c r="Y103" s="274"/>
      <c r="Z103" s="274"/>
      <c r="AA103" s="274"/>
      <c r="AB103" s="274"/>
      <c r="AC103" s="274"/>
      <c r="AD103" s="274"/>
      <c r="AE103" s="274"/>
      <c r="AF103" s="274"/>
      <c r="AG103" s="274"/>
      <c r="AH103" s="274"/>
      <c r="AI103" s="274"/>
    </row>
    <row r="104" spans="1:35" x14ac:dyDescent="0.3">
      <c r="A104" s="274"/>
      <c r="B104" s="3"/>
      <c r="C104" s="241"/>
      <c r="D104" s="274"/>
      <c r="E104" s="274"/>
      <c r="F104" s="274"/>
      <c r="G104" s="274"/>
      <c r="H104" s="274"/>
      <c r="I104" s="274"/>
      <c r="J104" s="274"/>
      <c r="K104" s="274"/>
      <c r="L104" s="274"/>
      <c r="M104" s="274"/>
      <c r="N104" s="274"/>
      <c r="O104" s="274"/>
      <c r="P104" s="274"/>
      <c r="Q104" s="274"/>
      <c r="R104" s="274"/>
      <c r="S104" s="274"/>
      <c r="T104" s="274"/>
      <c r="U104" s="274"/>
      <c r="V104" s="274"/>
      <c r="W104" s="274"/>
      <c r="X104" s="274"/>
      <c r="Y104" s="274"/>
      <c r="Z104" s="274"/>
      <c r="AA104" s="274"/>
      <c r="AB104" s="274"/>
      <c r="AC104" s="274"/>
      <c r="AD104" s="274"/>
      <c r="AE104" s="274"/>
      <c r="AF104" s="274"/>
      <c r="AG104" s="274"/>
      <c r="AH104" s="274"/>
      <c r="AI104" s="274"/>
    </row>
    <row r="105" spans="1:35" x14ac:dyDescent="0.3">
      <c r="A105" s="274"/>
      <c r="B105" s="3"/>
      <c r="C105" s="241"/>
      <c r="D105" s="274"/>
      <c r="E105" s="274"/>
      <c r="F105" s="274"/>
      <c r="G105" s="274"/>
      <c r="H105" s="274"/>
      <c r="I105" s="274"/>
      <c r="J105" s="274"/>
      <c r="K105" s="274"/>
      <c r="L105" s="274"/>
      <c r="M105" s="274"/>
      <c r="N105" s="274"/>
      <c r="O105" s="274"/>
      <c r="P105" s="274"/>
      <c r="Q105" s="274"/>
      <c r="R105" s="274"/>
      <c r="S105" s="274"/>
      <c r="T105" s="274"/>
      <c r="U105" s="274"/>
      <c r="V105" s="274"/>
      <c r="W105" s="274"/>
      <c r="X105" s="274"/>
      <c r="Y105" s="274"/>
      <c r="Z105" s="274"/>
      <c r="AA105" s="274"/>
      <c r="AB105" s="274"/>
      <c r="AC105" s="274"/>
      <c r="AD105" s="274"/>
      <c r="AE105" s="274"/>
      <c r="AF105" s="274"/>
      <c r="AG105" s="274"/>
      <c r="AH105" s="274"/>
      <c r="AI105" s="274"/>
    </row>
    <row r="106" spans="1:35" x14ac:dyDescent="0.3">
      <c r="A106" s="274"/>
      <c r="B106" s="3"/>
      <c r="C106" s="241"/>
      <c r="D106" s="274"/>
      <c r="E106" s="274"/>
      <c r="F106" s="274"/>
      <c r="G106" s="274"/>
      <c r="H106" s="274"/>
      <c r="I106" s="274"/>
      <c r="J106" s="274"/>
      <c r="K106" s="274"/>
      <c r="L106" s="274"/>
      <c r="M106" s="274"/>
      <c r="N106" s="274"/>
      <c r="O106" s="274"/>
      <c r="P106" s="274"/>
      <c r="Q106" s="274"/>
      <c r="R106" s="274"/>
      <c r="S106" s="274"/>
      <c r="T106" s="274"/>
      <c r="U106" s="274"/>
      <c r="V106" s="274"/>
      <c r="W106" s="274"/>
      <c r="X106" s="274"/>
      <c r="Y106" s="274"/>
      <c r="Z106" s="274"/>
      <c r="AA106" s="274"/>
      <c r="AB106" s="274"/>
      <c r="AC106" s="274"/>
      <c r="AD106" s="274"/>
      <c r="AE106" s="274"/>
      <c r="AF106" s="274"/>
      <c r="AG106" s="274"/>
      <c r="AH106" s="274"/>
      <c r="AI106" s="274"/>
    </row>
    <row r="107" spans="1:35" x14ac:dyDescent="0.3">
      <c r="A107" s="274"/>
      <c r="B107" s="3"/>
      <c r="C107" s="241"/>
      <c r="D107" s="274"/>
      <c r="E107" s="274"/>
      <c r="F107" s="274"/>
      <c r="G107" s="274"/>
      <c r="H107" s="274"/>
      <c r="I107" s="274"/>
      <c r="J107" s="274"/>
      <c r="K107" s="274"/>
      <c r="L107" s="274"/>
      <c r="M107" s="274"/>
      <c r="N107" s="274"/>
      <c r="O107" s="274"/>
      <c r="P107" s="274"/>
      <c r="Q107" s="274"/>
      <c r="R107" s="274"/>
      <c r="S107" s="274"/>
      <c r="T107" s="274"/>
      <c r="U107" s="274"/>
      <c r="V107" s="274"/>
      <c r="W107" s="274"/>
      <c r="X107" s="274"/>
      <c r="Y107" s="274"/>
      <c r="Z107" s="274"/>
      <c r="AA107" s="274"/>
      <c r="AB107" s="274"/>
      <c r="AC107" s="274"/>
      <c r="AD107" s="274"/>
      <c r="AE107" s="274"/>
      <c r="AF107" s="274"/>
      <c r="AG107" s="274"/>
      <c r="AH107" s="274"/>
      <c r="AI107" s="274"/>
    </row>
    <row r="108" spans="1:35" x14ac:dyDescent="0.3">
      <c r="A108" s="274"/>
      <c r="B108" s="3"/>
      <c r="C108" s="241"/>
      <c r="D108" s="274"/>
      <c r="E108" s="274"/>
      <c r="F108" s="274"/>
      <c r="G108" s="274"/>
      <c r="H108" s="274"/>
      <c r="I108" s="274"/>
      <c r="J108" s="274"/>
      <c r="K108" s="274"/>
      <c r="L108" s="274"/>
      <c r="M108" s="274"/>
      <c r="N108" s="274"/>
      <c r="O108" s="274"/>
      <c r="P108" s="274"/>
      <c r="Q108" s="274"/>
      <c r="R108" s="274"/>
      <c r="S108" s="274"/>
      <c r="T108" s="274"/>
      <c r="U108" s="274"/>
      <c r="V108" s="274"/>
      <c r="W108" s="274"/>
      <c r="X108" s="274"/>
      <c r="Y108" s="274"/>
      <c r="Z108" s="274"/>
      <c r="AA108" s="274"/>
      <c r="AB108" s="274"/>
      <c r="AC108" s="274"/>
      <c r="AD108" s="274"/>
      <c r="AE108" s="274"/>
      <c r="AF108" s="274"/>
      <c r="AG108" s="274"/>
      <c r="AH108" s="274"/>
      <c r="AI108" s="274"/>
    </row>
    <row r="109" spans="1:35" x14ac:dyDescent="0.3">
      <c r="A109" s="274"/>
      <c r="B109" s="3"/>
      <c r="C109" s="241"/>
      <c r="D109" s="274"/>
      <c r="E109" s="274"/>
      <c r="F109" s="274"/>
      <c r="G109" s="274"/>
      <c r="H109" s="274"/>
      <c r="I109" s="274"/>
      <c r="J109" s="274"/>
      <c r="K109" s="274"/>
      <c r="L109" s="274"/>
      <c r="M109" s="274"/>
      <c r="N109" s="274"/>
      <c r="O109" s="274"/>
      <c r="P109" s="274"/>
      <c r="Q109" s="274"/>
      <c r="R109" s="274"/>
      <c r="S109" s="274"/>
      <c r="T109" s="274"/>
      <c r="U109" s="274"/>
      <c r="V109" s="274"/>
      <c r="W109" s="274"/>
      <c r="X109" s="274"/>
      <c r="Y109" s="274"/>
      <c r="Z109" s="274"/>
      <c r="AA109" s="274"/>
      <c r="AB109" s="274"/>
      <c r="AC109" s="274"/>
      <c r="AD109" s="274"/>
      <c r="AE109" s="274"/>
      <c r="AF109" s="274"/>
      <c r="AG109" s="274"/>
      <c r="AH109" s="274"/>
      <c r="AI109" s="274"/>
    </row>
    <row r="110" spans="1:35" x14ac:dyDescent="0.3">
      <c r="A110" s="274"/>
      <c r="B110" s="3"/>
      <c r="C110" s="241"/>
      <c r="D110" s="274"/>
      <c r="E110" s="274"/>
      <c r="F110" s="274"/>
      <c r="G110" s="274"/>
      <c r="H110" s="274"/>
      <c r="I110" s="274"/>
      <c r="J110" s="274"/>
      <c r="K110" s="274"/>
      <c r="L110" s="274"/>
      <c r="M110" s="274"/>
      <c r="N110" s="274"/>
      <c r="O110" s="274"/>
      <c r="P110" s="274"/>
      <c r="Q110" s="274"/>
      <c r="R110" s="274"/>
      <c r="S110" s="274"/>
      <c r="T110" s="274"/>
      <c r="U110" s="274"/>
      <c r="V110" s="274"/>
      <c r="W110" s="274"/>
      <c r="X110" s="274"/>
      <c r="Y110" s="274"/>
      <c r="Z110" s="274"/>
      <c r="AA110" s="274"/>
      <c r="AB110" s="274"/>
      <c r="AC110" s="274"/>
      <c r="AD110" s="274"/>
      <c r="AE110" s="274"/>
      <c r="AF110" s="274"/>
      <c r="AG110" s="274"/>
      <c r="AH110" s="274"/>
      <c r="AI110" s="274"/>
    </row>
  </sheetData>
  <pageMargins left="0.7" right="0.7" top="0.75" bottom="0.75" header="0.3" footer="0.3"/>
  <pageSetup paperSize="9" orientation="portrait" verticalDpi="9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9F4C6-DD5B-4E77-886A-3CF3C91AE64D}">
  <sheetPr>
    <tabColor rgb="FFFFC000"/>
  </sheetPr>
  <dimension ref="A1:AO73"/>
  <sheetViews>
    <sheetView showGridLines="0" tabSelected="1" zoomScale="73" zoomScaleNormal="60" workbookViewId="0">
      <selection activeCell="G81" sqref="G81"/>
    </sheetView>
  </sheetViews>
  <sheetFormatPr defaultRowHeight="14.5" x14ac:dyDescent="0.35"/>
  <cols>
    <col min="2" max="2" width="26.1796875" bestFit="1" customWidth="1"/>
    <col min="3" max="3" width="6.26953125" bestFit="1" customWidth="1"/>
    <col min="4" max="4" width="8" bestFit="1" customWidth="1"/>
    <col min="5" max="5" width="10" bestFit="1" customWidth="1"/>
    <col min="6" max="31" width="10.36328125" bestFit="1" customWidth="1"/>
  </cols>
  <sheetData>
    <row r="1" spans="1:41" x14ac:dyDescent="0.35">
      <c r="A1" s="165"/>
      <c r="B1" s="166" t="s">
        <v>15</v>
      </c>
      <c r="C1" s="167" t="s">
        <v>14</v>
      </c>
      <c r="D1" s="168" t="s">
        <v>13</v>
      </c>
      <c r="E1" s="169">
        <f>YEAR(E2)</f>
        <v>2026</v>
      </c>
      <c r="F1" s="169">
        <f t="shared" ref="F1:AE1" si="0">E1+1</f>
        <v>2027</v>
      </c>
      <c r="G1" s="170">
        <f t="shared" si="0"/>
        <v>2028</v>
      </c>
      <c r="H1" s="170">
        <f t="shared" si="0"/>
        <v>2029</v>
      </c>
      <c r="I1" s="170">
        <f t="shared" si="0"/>
        <v>2030</v>
      </c>
      <c r="J1" s="170">
        <f t="shared" si="0"/>
        <v>2031</v>
      </c>
      <c r="K1" s="170">
        <f t="shared" si="0"/>
        <v>2032</v>
      </c>
      <c r="L1" s="170">
        <f t="shared" si="0"/>
        <v>2033</v>
      </c>
      <c r="M1" s="170">
        <f t="shared" si="0"/>
        <v>2034</v>
      </c>
      <c r="N1" s="170">
        <f t="shared" si="0"/>
        <v>2035</v>
      </c>
      <c r="O1" s="170">
        <f t="shared" si="0"/>
        <v>2036</v>
      </c>
      <c r="P1" s="170">
        <f t="shared" si="0"/>
        <v>2037</v>
      </c>
      <c r="Q1" s="170">
        <f t="shared" si="0"/>
        <v>2038</v>
      </c>
      <c r="R1" s="170">
        <f t="shared" si="0"/>
        <v>2039</v>
      </c>
      <c r="S1" s="170">
        <f t="shared" si="0"/>
        <v>2040</v>
      </c>
      <c r="T1" s="170">
        <f t="shared" si="0"/>
        <v>2041</v>
      </c>
      <c r="U1" s="170">
        <f t="shared" si="0"/>
        <v>2042</v>
      </c>
      <c r="V1" s="170">
        <f t="shared" si="0"/>
        <v>2043</v>
      </c>
      <c r="W1" s="170">
        <f t="shared" si="0"/>
        <v>2044</v>
      </c>
      <c r="X1" s="170">
        <f t="shared" si="0"/>
        <v>2045</v>
      </c>
      <c r="Y1" s="170">
        <f t="shared" si="0"/>
        <v>2046</v>
      </c>
      <c r="Z1" s="170">
        <f t="shared" si="0"/>
        <v>2047</v>
      </c>
      <c r="AA1" s="170">
        <f t="shared" si="0"/>
        <v>2048</v>
      </c>
      <c r="AB1" s="170">
        <f t="shared" si="0"/>
        <v>2049</v>
      </c>
      <c r="AC1" s="170">
        <f t="shared" si="0"/>
        <v>2050</v>
      </c>
      <c r="AD1" s="170">
        <f t="shared" si="0"/>
        <v>2051</v>
      </c>
      <c r="AE1" s="170">
        <f t="shared" si="0"/>
        <v>2052</v>
      </c>
    </row>
    <row r="2" spans="1:41" x14ac:dyDescent="0.35">
      <c r="A2" s="166"/>
      <c r="B2" s="166"/>
      <c r="C2" s="167"/>
      <c r="D2" s="171">
        <f>Input!D238</f>
        <v>45747</v>
      </c>
      <c r="E2" s="172">
        <f t="shared" ref="E2:AE2" si="1">EOMONTH(D2,12)</f>
        <v>46112</v>
      </c>
      <c r="F2" s="172">
        <f t="shared" si="1"/>
        <v>46477</v>
      </c>
      <c r="G2" s="173">
        <f t="shared" si="1"/>
        <v>46843</v>
      </c>
      <c r="H2" s="173">
        <f t="shared" si="1"/>
        <v>47208</v>
      </c>
      <c r="I2" s="173">
        <f t="shared" si="1"/>
        <v>47573</v>
      </c>
      <c r="J2" s="173">
        <f t="shared" si="1"/>
        <v>47938</v>
      </c>
      <c r="K2" s="173">
        <f t="shared" si="1"/>
        <v>48304</v>
      </c>
      <c r="L2" s="173">
        <f t="shared" si="1"/>
        <v>48669</v>
      </c>
      <c r="M2" s="173">
        <f t="shared" si="1"/>
        <v>49034</v>
      </c>
      <c r="N2" s="173">
        <f t="shared" si="1"/>
        <v>49399</v>
      </c>
      <c r="O2" s="173">
        <f t="shared" si="1"/>
        <v>49765</v>
      </c>
      <c r="P2" s="173">
        <f t="shared" si="1"/>
        <v>50130</v>
      </c>
      <c r="Q2" s="173">
        <f t="shared" si="1"/>
        <v>50495</v>
      </c>
      <c r="R2" s="173">
        <f t="shared" si="1"/>
        <v>50860</v>
      </c>
      <c r="S2" s="173">
        <f t="shared" si="1"/>
        <v>51226</v>
      </c>
      <c r="T2" s="173">
        <f t="shared" si="1"/>
        <v>51591</v>
      </c>
      <c r="U2" s="173">
        <f t="shared" si="1"/>
        <v>51956</v>
      </c>
      <c r="V2" s="173">
        <f t="shared" si="1"/>
        <v>52321</v>
      </c>
      <c r="W2" s="173">
        <f t="shared" si="1"/>
        <v>52687</v>
      </c>
      <c r="X2" s="173">
        <f t="shared" si="1"/>
        <v>53052</v>
      </c>
      <c r="Y2" s="173">
        <f t="shared" si="1"/>
        <v>53417</v>
      </c>
      <c r="Z2" s="173">
        <f t="shared" si="1"/>
        <v>53782</v>
      </c>
      <c r="AA2" s="173">
        <f t="shared" si="1"/>
        <v>54148</v>
      </c>
      <c r="AB2" s="173">
        <f t="shared" si="1"/>
        <v>54513</v>
      </c>
      <c r="AC2" s="173">
        <f t="shared" si="1"/>
        <v>54878</v>
      </c>
      <c r="AD2" s="173">
        <f t="shared" si="1"/>
        <v>55243</v>
      </c>
      <c r="AE2" s="173">
        <f t="shared" si="1"/>
        <v>55609</v>
      </c>
    </row>
    <row r="3" spans="1:41" hidden="1" x14ac:dyDescent="0.35">
      <c r="A3" s="792"/>
      <c r="B3" s="622" t="s">
        <v>983</v>
      </c>
      <c r="C3" s="793"/>
      <c r="D3" s="794">
        <v>0</v>
      </c>
      <c r="E3" s="795">
        <f>D3+1</f>
        <v>1</v>
      </c>
      <c r="F3" s="795">
        <f t="shared" ref="F3:AE3" si="2">E3+1</f>
        <v>2</v>
      </c>
      <c r="G3" s="795">
        <f t="shared" si="2"/>
        <v>3</v>
      </c>
      <c r="H3" s="795">
        <f t="shared" si="2"/>
        <v>4</v>
      </c>
      <c r="I3" s="795">
        <f t="shared" si="2"/>
        <v>5</v>
      </c>
      <c r="J3" s="795">
        <f t="shared" si="2"/>
        <v>6</v>
      </c>
      <c r="K3" s="795">
        <f t="shared" si="2"/>
        <v>7</v>
      </c>
      <c r="L3" s="795">
        <f t="shared" si="2"/>
        <v>8</v>
      </c>
      <c r="M3" s="795">
        <f t="shared" si="2"/>
        <v>9</v>
      </c>
      <c r="N3" s="795">
        <f t="shared" si="2"/>
        <v>10</v>
      </c>
      <c r="O3" s="795">
        <f t="shared" si="2"/>
        <v>11</v>
      </c>
      <c r="P3" s="795">
        <f t="shared" si="2"/>
        <v>12</v>
      </c>
      <c r="Q3" s="795">
        <f t="shared" si="2"/>
        <v>13</v>
      </c>
      <c r="R3" s="795">
        <f t="shared" si="2"/>
        <v>14</v>
      </c>
      <c r="S3" s="795">
        <f t="shared" si="2"/>
        <v>15</v>
      </c>
      <c r="T3" s="795">
        <f t="shared" si="2"/>
        <v>16</v>
      </c>
      <c r="U3" s="795">
        <f t="shared" si="2"/>
        <v>17</v>
      </c>
      <c r="V3" s="795">
        <f t="shared" si="2"/>
        <v>18</v>
      </c>
      <c r="W3" s="795">
        <f t="shared" si="2"/>
        <v>19</v>
      </c>
      <c r="X3" s="795">
        <f t="shared" si="2"/>
        <v>20</v>
      </c>
      <c r="Y3" s="795">
        <f t="shared" si="2"/>
        <v>21</v>
      </c>
      <c r="Z3" s="795">
        <f t="shared" si="2"/>
        <v>22</v>
      </c>
      <c r="AA3" s="795">
        <f t="shared" si="2"/>
        <v>23</v>
      </c>
      <c r="AB3" s="795">
        <f t="shared" si="2"/>
        <v>24</v>
      </c>
      <c r="AC3" s="795">
        <f t="shared" si="2"/>
        <v>25</v>
      </c>
      <c r="AD3" s="795">
        <f t="shared" si="2"/>
        <v>26</v>
      </c>
      <c r="AE3" s="795">
        <f t="shared" si="2"/>
        <v>27</v>
      </c>
    </row>
    <row r="4" spans="1:41" hidden="1" x14ac:dyDescent="0.35">
      <c r="A4" s="661"/>
      <c r="B4" s="661" t="s">
        <v>186</v>
      </c>
      <c r="C4" s="662">
        <f>SUM(E4:AE4)</f>
        <v>26</v>
      </c>
      <c r="D4" s="663"/>
      <c r="E4" s="664">
        <f>IF(AND(E2&gt;=Input!$E$180,E2&lt;=Input!$E$182),1,0)</f>
        <v>0</v>
      </c>
      <c r="F4" s="664">
        <f>IF(AND(F2&gt;=Input!$E$180,F2&lt;=Input!$E$182),1,0)</f>
        <v>1</v>
      </c>
      <c r="G4" s="664">
        <f>IF(AND(G2&gt;=Input!$E$180,G2&lt;=Input!$E$182),1,0)</f>
        <v>1</v>
      </c>
      <c r="H4" s="664">
        <f>IF(AND(H2&gt;=Input!$E$180,H2&lt;=Input!$E$182),1,0)</f>
        <v>1</v>
      </c>
      <c r="I4" s="664">
        <f>IF(AND(I2&gt;=Input!$E$180,I2&lt;=Input!$E$182),1,0)</f>
        <v>1</v>
      </c>
      <c r="J4" s="664">
        <f>IF(AND(J2&gt;=Input!$E$180,J2&lt;=Input!$E$182),1,0)</f>
        <v>1</v>
      </c>
      <c r="K4" s="664">
        <f>IF(AND(K2&gt;=Input!$E$180,K2&lt;=Input!$E$182),1,0)</f>
        <v>1</v>
      </c>
      <c r="L4" s="664">
        <f>IF(AND(L2&gt;=Input!$E$180,L2&lt;=Input!$E$182),1,0)</f>
        <v>1</v>
      </c>
      <c r="M4" s="664">
        <f>IF(AND(M2&gt;=Input!$E$180,M2&lt;=Input!$E$182),1,0)</f>
        <v>1</v>
      </c>
      <c r="N4" s="664">
        <f>IF(AND(N2&gt;=Input!$E$180,N2&lt;=Input!$E$182),1,0)</f>
        <v>1</v>
      </c>
      <c r="O4" s="664">
        <f>IF(AND(O2&gt;=Input!$E$180,O2&lt;=Input!$E$182),1,0)</f>
        <v>1</v>
      </c>
      <c r="P4" s="664">
        <f>IF(AND(P2&gt;=Input!$E$180,P2&lt;=Input!$E$182),1,0)</f>
        <v>1</v>
      </c>
      <c r="Q4" s="664">
        <f>IF(AND(Q2&gt;=Input!$E$180,Q2&lt;=Input!$E$182),1,0)</f>
        <v>1</v>
      </c>
      <c r="R4" s="664">
        <f>IF(AND(R2&gt;=Input!$E$180,R2&lt;=Input!$E$182),1,0)</f>
        <v>1</v>
      </c>
      <c r="S4" s="664">
        <f>IF(AND(S2&gt;=Input!$E$180,S2&lt;=Input!$E$182),1,0)</f>
        <v>1</v>
      </c>
      <c r="T4" s="664">
        <f>IF(AND(T2&gt;=Input!$E$180,T2&lt;=Input!$E$182),1,0)</f>
        <v>1</v>
      </c>
      <c r="U4" s="664">
        <f>IF(AND(U2&gt;=Input!$E$180,U2&lt;=Input!$E$182),1,0)</f>
        <v>1</v>
      </c>
      <c r="V4" s="664">
        <f>IF(AND(V2&gt;=Input!$E$180,V2&lt;=Input!$E$182),1,0)</f>
        <v>1</v>
      </c>
      <c r="W4" s="664">
        <f>IF(AND(W2&gt;=Input!$E$180,W2&lt;=Input!$E$182),1,0)</f>
        <v>1</v>
      </c>
      <c r="X4" s="664">
        <f>IF(AND(X2&gt;=Input!$E$180,X2&lt;=Input!$E$182),1,0)</f>
        <v>1</v>
      </c>
      <c r="Y4" s="664">
        <f>IF(AND(Y2&gt;=Input!$E$180,Y2&lt;=Input!$E$182),1,0)</f>
        <v>1</v>
      </c>
      <c r="Z4" s="664">
        <f>IF(AND(Z2&gt;=Input!$E$180,Z2&lt;=Input!$E$182),1,0)</f>
        <v>1</v>
      </c>
      <c r="AA4" s="664">
        <f>IF(AND(AA2&gt;=Input!$E$180,AA2&lt;=Input!$E$182),1,0)</f>
        <v>1</v>
      </c>
      <c r="AB4" s="664">
        <f>IF(AND(AB2&gt;=Input!$E$180,AB2&lt;=Input!$E$182),1,0)</f>
        <v>1</v>
      </c>
      <c r="AC4" s="664">
        <f>IF(AND(AC2&gt;=Input!$E$180,AC2&lt;=Input!$E$182),1,0)</f>
        <v>1</v>
      </c>
      <c r="AD4" s="664">
        <f>IF(AND(AD2&gt;=Input!$E$180,AD2&lt;=Input!$E$182),1,0)</f>
        <v>1</v>
      </c>
      <c r="AE4" s="664">
        <f>IF(AND(AE2&gt;=Input!$E$180,AE2&lt;=Input!$E$182),1,0)</f>
        <v>1</v>
      </c>
    </row>
    <row r="5" spans="1:41" hidden="1" x14ac:dyDescent="0.35">
      <c r="A5" s="661"/>
      <c r="B5" s="661" t="s">
        <v>185</v>
      </c>
      <c r="C5" s="665"/>
      <c r="D5" s="663"/>
      <c r="E5" s="664">
        <f>SUM($E4:E$4)</f>
        <v>0</v>
      </c>
      <c r="F5" s="664">
        <f>SUM($E4:F$4)</f>
        <v>1</v>
      </c>
      <c r="G5" s="664">
        <f>SUM($E4:G$4)</f>
        <v>2</v>
      </c>
      <c r="H5" s="664">
        <f>SUM($E4:H$4)</f>
        <v>3</v>
      </c>
      <c r="I5" s="664">
        <f>SUM($E4:I$4)</f>
        <v>4</v>
      </c>
      <c r="J5" s="664">
        <f>SUM($E4:J$4)</f>
        <v>5</v>
      </c>
      <c r="K5" s="664">
        <f>SUM($E4:K$4)</f>
        <v>6</v>
      </c>
      <c r="L5" s="664">
        <f>SUM($E4:L$4)</f>
        <v>7</v>
      </c>
      <c r="M5" s="664">
        <f>SUM($E4:M$4)</f>
        <v>8</v>
      </c>
      <c r="N5" s="664">
        <f>SUM($E4:N$4)</f>
        <v>9</v>
      </c>
      <c r="O5" s="664">
        <f>SUM($E4:O$4)</f>
        <v>10</v>
      </c>
      <c r="P5" s="664">
        <f>SUM($E4:P$4)</f>
        <v>11</v>
      </c>
      <c r="Q5" s="664">
        <f>SUM($E4:Q$4)</f>
        <v>12</v>
      </c>
      <c r="R5" s="664">
        <f>SUM($E4:R$4)</f>
        <v>13</v>
      </c>
      <c r="S5" s="664">
        <f>SUM($E4:S$4)</f>
        <v>14</v>
      </c>
      <c r="T5" s="664">
        <f>SUM($E4:T$4)</f>
        <v>15</v>
      </c>
      <c r="U5" s="664">
        <f>SUM($E4:U$4)</f>
        <v>16</v>
      </c>
      <c r="V5" s="664">
        <f>SUM($E4:V$4)</f>
        <v>17</v>
      </c>
      <c r="W5" s="664">
        <f>SUM($E4:W$4)</f>
        <v>18</v>
      </c>
      <c r="X5" s="664">
        <f>SUM($E4:X$4)</f>
        <v>19</v>
      </c>
      <c r="Y5" s="664">
        <f>SUM($E4:Y$4)</f>
        <v>20</v>
      </c>
      <c r="Z5" s="664">
        <f>SUM($E4:Z$4)</f>
        <v>21</v>
      </c>
      <c r="AA5" s="664">
        <f>SUM($E4:AA$4)</f>
        <v>22</v>
      </c>
      <c r="AB5" s="664">
        <f>SUM($E4:AB$4)</f>
        <v>23</v>
      </c>
      <c r="AC5" s="664">
        <f>SUM($E4:AC$4)</f>
        <v>24</v>
      </c>
      <c r="AD5" s="664">
        <f>SUM($E4:AD$4)</f>
        <v>25</v>
      </c>
      <c r="AE5" s="664">
        <f>SUM($E4:AE$4)</f>
        <v>26</v>
      </c>
    </row>
    <row r="6" spans="1:41" hidden="1" x14ac:dyDescent="0.35">
      <c r="A6" s="661"/>
      <c r="B6" s="661" t="s">
        <v>184</v>
      </c>
      <c r="C6" s="665"/>
      <c r="D6" s="663"/>
      <c r="E6" s="664">
        <f t="shared" ref="E6:AE6" si="3">E2-D2</f>
        <v>365</v>
      </c>
      <c r="F6" s="664">
        <f t="shared" si="3"/>
        <v>365</v>
      </c>
      <c r="G6" s="664">
        <f t="shared" si="3"/>
        <v>366</v>
      </c>
      <c r="H6" s="664">
        <f t="shared" si="3"/>
        <v>365</v>
      </c>
      <c r="I6" s="664">
        <f t="shared" si="3"/>
        <v>365</v>
      </c>
      <c r="J6" s="664">
        <f t="shared" si="3"/>
        <v>365</v>
      </c>
      <c r="K6" s="664">
        <f t="shared" si="3"/>
        <v>366</v>
      </c>
      <c r="L6" s="664">
        <f t="shared" si="3"/>
        <v>365</v>
      </c>
      <c r="M6" s="664">
        <f t="shared" si="3"/>
        <v>365</v>
      </c>
      <c r="N6" s="664">
        <f t="shared" si="3"/>
        <v>365</v>
      </c>
      <c r="O6" s="664">
        <f t="shared" si="3"/>
        <v>366</v>
      </c>
      <c r="P6" s="664">
        <f t="shared" si="3"/>
        <v>365</v>
      </c>
      <c r="Q6" s="664">
        <f t="shared" si="3"/>
        <v>365</v>
      </c>
      <c r="R6" s="664">
        <f t="shared" si="3"/>
        <v>365</v>
      </c>
      <c r="S6" s="664">
        <f t="shared" si="3"/>
        <v>366</v>
      </c>
      <c r="T6" s="664">
        <f t="shared" si="3"/>
        <v>365</v>
      </c>
      <c r="U6" s="664">
        <f t="shared" si="3"/>
        <v>365</v>
      </c>
      <c r="V6" s="664">
        <f t="shared" si="3"/>
        <v>365</v>
      </c>
      <c r="W6" s="664">
        <f t="shared" si="3"/>
        <v>366</v>
      </c>
      <c r="X6" s="664">
        <f t="shared" si="3"/>
        <v>365</v>
      </c>
      <c r="Y6" s="664">
        <f t="shared" si="3"/>
        <v>365</v>
      </c>
      <c r="Z6" s="664">
        <f t="shared" si="3"/>
        <v>365</v>
      </c>
      <c r="AA6" s="664">
        <f t="shared" si="3"/>
        <v>366</v>
      </c>
      <c r="AB6" s="664">
        <f t="shared" si="3"/>
        <v>365</v>
      </c>
      <c r="AC6" s="664">
        <f t="shared" si="3"/>
        <v>365</v>
      </c>
      <c r="AD6" s="664">
        <f t="shared" si="3"/>
        <v>365</v>
      </c>
      <c r="AE6" s="664">
        <f t="shared" si="3"/>
        <v>366</v>
      </c>
    </row>
    <row r="7" spans="1:41" hidden="1" x14ac:dyDescent="0.35">
      <c r="A7" s="661"/>
      <c r="B7" s="661" t="s">
        <v>981</v>
      </c>
      <c r="C7" s="665"/>
      <c r="D7" s="663"/>
      <c r="E7" s="664">
        <f>E6-E8</f>
        <v>365</v>
      </c>
      <c r="F7" s="664">
        <f>F6-F8</f>
        <v>183</v>
      </c>
      <c r="G7" s="664">
        <f t="shared" ref="G7:L7" si="4">G6-G8</f>
        <v>0</v>
      </c>
      <c r="H7" s="664">
        <f t="shared" si="4"/>
        <v>0</v>
      </c>
      <c r="I7" s="664">
        <f t="shared" si="4"/>
        <v>0</v>
      </c>
      <c r="J7" s="664">
        <f t="shared" si="4"/>
        <v>0</v>
      </c>
      <c r="K7" s="664">
        <f t="shared" si="4"/>
        <v>0</v>
      </c>
      <c r="L7" s="664">
        <f t="shared" si="4"/>
        <v>0</v>
      </c>
      <c r="M7" s="664"/>
      <c r="N7" s="664"/>
      <c r="O7" s="664"/>
      <c r="P7" s="664"/>
      <c r="Q7" s="664"/>
      <c r="R7" s="664"/>
      <c r="S7" s="664"/>
      <c r="T7" s="664"/>
      <c r="U7" s="664"/>
      <c r="V7" s="664"/>
      <c r="W7" s="664"/>
      <c r="X7" s="664"/>
      <c r="Y7" s="664"/>
      <c r="Z7" s="664"/>
      <c r="AA7" s="664"/>
      <c r="AB7" s="664"/>
      <c r="AC7" s="664"/>
      <c r="AD7" s="664"/>
      <c r="AE7" s="664"/>
    </row>
    <row r="8" spans="1:41" hidden="1" x14ac:dyDescent="0.35">
      <c r="A8" s="661"/>
      <c r="B8" s="661" t="s">
        <v>183</v>
      </c>
      <c r="C8" s="665"/>
      <c r="D8" s="663"/>
      <c r="E8" s="664">
        <f>IF(E2=Input!$E$182,Input!$E$181-D2,IF(E2-Input!$E$178+1&gt;=365,E2-D2,E2-Input!$E$178+1))*E4</f>
        <v>0</v>
      </c>
      <c r="F8" s="664">
        <f>IF(F2=Input!$E$182,Input!$E$181-E2,IF(F2-Input!$E$178+1&gt;=365,F2-E2,F2-Input!$E$178+1))*F4</f>
        <v>182</v>
      </c>
      <c r="G8" s="664">
        <f>IF(G2=Input!$E$182,Input!$E$181-F2,IF(G2-Input!$E$178+1&gt;=365,G2-F2,G2-Input!$E$178+1))*G4</f>
        <v>366</v>
      </c>
      <c r="H8" s="664">
        <f>IF(H2=Input!$E$182,Input!$E$181-G2,IF(H2-Input!$E$178+1&gt;=365,H2-G2,H2-Input!$E$178+1))*H4</f>
        <v>365</v>
      </c>
      <c r="I8" s="664">
        <f>IF(I2=Input!$E$182,Input!$E$181-H2,IF(I2-Input!$E$178+1&gt;=365,I2-H2,I2-Input!$E$178+1))*I4</f>
        <v>365</v>
      </c>
      <c r="J8" s="664">
        <f>IF(J2=Input!$E$182,Input!$E$181-I2,IF(J2-Input!$E$178+1&gt;=365,J2-I2,J2-Input!$E$178+1))*J4</f>
        <v>365</v>
      </c>
      <c r="K8" s="664">
        <f>IF(K2=Input!$E$182,Input!$E$181-J2,IF(K2-Input!$E$178+1&gt;=365,K2-J2,K2-Input!$E$178+1))*K4</f>
        <v>366</v>
      </c>
      <c r="L8" s="664">
        <f>IF(L2=Input!$E$182,Input!$E$181-K2,IF(L2-Input!$E$178+1&gt;=365,L2-K2,L2-Input!$E$178+1))*L4</f>
        <v>365</v>
      </c>
      <c r="M8" s="664">
        <f>IF(M2=Input!$E$182,Input!$E$181-L2,IF(M2-Input!$E$178+1&gt;=365,M2-L2,M2-Input!$E$178+1))*M4</f>
        <v>365</v>
      </c>
      <c r="N8" s="664">
        <f>IF(N2=Input!$E$182,Input!$E$181-M2,IF(N2-Input!$E$178+1&gt;=365,N2-M2,N2-Input!$E$178+1))*N4</f>
        <v>365</v>
      </c>
      <c r="O8" s="664">
        <f>IF(O2=Input!$E$182,Input!$E$181-N2,IF(O2-Input!$E$178+1&gt;=365,O2-N2,O2-Input!$E$178+1))*O4</f>
        <v>366</v>
      </c>
      <c r="P8" s="664">
        <f>IF(P2=Input!$E$182,Input!$E$181-O2,IF(P2-Input!$E$178+1&gt;=365,P2-O2,P2-Input!$E$178+1))*P4</f>
        <v>365</v>
      </c>
      <c r="Q8" s="664">
        <f>IF(Q2=Input!$E$182,Input!$E$181-P2,IF(Q2-Input!$E$178+1&gt;=365,Q2-P2,Q2-Input!$E$178+1))*Q4</f>
        <v>365</v>
      </c>
      <c r="R8" s="664">
        <f>IF(R2=Input!$E$182,Input!$E$181-Q2,IF(R2-Input!$E$178+1&gt;=365,R2-Q2,R2-Input!$E$178+1))*R4</f>
        <v>365</v>
      </c>
      <c r="S8" s="664">
        <f>IF(S2=Input!$E$182,Input!$E$181-R2,IF(S2-Input!$E$178+1&gt;=365,S2-R2,S2-Input!$E$178+1))*S4</f>
        <v>366</v>
      </c>
      <c r="T8" s="664">
        <f>IF(T2=Input!$E$182,Input!$E$181-S2,IF(T2-Input!$E$178+1&gt;=365,T2-S2,T2-Input!$E$178+1))*T4</f>
        <v>365</v>
      </c>
      <c r="U8" s="664">
        <f>IF(U2=Input!$E$182,Input!$E$181-T2,IF(U2-Input!$E$178+1&gt;=365,U2-T2,U2-Input!$E$178+1))*U4</f>
        <v>365</v>
      </c>
      <c r="V8" s="664">
        <f>IF(V2=Input!$E$182,Input!$E$181-U2,IF(V2-Input!$E$178+1&gt;=365,V2-U2,V2-Input!$E$178+1))*V4</f>
        <v>365</v>
      </c>
      <c r="W8" s="664">
        <f>IF(W2=Input!$E$182,Input!$E$181-V2,IF(W2-Input!$E$178+1&gt;=365,W2-V2,W2-Input!$E$178+1))*W4</f>
        <v>366</v>
      </c>
      <c r="X8" s="664">
        <f>IF(X2=Input!$E$182,Input!$E$181-W2,IF(X2-Input!$E$178+1&gt;=365,X2-W2,X2-Input!$E$178+1))*X4</f>
        <v>365</v>
      </c>
      <c r="Y8" s="664">
        <f>IF(Y2=Input!$E$182,Input!$E$181-X2,IF(Y2-Input!$E$178+1&gt;=365,Y2-X2,Y2-Input!$E$178+1))*Y4</f>
        <v>365</v>
      </c>
      <c r="Z8" s="664">
        <f>IF(Z2=Input!$E$182,Input!$E$181-Y2,IF(Z2-Input!$E$178+1&gt;=365,Z2-Y2,Z2-Input!$E$178+1))*Z4</f>
        <v>365</v>
      </c>
      <c r="AA8" s="664">
        <f>IF(AA2=Input!$E$182,Input!$E$181-Z2,IF(AA2-Input!$E$178+1&gt;=365,AA2-Z2,AA2-Input!$E$178+1))*AA4</f>
        <v>366</v>
      </c>
      <c r="AB8" s="664">
        <f>IF(AB2=Input!$E$182,Input!$E$181-AA2,IF(AB2-Input!$E$178+1&gt;=365,AB2-AA2,AB2-Input!$E$178+1))*AB4</f>
        <v>365</v>
      </c>
      <c r="AC8" s="664">
        <f>IF(AC2=Input!$E$182,Input!$E$181-AB2,IF(AC2-Input!$E$178+1&gt;=365,AC2-AB2,AC2-Input!$E$178+1))*AC4</f>
        <v>365</v>
      </c>
      <c r="AD8" s="664">
        <f>IF(AD2=Input!$E$182,Input!$E$181-AC2,IF(AD2-Input!$E$178+1&gt;=365,AD2-AC2,AD2-Input!$E$178+1))*AD4</f>
        <v>365</v>
      </c>
      <c r="AE8" s="664">
        <f>IF(AE2=Input!$E$182,Input!$E$181-AD2,IF(AE2-Input!$E$178+1&gt;=365,AE2-AD2,AE2-Input!$E$178+1))*AE4</f>
        <v>183</v>
      </c>
    </row>
    <row r="9" spans="1:41" s="80" customFormat="1" ht="12" x14ac:dyDescent="0.3">
      <c r="A9" s="244" t="s">
        <v>127</v>
      </c>
      <c r="B9" s="245"/>
      <c r="C9" s="246"/>
      <c r="D9" s="244"/>
      <c r="E9" s="247"/>
      <c r="F9" s="247"/>
      <c r="G9" s="247"/>
      <c r="H9" s="247"/>
      <c r="I9" s="247"/>
      <c r="J9" s="247"/>
      <c r="K9" s="247"/>
      <c r="L9" s="247"/>
      <c r="M9" s="247"/>
      <c r="N9" s="247"/>
      <c r="O9" s="247"/>
      <c r="P9" s="247"/>
      <c r="Q9" s="247"/>
      <c r="R9" s="247"/>
      <c r="S9" s="247"/>
      <c r="T9" s="247"/>
      <c r="U9" s="247"/>
      <c r="V9" s="247"/>
      <c r="W9" s="247"/>
      <c r="X9" s="247"/>
      <c r="Y9" s="247"/>
      <c r="Z9" s="247"/>
      <c r="AA9" s="247"/>
      <c r="AB9" s="247"/>
      <c r="AC9" s="247"/>
      <c r="AD9" s="247"/>
      <c r="AE9" s="247"/>
      <c r="AF9" s="982"/>
      <c r="AG9" s="982"/>
      <c r="AH9" s="982"/>
      <c r="AI9" s="982"/>
      <c r="AJ9" s="188"/>
      <c r="AK9" s="188"/>
      <c r="AL9" s="188"/>
      <c r="AM9" s="188"/>
      <c r="AN9" s="188"/>
      <c r="AO9" s="188"/>
    </row>
    <row r="10" spans="1:41" s="80" customFormat="1" ht="12" x14ac:dyDescent="0.3">
      <c r="A10" s="248" t="s">
        <v>126</v>
      </c>
      <c r="B10" s="249"/>
      <c r="C10" s="250"/>
      <c r="D10" s="251"/>
      <c r="E10" s="252"/>
      <c r="F10" s="252"/>
      <c r="G10" s="252"/>
      <c r="H10" s="252"/>
      <c r="I10" s="252"/>
      <c r="J10" s="252"/>
      <c r="K10" s="252"/>
      <c r="L10" s="252"/>
      <c r="M10" s="252"/>
      <c r="N10" s="252"/>
      <c r="O10" s="252"/>
      <c r="P10" s="252"/>
      <c r="Q10" s="252"/>
      <c r="R10" s="252"/>
      <c r="S10" s="252"/>
      <c r="T10" s="252"/>
      <c r="U10" s="251"/>
      <c r="V10" s="251"/>
      <c r="W10" s="251"/>
      <c r="X10" s="251"/>
      <c r="Y10" s="251"/>
      <c r="Z10" s="251"/>
      <c r="AA10" s="251"/>
      <c r="AB10" s="251"/>
      <c r="AC10" s="251"/>
      <c r="AD10" s="251"/>
      <c r="AE10" s="251"/>
      <c r="AF10" s="983"/>
      <c r="AG10" s="983"/>
      <c r="AH10" s="983"/>
      <c r="AI10" s="983"/>
      <c r="AJ10" s="188"/>
      <c r="AK10" s="188"/>
      <c r="AL10" s="188"/>
      <c r="AM10" s="188"/>
      <c r="AN10" s="188"/>
      <c r="AO10" s="188"/>
    </row>
    <row r="12" spans="1:41" x14ac:dyDescent="0.35">
      <c r="B12" s="253" t="s">
        <v>117</v>
      </c>
      <c r="C12" s="760" t="str">
        <f>Working!C317</f>
        <v>Rs Cr</v>
      </c>
      <c r="D12" s="760">
        <f>Working!D317</f>
        <v>0</v>
      </c>
      <c r="E12" s="760">
        <f ca="1">Working!E317</f>
        <v>0</v>
      </c>
      <c r="F12" s="760">
        <f ca="1">Working!F317</f>
        <v>89.815003537659209</v>
      </c>
      <c r="G12" s="760">
        <f ca="1">Working!G317</f>
        <v>177.31173341361759</v>
      </c>
      <c r="H12" s="760">
        <f ca="1">Working!H317</f>
        <v>175.09533674594738</v>
      </c>
      <c r="I12" s="760">
        <f ca="1">Working!I317</f>
        <v>172.90664503662305</v>
      </c>
      <c r="J12" s="760">
        <f ca="1">Working!J317</f>
        <v>170.74531197366528</v>
      </c>
      <c r="K12" s="760">
        <f ca="1">Working!K317</f>
        <v>168.61099557399447</v>
      </c>
      <c r="L12" s="760">
        <f ca="1">Working!L317</f>
        <v>166.50335812931954</v>
      </c>
      <c r="M12" s="760">
        <f ca="1">Working!M317</f>
        <v>164.42206615270305</v>
      </c>
      <c r="N12" s="760">
        <f ca="1">Working!N317</f>
        <v>162.36679032579428</v>
      </c>
      <c r="O12" s="760">
        <f ca="1">Working!O317</f>
        <v>160.33720544672184</v>
      </c>
      <c r="P12" s="760">
        <f ca="1">Working!P317</f>
        <v>158.33299037863782</v>
      </c>
      <c r="Q12" s="760">
        <f ca="1">Working!Q317</f>
        <v>156.35382799890488</v>
      </c>
      <c r="R12" s="760">
        <f ca="1">Working!R317</f>
        <v>154.39940514891856</v>
      </c>
      <c r="S12" s="760">
        <f ca="1">Working!S317</f>
        <v>152.46941258455712</v>
      </c>
      <c r="T12" s="760">
        <f ca="1">Working!T317</f>
        <v>150.56354492725012</v>
      </c>
      <c r="U12" s="760">
        <f ca="1">Working!U317</f>
        <v>148.68150061565953</v>
      </c>
      <c r="V12" s="760">
        <f ca="1">Working!V317</f>
        <v>146.82298185796378</v>
      </c>
      <c r="W12" s="760">
        <f ca="1">Working!W317</f>
        <v>144.98769458473924</v>
      </c>
      <c r="X12" s="760">
        <f ca="1">Working!X317</f>
        <v>143.17534840242999</v>
      </c>
      <c r="Y12" s="760">
        <f ca="1">Working!Y317</f>
        <v>141.38565654739961</v>
      </c>
      <c r="Z12" s="760">
        <f ca="1">Working!Z317</f>
        <v>139.61833584055714</v>
      </c>
      <c r="AA12" s="760">
        <f ca="1">Working!AA317</f>
        <v>137.8731066425502</v>
      </c>
      <c r="AB12" s="760">
        <f ca="1">Working!AB317</f>
        <v>136.14969280951831</v>
      </c>
      <c r="AC12" s="760">
        <f ca="1">Working!AC317</f>
        <v>134.44782164939937</v>
      </c>
      <c r="AD12" s="760">
        <f ca="1">Working!AD317</f>
        <v>132.76722387878186</v>
      </c>
      <c r="AE12" s="760">
        <f ca="1">Working!AE317</f>
        <v>77.237216038560803</v>
      </c>
    </row>
    <row r="13" spans="1:41" x14ac:dyDescent="0.35">
      <c r="B13" s="255" t="s">
        <v>125</v>
      </c>
      <c r="C13" s="759">
        <f>Working!C318</f>
        <v>0</v>
      </c>
      <c r="D13" s="759">
        <f>Working!D318</f>
        <v>0</v>
      </c>
      <c r="E13" s="759">
        <f>Working!E318</f>
        <v>0</v>
      </c>
      <c r="F13" s="759">
        <f>Working!F318</f>
        <v>0</v>
      </c>
      <c r="G13" s="759">
        <f>Working!G318</f>
        <v>0</v>
      </c>
      <c r="H13" s="759">
        <f>Working!H318</f>
        <v>0</v>
      </c>
      <c r="I13" s="759">
        <f>Working!I318</f>
        <v>0</v>
      </c>
      <c r="J13" s="759">
        <f>Working!J318</f>
        <v>0</v>
      </c>
      <c r="K13" s="759">
        <f>Working!K318</f>
        <v>0</v>
      </c>
      <c r="L13" s="759">
        <f>Working!L318</f>
        <v>0</v>
      </c>
      <c r="M13" s="759">
        <f>Working!M318</f>
        <v>0</v>
      </c>
      <c r="N13" s="759">
        <f>Working!N318</f>
        <v>0</v>
      </c>
      <c r="O13" s="759">
        <f>Working!O318</f>
        <v>0</v>
      </c>
      <c r="P13" s="759">
        <f>Working!P318</f>
        <v>0</v>
      </c>
      <c r="Q13" s="759">
        <f>Working!Q318</f>
        <v>0</v>
      </c>
      <c r="R13" s="759">
        <f>Working!R318</f>
        <v>0</v>
      </c>
      <c r="S13" s="759">
        <f>Working!S318</f>
        <v>0</v>
      </c>
      <c r="T13" s="759">
        <f>Working!T318</f>
        <v>0</v>
      </c>
      <c r="U13" s="759">
        <f>Working!U318</f>
        <v>0</v>
      </c>
      <c r="V13" s="759">
        <f>Working!V318</f>
        <v>0</v>
      </c>
      <c r="W13" s="759">
        <f>Working!W318</f>
        <v>0</v>
      </c>
      <c r="X13" s="759">
        <f>Working!X318</f>
        <v>0</v>
      </c>
      <c r="Y13" s="759">
        <f>Working!Y318</f>
        <v>0</v>
      </c>
      <c r="Z13" s="759">
        <f>Working!Z318</f>
        <v>0</v>
      </c>
      <c r="AA13" s="759">
        <f>Working!AA318</f>
        <v>0</v>
      </c>
      <c r="AB13" s="759">
        <f>Working!AB318</f>
        <v>0</v>
      </c>
      <c r="AC13" s="759">
        <f>Working!AC318</f>
        <v>0</v>
      </c>
      <c r="AD13" s="759">
        <f>Working!AD318</f>
        <v>0</v>
      </c>
      <c r="AE13" s="759">
        <f>Working!AE318</f>
        <v>0</v>
      </c>
    </row>
    <row r="14" spans="1:41" x14ac:dyDescent="0.35">
      <c r="B14" s="256" t="s">
        <v>479</v>
      </c>
      <c r="C14" s="759" t="str">
        <f>Working!C319</f>
        <v>Rs Cr</v>
      </c>
      <c r="D14" s="759">
        <f>Working!D319</f>
        <v>0</v>
      </c>
      <c r="E14" s="759">
        <f>Working!E319</f>
        <v>0</v>
      </c>
      <c r="F14" s="759">
        <f>Working!F319</f>
        <v>5.5725712981917805</v>
      </c>
      <c r="G14" s="759">
        <f>Working!G319</f>
        <v>11.762488578800001</v>
      </c>
      <c r="H14" s="759">
        <f>Working!H319</f>
        <v>12.380019229186999</v>
      </c>
      <c r="I14" s="759">
        <f>Working!I319</f>
        <v>13.029970238719315</v>
      </c>
      <c r="J14" s="759">
        <f>Working!J319</f>
        <v>13.714043676252082</v>
      </c>
      <c r="K14" s="759">
        <f>Working!K319</f>
        <v>14.434030969255314</v>
      </c>
      <c r="L14" s="759">
        <f>Working!L319</f>
        <v>15.19181759514122</v>
      </c>
      <c r="M14" s="759">
        <f>Working!M319</f>
        <v>15.989388018886132</v>
      </c>
      <c r="N14" s="759">
        <f>Working!N319</f>
        <v>16.828830889877654</v>
      </c>
      <c r="O14" s="759">
        <f>Working!O319</f>
        <v>17.712344511596232</v>
      </c>
      <c r="P14" s="759">
        <f>Working!P319</f>
        <v>18.642242598455031</v>
      </c>
      <c r="Q14" s="759">
        <f>Working!Q319</f>
        <v>19.620960334873921</v>
      </c>
      <c r="R14" s="759">
        <f>Working!R319</f>
        <v>20.6510607524548</v>
      </c>
      <c r="S14" s="759">
        <f>Working!S319</f>
        <v>21.735241441958678</v>
      </c>
      <c r="T14" s="759">
        <f>Working!T319</f>
        <v>22.87634161766151</v>
      </c>
      <c r="U14" s="759">
        <f>Working!U319</f>
        <v>24.077349552588739</v>
      </c>
      <c r="V14" s="759">
        <f>Working!V319</f>
        <v>25.341410404099648</v>
      </c>
      <c r="W14" s="759">
        <f>Working!W319</f>
        <v>26.671834450314876</v>
      </c>
      <c r="X14" s="759">
        <f>Working!X319</f>
        <v>28.072105758956408</v>
      </c>
      <c r="Y14" s="759">
        <f>Working!Y319</f>
        <v>29.54589131130162</v>
      </c>
      <c r="Z14" s="759">
        <f>Working!Z319</f>
        <v>31.097050605144954</v>
      </c>
      <c r="AA14" s="759">
        <f>Working!AA319</f>
        <v>32.729645761915066</v>
      </c>
      <c r="AB14" s="759">
        <f>Working!AB319</f>
        <v>34.447952164415604</v>
      </c>
      <c r="AC14" s="759">
        <f>Working!AC319</f>
        <v>36.256469653047425</v>
      </c>
      <c r="AD14" s="759">
        <f>Working!AD319</f>
        <v>38.159934309832416</v>
      </c>
      <c r="AE14" s="759">
        <f>Working!AE319</f>
        <v>20.081665430549307</v>
      </c>
    </row>
    <row r="15" spans="1:41" x14ac:dyDescent="0.35">
      <c r="B15" s="256" t="s">
        <v>480</v>
      </c>
      <c r="C15" s="759" t="str">
        <f>Working!C320</f>
        <v>Rs Cr</v>
      </c>
      <c r="D15" s="759">
        <f>Working!D320</f>
        <v>0</v>
      </c>
      <c r="E15" s="759">
        <f>Working!E320</f>
        <v>0</v>
      </c>
      <c r="F15" s="759">
        <f>Working!F320</f>
        <v>1.1877748137321253</v>
      </c>
      <c r="G15" s="759">
        <f>Working!G320</f>
        <v>2.4718801227284981</v>
      </c>
      <c r="H15" s="759">
        <f>Working!H320</f>
        <v>2.5650700033553626</v>
      </c>
      <c r="I15" s="759">
        <f>Working!I320</f>
        <v>2.6617731424818594</v>
      </c>
      <c r="J15" s="759">
        <f>Working!J320</f>
        <v>2.7621219899534259</v>
      </c>
      <c r="K15" s="759">
        <f>Working!K320</f>
        <v>2.8662539889746701</v>
      </c>
      <c r="L15" s="759">
        <f>Working!L320</f>
        <v>2.9743117643590153</v>
      </c>
      <c r="M15" s="759">
        <f>Working!M320</f>
        <v>3.0864433178753505</v>
      </c>
      <c r="N15" s="759">
        <f>Working!N320</f>
        <v>3.2028022309592519</v>
      </c>
      <c r="O15" s="759">
        <f>Working!O320</f>
        <v>3.3235478750664158</v>
      </c>
      <c r="P15" s="759">
        <f>Working!P320</f>
        <v>3.4488456299564199</v>
      </c>
      <c r="Q15" s="759">
        <f>Working!Q320</f>
        <v>3.5788671102057772</v>
      </c>
      <c r="R15" s="759">
        <f>Working!R320</f>
        <v>3.7137904002605349</v>
      </c>
      <c r="S15" s="759">
        <f>Working!S320</f>
        <v>3.8538002983503579</v>
      </c>
      <c r="T15" s="759">
        <f>Working!T320</f>
        <v>3.9990885695981659</v>
      </c>
      <c r="U15" s="759">
        <f>Working!U320</f>
        <v>4.1498542086720178</v>
      </c>
      <c r="V15" s="759">
        <f>Working!V320</f>
        <v>4.306303712338952</v>
      </c>
      <c r="W15" s="759">
        <f>Working!W320</f>
        <v>4.4686513622941302</v>
      </c>
      <c r="X15" s="759">
        <f>Working!X320</f>
        <v>4.6371195186526206</v>
      </c>
      <c r="Y15" s="759">
        <f>Working!Y320</f>
        <v>4.8119389245058235</v>
      </c>
      <c r="Z15" s="759">
        <f>Working!Z320</f>
        <v>4.9933490219596948</v>
      </c>
      <c r="AA15" s="759">
        <f>Working!AA320</f>
        <v>5.1815982800875746</v>
      </c>
      <c r="AB15" s="759">
        <f>Working!AB320</f>
        <v>5.3769445352468779</v>
      </c>
      <c r="AC15" s="759">
        <f>Working!AC320</f>
        <v>5.5796553442256842</v>
      </c>
      <c r="AD15" s="759">
        <f>Working!AD320</f>
        <v>5.7900083507029922</v>
      </c>
      <c r="AE15" s="759">
        <f>Working!AE320</f>
        <v>2.9490701465396696</v>
      </c>
    </row>
    <row r="16" spans="1:41" x14ac:dyDescent="0.35">
      <c r="B16" s="255" t="s">
        <v>124</v>
      </c>
      <c r="C16" s="760" t="str">
        <f>Working!C321</f>
        <v>Rs Cr</v>
      </c>
      <c r="D16" s="760">
        <f>Working!D321</f>
        <v>0</v>
      </c>
      <c r="E16" s="760">
        <f ca="1">Working!E321</f>
        <v>0</v>
      </c>
      <c r="F16" s="760">
        <f ca="1">Working!F321</f>
        <v>83.054657425735314</v>
      </c>
      <c r="G16" s="760">
        <f ca="1">Working!G321</f>
        <v>163.07736471208909</v>
      </c>
      <c r="H16" s="760">
        <f ca="1">Working!H321</f>
        <v>160.15024751340499</v>
      </c>
      <c r="I16" s="760">
        <f ca="1">Working!I321</f>
        <v>157.21490165542187</v>
      </c>
      <c r="J16" s="760">
        <f ca="1">Working!J321</f>
        <v>154.26914630745978</v>
      </c>
      <c r="K16" s="760">
        <f ca="1">Working!K321</f>
        <v>151.31071061576449</v>
      </c>
      <c r="L16" s="760">
        <f ca="1">Working!L321</f>
        <v>148.33722876981929</v>
      </c>
      <c r="M16" s="760">
        <f ca="1">Working!M321</f>
        <v>145.34623481594156</v>
      </c>
      <c r="N16" s="760">
        <f ca="1">Working!N321</f>
        <v>142.33515720495737</v>
      </c>
      <c r="O16" s="760">
        <f ca="1">Working!O321</f>
        <v>139.30131306005919</v>
      </c>
      <c r="P16" s="760">
        <f ca="1">Working!P321</f>
        <v>136.24190215022637</v>
      </c>
      <c r="Q16" s="760">
        <f ca="1">Working!Q321</f>
        <v>133.15400055382517</v>
      </c>
      <c r="R16" s="760">
        <f ca="1">Working!R321</f>
        <v>130.03455399620321</v>
      </c>
      <c r="S16" s="760">
        <f ca="1">Working!S321</f>
        <v>126.88037084424806</v>
      </c>
      <c r="T16" s="760">
        <f ca="1">Working!T321</f>
        <v>123.68811473999044</v>
      </c>
      <c r="U16" s="760">
        <f ca="1">Working!U321</f>
        <v>120.45429685439876</v>
      </c>
      <c r="V16" s="760">
        <f ca="1">Working!V321</f>
        <v>117.17526774152518</v>
      </c>
      <c r="W16" s="760">
        <f ca="1">Working!W321</f>
        <v>113.84720877213024</v>
      </c>
      <c r="X16" s="760">
        <f ca="1">Working!X321</f>
        <v>110.46612312482095</v>
      </c>
      <c r="Y16" s="760">
        <f ca="1">Working!Y321</f>
        <v>107.02782631159216</v>
      </c>
      <c r="Z16" s="760">
        <f ca="1">Working!Z321</f>
        <v>103.52793621345248</v>
      </c>
      <c r="AA16" s="760">
        <f ca="1">Working!AA321</f>
        <v>99.961862600547562</v>
      </c>
      <c r="AB16" s="760">
        <f ca="1">Working!AB321</f>
        <v>96.324796109855839</v>
      </c>
      <c r="AC16" s="760">
        <f ca="1">Working!AC321</f>
        <v>92.61169665212627</v>
      </c>
      <c r="AD16" s="760">
        <f ca="1">Working!AD321</f>
        <v>88.817281218246464</v>
      </c>
      <c r="AE16" s="760">
        <f ca="1">Working!AE321</f>
        <v>54.206480461471827</v>
      </c>
    </row>
    <row r="17" spans="1:31" x14ac:dyDescent="0.35">
      <c r="B17" s="257" t="s">
        <v>4</v>
      </c>
      <c r="C17" s="759" t="str">
        <f>Working!C322</f>
        <v>Rs Cr</v>
      </c>
      <c r="D17" s="759">
        <f>Working!D322</f>
        <v>0</v>
      </c>
      <c r="E17" s="759">
        <f>Working!E322</f>
        <v>0</v>
      </c>
      <c r="F17" s="759">
        <f ca="1">Working!F322</f>
        <v>28.934333529846327</v>
      </c>
      <c r="G17" s="759">
        <f ca="1">Working!G322</f>
        <v>58.027646914252252</v>
      </c>
      <c r="H17" s="759">
        <f ca="1">Working!H322</f>
        <v>58.027646914252252</v>
      </c>
      <c r="I17" s="759">
        <f ca="1">Working!I322</f>
        <v>58.027646914252252</v>
      </c>
      <c r="J17" s="759">
        <f ca="1">Working!J322</f>
        <v>58.027646914252252</v>
      </c>
      <c r="K17" s="759">
        <f ca="1">Working!K322</f>
        <v>58.027646914252252</v>
      </c>
      <c r="L17" s="759">
        <f ca="1">Working!L322</f>
        <v>58.027646914252252</v>
      </c>
      <c r="M17" s="759">
        <f ca="1">Working!M322</f>
        <v>58.027646914252252</v>
      </c>
      <c r="N17" s="759">
        <f ca="1">Working!N322</f>
        <v>58.027646914252252</v>
      </c>
      <c r="O17" s="759">
        <f ca="1">Working!O322</f>
        <v>58.027646914252252</v>
      </c>
      <c r="P17" s="759">
        <f ca="1">Working!P322</f>
        <v>58.027646914252252</v>
      </c>
      <c r="Q17" s="759">
        <f ca="1">Working!Q322</f>
        <v>58.027646914252252</v>
      </c>
      <c r="R17" s="759">
        <f ca="1">Working!R322</f>
        <v>58.027646914252252</v>
      </c>
      <c r="S17" s="759">
        <f ca="1">Working!S322</f>
        <v>58.027646914252252</v>
      </c>
      <c r="T17" s="759">
        <f ca="1">Working!T322</f>
        <v>58.027646914252252</v>
      </c>
      <c r="U17" s="759">
        <f ca="1">Working!U322</f>
        <v>24.851240648502035</v>
      </c>
      <c r="V17" s="759">
        <f ca="1">Working!V322</f>
        <v>24.851240648502035</v>
      </c>
      <c r="W17" s="759">
        <f ca="1">Working!W322</f>
        <v>24.851240648502035</v>
      </c>
      <c r="X17" s="759">
        <f ca="1">Working!X322</f>
        <v>24.851240648502035</v>
      </c>
      <c r="Y17" s="759">
        <f ca="1">Working!Y322</f>
        <v>24.851240648502035</v>
      </c>
      <c r="Z17" s="759">
        <f ca="1">Working!Z322</f>
        <v>24.851240648502035</v>
      </c>
      <c r="AA17" s="759">
        <f ca="1">Working!AA322</f>
        <v>24.851240648502035</v>
      </c>
      <c r="AB17" s="759">
        <f ca="1">Working!AB322</f>
        <v>24.851240648502035</v>
      </c>
      <c r="AC17" s="759">
        <f ca="1">Working!AC322</f>
        <v>24.851240648502035</v>
      </c>
      <c r="AD17" s="759">
        <f ca="1">Working!AD322</f>
        <v>24.851240648502035</v>
      </c>
      <c r="AE17" s="759">
        <f ca="1">Working!AE322</f>
        <v>12.425620324251017</v>
      </c>
    </row>
    <row r="18" spans="1:31" x14ac:dyDescent="0.35">
      <c r="B18" s="255" t="s">
        <v>123</v>
      </c>
      <c r="C18" s="759" t="str">
        <f>Working!C323</f>
        <v>Rs Cr</v>
      </c>
      <c r="D18" s="760">
        <f>Working!D323</f>
        <v>0</v>
      </c>
      <c r="E18" s="760">
        <f ca="1">Working!E323</f>
        <v>0</v>
      </c>
      <c r="F18" s="760">
        <f ca="1">Working!F323</f>
        <v>54.120323895888987</v>
      </c>
      <c r="G18" s="760">
        <f ca="1">Working!G323</f>
        <v>105.04971779783685</v>
      </c>
      <c r="H18" s="760">
        <f ca="1">Working!H323</f>
        <v>102.12260059915275</v>
      </c>
      <c r="I18" s="760">
        <f ca="1">Working!I323</f>
        <v>99.187254741169625</v>
      </c>
      <c r="J18" s="760">
        <f ca="1">Working!J323</f>
        <v>96.241499393207533</v>
      </c>
      <c r="K18" s="760">
        <f ca="1">Working!K323</f>
        <v>93.283063701512248</v>
      </c>
      <c r="L18" s="760">
        <f ca="1">Working!L323</f>
        <v>90.309581855567046</v>
      </c>
      <c r="M18" s="760">
        <f ca="1">Working!M323</f>
        <v>87.318587901689313</v>
      </c>
      <c r="N18" s="760">
        <f ca="1">Working!N323</f>
        <v>84.307510290705125</v>
      </c>
      <c r="O18" s="760">
        <f ca="1">Working!O323</f>
        <v>81.273666145806942</v>
      </c>
      <c r="P18" s="760">
        <f ca="1">Working!P323</f>
        <v>78.214255235974122</v>
      </c>
      <c r="Q18" s="760">
        <f ca="1">Working!Q323</f>
        <v>75.126353639572926</v>
      </c>
      <c r="R18" s="760">
        <f ca="1">Working!R323</f>
        <v>72.00690708195097</v>
      </c>
      <c r="S18" s="760">
        <f ca="1">Working!S323</f>
        <v>68.852723929995818</v>
      </c>
      <c r="T18" s="760">
        <f ca="1">Working!T323</f>
        <v>65.660467825738181</v>
      </c>
      <c r="U18" s="760">
        <f ca="1">Working!U323</f>
        <v>95.603056205896735</v>
      </c>
      <c r="V18" s="760">
        <f ca="1">Working!V323</f>
        <v>92.324027093023147</v>
      </c>
      <c r="W18" s="760">
        <f ca="1">Working!W323</f>
        <v>88.995968123628217</v>
      </c>
      <c r="X18" s="760">
        <f ca="1">Working!X323</f>
        <v>85.614882476318911</v>
      </c>
      <c r="Y18" s="760">
        <f ca="1">Working!Y323</f>
        <v>82.176585663090123</v>
      </c>
      <c r="Z18" s="760">
        <f ca="1">Working!Z323</f>
        <v>78.67669556495045</v>
      </c>
      <c r="AA18" s="760">
        <f ca="1">Working!AA323</f>
        <v>75.110621952045534</v>
      </c>
      <c r="AB18" s="760">
        <f ca="1">Working!AB323</f>
        <v>71.473555461353811</v>
      </c>
      <c r="AC18" s="760">
        <f ca="1">Working!AC323</f>
        <v>67.760456003624228</v>
      </c>
      <c r="AD18" s="760">
        <f ca="1">Working!AD323</f>
        <v>63.966040569744429</v>
      </c>
      <c r="AE18" s="760">
        <f ca="1">Working!AE323</f>
        <v>41.780860137220813</v>
      </c>
    </row>
    <row r="19" spans="1:31" x14ac:dyDescent="0.35">
      <c r="B19" s="257" t="s">
        <v>122</v>
      </c>
      <c r="C19" s="759" t="str">
        <f>Working!C324</f>
        <v>Rs Cr</v>
      </c>
      <c r="D19" s="759">
        <f>Working!D324</f>
        <v>0</v>
      </c>
      <c r="E19" s="759">
        <f ca="1">Working!E324</f>
        <v>0</v>
      </c>
      <c r="F19" s="759">
        <f ca="1">Working!F324</f>
        <v>18.672217381508435</v>
      </c>
      <c r="G19" s="759">
        <f ca="1">Working!G324</f>
        <v>48.708431671063991</v>
      </c>
      <c r="H19" s="759">
        <f ca="1">Working!H324</f>
        <v>45.229257980273701</v>
      </c>
      <c r="I19" s="759">
        <f ca="1">Working!I324</f>
        <v>41.750084289483418</v>
      </c>
      <c r="J19" s="759">
        <f ca="1">Working!J324</f>
        <v>38.270910598693128</v>
      </c>
      <c r="K19" s="759">
        <f ca="1">Working!K324</f>
        <v>34.791736907902845</v>
      </c>
      <c r="L19" s="759">
        <f ca="1">Working!L324</f>
        <v>31.312563217112558</v>
      </c>
      <c r="M19" s="759">
        <f ca="1">Working!M324</f>
        <v>27.833389526322271</v>
      </c>
      <c r="N19" s="759">
        <f ca="1">Working!N324</f>
        <v>24.354215835531988</v>
      </c>
      <c r="O19" s="759">
        <f ca="1">Working!O324</f>
        <v>20.875042144741702</v>
      </c>
      <c r="P19" s="759">
        <f ca="1">Working!P324</f>
        <v>17.395868453951422</v>
      </c>
      <c r="Q19" s="759">
        <f ca="1">Working!Q324</f>
        <v>13.916694763161136</v>
      </c>
      <c r="R19" s="759">
        <f ca="1">Working!R324</f>
        <v>10.437521072370851</v>
      </c>
      <c r="S19" s="759">
        <f ca="1">Working!S324</f>
        <v>6.9583473815805652</v>
      </c>
      <c r="T19" s="759">
        <f ca="1">Working!T324</f>
        <v>3.4791736907902795</v>
      </c>
      <c r="U19" s="759">
        <f ca="1">Working!U324</f>
        <v>0.86979342269756865</v>
      </c>
      <c r="V19" s="759">
        <f ca="1">Working!V324</f>
        <v>0</v>
      </c>
      <c r="W19" s="759">
        <f ca="1">Working!W324</f>
        <v>0</v>
      </c>
      <c r="X19" s="759">
        <f ca="1">Working!X324</f>
        <v>0</v>
      </c>
      <c r="Y19" s="759">
        <f ca="1">Working!Y324</f>
        <v>0</v>
      </c>
      <c r="Z19" s="759">
        <f ca="1">Working!Z324</f>
        <v>0</v>
      </c>
      <c r="AA19" s="759">
        <f ca="1">Working!AA324</f>
        <v>0</v>
      </c>
      <c r="AB19" s="759">
        <f ca="1">Working!AB324</f>
        <v>0</v>
      </c>
      <c r="AC19" s="759">
        <f ca="1">Working!AC324</f>
        <v>0</v>
      </c>
      <c r="AD19" s="759">
        <f ca="1">Working!AD324</f>
        <v>0</v>
      </c>
      <c r="AE19" s="759">
        <f ca="1">Working!AE324</f>
        <v>0</v>
      </c>
    </row>
    <row r="20" spans="1:31" x14ac:dyDescent="0.35">
      <c r="B20" s="257" t="s">
        <v>82</v>
      </c>
      <c r="C20" s="759" t="str">
        <f>Working!C325</f>
        <v>Rs Cr</v>
      </c>
      <c r="D20" s="759">
        <f>Working!D325</f>
        <v>0</v>
      </c>
      <c r="E20" s="759">
        <f>Working!E325</f>
        <v>0</v>
      </c>
      <c r="F20" s="759">
        <f ca="1">Working!F325</f>
        <v>1.1043699723928568</v>
      </c>
      <c r="G20" s="759">
        <f ca="1">Working!G325</f>
        <v>2.1981087959838259</v>
      </c>
      <c r="H20" s="759">
        <f ca="1">Working!H325</f>
        <v>2.1885165200971599</v>
      </c>
      <c r="I20" s="759">
        <f ca="1">Working!I325</f>
        <v>2.1799461023477655</v>
      </c>
      <c r="J20" s="759">
        <f ca="1">Working!J325</f>
        <v>2.1724307287484645</v>
      </c>
      <c r="K20" s="759">
        <f ca="1">Working!K325</f>
        <v>2.1660055308165065</v>
      </c>
      <c r="L20" s="759">
        <f ca="1">Working!L325</f>
        <v>2.1607076831916685</v>
      </c>
      <c r="M20" s="759">
        <f ca="1">Working!M325</f>
        <v>2.1565765063611546</v>
      </c>
      <c r="N20" s="759">
        <f ca="1">Working!N325</f>
        <v>2.1536535747568122</v>
      </c>
      <c r="O20" s="759">
        <f ca="1">Working!O325</f>
        <v>2.1519828305040556</v>
      </c>
      <c r="P20" s="759">
        <f ca="1">Working!P325</f>
        <v>2.1516107031164693</v>
      </c>
      <c r="Q20" s="759">
        <f ca="1">Working!Q325</f>
        <v>2.1525862354454222</v>
      </c>
      <c r="R20" s="759">
        <f ca="1">Working!R325</f>
        <v>2.1549612162101743</v>
      </c>
      <c r="S20" s="759">
        <f ca="1">Working!S325</f>
        <v>2.1587903194509761</v>
      </c>
      <c r="T20" s="759">
        <f ca="1">Working!T325</f>
        <v>2.1641312512655166</v>
      </c>
      <c r="U20" s="759">
        <f ca="1">Working!U325</f>
        <v>2.1710449042079523</v>
      </c>
      <c r="V20" s="759">
        <f ca="1">Working!V325</f>
        <v>2.1795955197494989</v>
      </c>
      <c r="W20" s="759">
        <f ca="1">Working!W325</f>
        <v>2.1898508592204764</v>
      </c>
      <c r="X20" s="759">
        <f ca="1">Working!X325</f>
        <v>2.2018823836755801</v>
      </c>
      <c r="Y20" s="759">
        <f ca="1">Working!Y325</f>
        <v>2.2157654431472769</v>
      </c>
      <c r="Z20" s="759">
        <f ca="1">Working!Z325</f>
        <v>2.2315794757764875</v>
      </c>
      <c r="AA20" s="759">
        <f ca="1">Working!AA325</f>
        <v>2.2494082173352976</v>
      </c>
      <c r="AB20" s="759">
        <f ca="1">Working!AB325</f>
        <v>2.269339921683327</v>
      </c>
      <c r="AC20" s="759">
        <f ca="1">Working!AC325</f>
        <v>2.2914675927277082</v>
      </c>
      <c r="AD20" s="759">
        <f ca="1">Working!AD325</f>
        <v>2.3158892284863919</v>
      </c>
      <c r="AE20" s="759">
        <f ca="1">Working!AE325</f>
        <v>1.2962072889046494</v>
      </c>
    </row>
    <row r="21" spans="1:31" x14ac:dyDescent="0.35">
      <c r="B21" s="255" t="s">
        <v>121</v>
      </c>
      <c r="C21" s="760" t="str">
        <f>Working!C329</f>
        <v>Rs Cr</v>
      </c>
      <c r="D21" s="760">
        <f>Working!D329</f>
        <v>0</v>
      </c>
      <c r="E21" s="760">
        <f ca="1">Working!E329</f>
        <v>0</v>
      </c>
      <c r="F21" s="760">
        <f ca="1">Working!F329</f>
        <v>34.343736541987695</v>
      </c>
      <c r="G21" s="760">
        <f ca="1">Working!G329</f>
        <v>54.14317733078903</v>
      </c>
      <c r="H21" s="760">
        <f ca="1">Working!H329</f>
        <v>54.704826098781886</v>
      </c>
      <c r="I21" s="760">
        <f ca="1">Working!I329</f>
        <v>55.257224349338443</v>
      </c>
      <c r="J21" s="760">
        <f ca="1">Working!J329</f>
        <v>55.798158065765939</v>
      </c>
      <c r="K21" s="760">
        <f ca="1">Working!K329</f>
        <v>56.325321262792897</v>
      </c>
      <c r="L21" s="760">
        <f ca="1">Working!L329</f>
        <v>56.836310955262817</v>
      </c>
      <c r="M21" s="760">
        <f ca="1">Working!M329</f>
        <v>57.328621869005886</v>
      </c>
      <c r="N21" s="760">
        <f ca="1">Working!N329</f>
        <v>57.79964088041632</v>
      </c>
      <c r="O21" s="760">
        <f ca="1">Working!O329</f>
        <v>58.246641170561183</v>
      </c>
      <c r="P21" s="760">
        <f ca="1">Working!P329</f>
        <v>58.666776078906231</v>
      </c>
      <c r="Q21" s="760">
        <f ca="1">Working!Q329</f>
        <v>59.057072640966368</v>
      </c>
      <c r="R21" s="760">
        <f ca="1">Working!R329</f>
        <v>59.414424793369946</v>
      </c>
      <c r="S21" s="760">
        <f ca="1">Working!S329</f>
        <v>59.73558622896428</v>
      </c>
      <c r="T21" s="760">
        <f ca="1">Working!T329</f>
        <v>60.017162883682388</v>
      </c>
      <c r="U21" s="760">
        <f ca="1">Working!U329</f>
        <v>92.56221787899122</v>
      </c>
      <c r="V21" s="760">
        <f ca="1">Working!V329</f>
        <v>90.14443157327365</v>
      </c>
      <c r="W21" s="760">
        <f ca="1">Working!W329</f>
        <v>86.806117264407746</v>
      </c>
      <c r="X21" s="760">
        <f ca="1">Working!X329</f>
        <v>83.41300009264333</v>
      </c>
      <c r="Y21" s="760">
        <f ca="1">Working!Y329</f>
        <v>79.960820219942846</v>
      </c>
      <c r="Z21" s="760">
        <f ca="1">Working!Z329</f>
        <v>76.445116089173965</v>
      </c>
      <c r="AA21" s="760">
        <f ca="1">Working!AA329</f>
        <v>72.861213734710233</v>
      </c>
      <c r="AB21" s="760">
        <f ca="1">Working!AB329</f>
        <v>69.204215539670486</v>
      </c>
      <c r="AC21" s="760">
        <f ca="1">Working!AC329</f>
        <v>65.468988410896515</v>
      </c>
      <c r="AD21" s="760">
        <f ca="1">Working!AD329</f>
        <v>61.650151341258038</v>
      </c>
      <c r="AE21" s="760">
        <f ca="1">Working!AE329</f>
        <v>40.484652848316166</v>
      </c>
    </row>
    <row r="22" spans="1:31" x14ac:dyDescent="0.35">
      <c r="B22" s="258" t="s">
        <v>120</v>
      </c>
      <c r="C22" s="759" t="str">
        <f>Working!C330</f>
        <v>Rs Cr</v>
      </c>
      <c r="D22" s="759">
        <f>Working!D330</f>
        <v>0</v>
      </c>
      <c r="E22" s="759">
        <f ca="1">Working!E330</f>
        <v>0</v>
      </c>
      <c r="F22" s="759">
        <f ca="1">Working!F330</f>
        <v>5.8933851906050885</v>
      </c>
      <c r="G22" s="759">
        <f ca="1">Working!G330</f>
        <v>9.2909692299633981</v>
      </c>
      <c r="H22" s="759">
        <f ca="1">Working!H330</f>
        <v>9.3873481585509726</v>
      </c>
      <c r="I22" s="759">
        <f ca="1">Working!I330</f>
        <v>9.4821396983464776</v>
      </c>
      <c r="J22" s="759">
        <f ca="1">Working!J330</f>
        <v>9.5749639240854361</v>
      </c>
      <c r="K22" s="759">
        <f ca="1">Working!K330</f>
        <v>9.6654251286952615</v>
      </c>
      <c r="L22" s="759">
        <f ca="1">Working!L330</f>
        <v>9.7531109599230987</v>
      </c>
      <c r="M22" s="759">
        <f ca="1">Working!M330</f>
        <v>9.83759151272141</v>
      </c>
      <c r="N22" s="759">
        <f ca="1">Working!N330</f>
        <v>9.9184183750794404</v>
      </c>
      <c r="O22" s="759">
        <f ca="1">Working!O330</f>
        <v>9.9951236248682989</v>
      </c>
      <c r="P22" s="759">
        <f ca="1">Working!P330</f>
        <v>10.06721877514031</v>
      </c>
      <c r="Q22" s="759">
        <f ca="1">Working!Q330</f>
        <v>10.134193665189828</v>
      </c>
      <c r="R22" s="759">
        <f ca="1">Working!R330</f>
        <v>10.195515294542282</v>
      </c>
      <c r="S22" s="759">
        <f ca="1">Working!S330</f>
        <v>10.250626596890271</v>
      </c>
      <c r="T22" s="759">
        <f ca="1">Working!T330</f>
        <v>10.298945150839899</v>
      </c>
      <c r="U22" s="759">
        <f ca="1">Working!U330</f>
        <v>15.883676588034893</v>
      </c>
      <c r="V22" s="759">
        <f ca="1">Working!V330</f>
        <v>15.468784457973758</v>
      </c>
      <c r="W22" s="759">
        <f ca="1">Working!W330</f>
        <v>14.895929722572369</v>
      </c>
      <c r="X22" s="759">
        <f ca="1">Working!X330</f>
        <v>14.313670815897595</v>
      </c>
      <c r="Y22" s="759">
        <f ca="1">Working!Y330</f>
        <v>14.361874676079978</v>
      </c>
      <c r="Z22" s="759">
        <f ca="1">Working!Z330</f>
        <v>22.28519848228872</v>
      </c>
      <c r="AA22" s="759">
        <f ca="1">Working!AA330</f>
        <v>21.496739964306702</v>
      </c>
      <c r="AB22" s="759">
        <f ca="1">Working!AB330</f>
        <v>20.692200361397955</v>
      </c>
      <c r="AC22" s="759">
        <f ca="1">Working!AC330</f>
        <v>19.870450393067678</v>
      </c>
      <c r="AD22" s="759">
        <f ca="1">Working!AD330</f>
        <v>19.030306237747215</v>
      </c>
      <c r="AE22" s="759">
        <f ca="1">Working!AE330</f>
        <v>11.640260097964781</v>
      </c>
    </row>
    <row r="23" spans="1:31" ht="15" thickBot="1" x14ac:dyDescent="0.4">
      <c r="B23" s="984" t="s">
        <v>119</v>
      </c>
      <c r="C23" s="985" t="str">
        <f>Working!C331</f>
        <v>Rs Cr</v>
      </c>
      <c r="D23" s="985">
        <f>Working!D331</f>
        <v>0</v>
      </c>
      <c r="E23" s="985">
        <f ca="1">Working!E331</f>
        <v>0</v>
      </c>
      <c r="F23" s="985">
        <f ca="1">Working!F331</f>
        <v>28.450351351382608</v>
      </c>
      <c r="G23" s="985">
        <f ca="1">Working!G331</f>
        <v>44.852208100825635</v>
      </c>
      <c r="H23" s="985">
        <f ca="1">Working!H331</f>
        <v>45.317477940230916</v>
      </c>
      <c r="I23" s="985">
        <f ca="1">Working!I331</f>
        <v>45.775084650991964</v>
      </c>
      <c r="J23" s="985">
        <f ca="1">Working!J331</f>
        <v>46.223194141680501</v>
      </c>
      <c r="K23" s="985">
        <f ca="1">Working!K331</f>
        <v>46.659896134097636</v>
      </c>
      <c r="L23" s="985">
        <f ca="1">Working!L331</f>
        <v>47.083199995339719</v>
      </c>
      <c r="M23" s="985">
        <f ca="1">Working!M331</f>
        <v>47.491030356284476</v>
      </c>
      <c r="N23" s="985">
        <f ca="1">Working!N331</f>
        <v>47.881222505336879</v>
      </c>
      <c r="O23" s="985">
        <f ca="1">Working!O331</f>
        <v>48.251517545692884</v>
      </c>
      <c r="P23" s="985">
        <f ca="1">Working!P331</f>
        <v>48.59955730376592</v>
      </c>
      <c r="Q23" s="985">
        <f ca="1">Working!Q331</f>
        <v>48.922878975776541</v>
      </c>
      <c r="R23" s="985">
        <f ca="1">Working!R331</f>
        <v>49.218909498827664</v>
      </c>
      <c r="S23" s="985">
        <f ca="1">Working!S331</f>
        <v>49.484959632074009</v>
      </c>
      <c r="T23" s="985">
        <f ca="1">Working!T331</f>
        <v>49.71821773284249</v>
      </c>
      <c r="U23" s="985">
        <f ca="1">Working!U331</f>
        <v>76.678541290956332</v>
      </c>
      <c r="V23" s="985">
        <f ca="1">Working!V331</f>
        <v>74.675647115299896</v>
      </c>
      <c r="W23" s="985">
        <f ca="1">Working!W331</f>
        <v>71.91018754183537</v>
      </c>
      <c r="X23" s="985">
        <f ca="1">Working!X331</f>
        <v>69.099329276745735</v>
      </c>
      <c r="Y23" s="985">
        <f ca="1">Working!Y331</f>
        <v>65.598945543862868</v>
      </c>
      <c r="Z23" s="985">
        <f ca="1">Working!Z331</f>
        <v>54.159917606885244</v>
      </c>
      <c r="AA23" s="985">
        <f ca="1">Working!AA331</f>
        <v>51.364473770403535</v>
      </c>
      <c r="AB23" s="985">
        <f ca="1">Working!AB331</f>
        <v>48.512015178272534</v>
      </c>
      <c r="AC23" s="985">
        <f ca="1">Working!AC331</f>
        <v>45.598538017828837</v>
      </c>
      <c r="AD23" s="985">
        <f ca="1">Working!AD331</f>
        <v>42.619845103510826</v>
      </c>
      <c r="AE23" s="985">
        <f ca="1">Working!AE331</f>
        <v>28.844392750351386</v>
      </c>
    </row>
    <row r="24" spans="1:31" ht="15" thickTop="1" x14ac:dyDescent="0.35">
      <c r="B24" s="759"/>
    </row>
    <row r="25" spans="1:31" x14ac:dyDescent="0.35">
      <c r="A25" s="248" t="s">
        <v>118</v>
      </c>
      <c r="B25" s="249"/>
      <c r="C25" s="250"/>
      <c r="D25" s="250"/>
      <c r="E25" s="250"/>
      <c r="F25" s="250"/>
      <c r="G25" s="250"/>
      <c r="H25" s="250"/>
      <c r="I25" s="250"/>
      <c r="J25" s="250"/>
      <c r="K25" s="250"/>
      <c r="L25" s="250"/>
      <c r="M25" s="250"/>
      <c r="N25" s="250"/>
      <c r="O25" s="250"/>
      <c r="P25" s="250"/>
      <c r="Q25" s="250"/>
      <c r="R25" s="250"/>
      <c r="S25" s="250"/>
      <c r="T25" s="250"/>
      <c r="U25" s="250"/>
      <c r="V25" s="250"/>
      <c r="W25" s="250"/>
      <c r="X25" s="250"/>
      <c r="Y25" s="250"/>
      <c r="Z25" s="250"/>
      <c r="AA25" s="250"/>
      <c r="AB25" s="250"/>
      <c r="AC25" s="250"/>
      <c r="AD25" s="250"/>
      <c r="AE25" s="250"/>
    </row>
    <row r="26" spans="1:31" x14ac:dyDescent="0.35">
      <c r="A26" s="5"/>
      <c r="B26" s="5" t="s">
        <v>117</v>
      </c>
      <c r="C26" s="198" t="s">
        <v>11</v>
      </c>
      <c r="D26" s="759">
        <f>Working!D334</f>
        <v>0</v>
      </c>
      <c r="E26" s="759">
        <f ca="1">Working!E334</f>
        <v>0</v>
      </c>
      <c r="F26" s="759">
        <f ca="1">Working!F334</f>
        <v>89.815003537659209</v>
      </c>
      <c r="G26" s="759">
        <f ca="1">Working!G334</f>
        <v>177.31173341361759</v>
      </c>
      <c r="H26" s="759">
        <f ca="1">Working!H334</f>
        <v>175.09533674594738</v>
      </c>
      <c r="I26" s="759">
        <f ca="1">Working!I334</f>
        <v>172.90664503662305</v>
      </c>
      <c r="J26" s="759">
        <f ca="1">Working!J334</f>
        <v>170.74531197366528</v>
      </c>
      <c r="K26" s="759">
        <f ca="1">Working!K334</f>
        <v>168.61099557399447</v>
      </c>
      <c r="L26" s="759">
        <f ca="1">Working!L334</f>
        <v>166.50335812931954</v>
      </c>
      <c r="M26" s="759">
        <f ca="1">Working!M334</f>
        <v>164.42206615270305</v>
      </c>
      <c r="N26" s="759">
        <f ca="1">Working!N334</f>
        <v>162.36679032579428</v>
      </c>
      <c r="O26" s="759">
        <f ca="1">Working!O334</f>
        <v>160.33720544672184</v>
      </c>
      <c r="P26" s="759">
        <f ca="1">Working!P334</f>
        <v>158.33299037863782</v>
      </c>
      <c r="Q26" s="759">
        <f ca="1">Working!Q334</f>
        <v>156.35382799890488</v>
      </c>
      <c r="R26" s="759">
        <f ca="1">Working!R334</f>
        <v>154.39940514891856</v>
      </c>
      <c r="S26" s="759">
        <f ca="1">Working!S334</f>
        <v>152.46941258455712</v>
      </c>
      <c r="T26" s="759">
        <f ca="1">Working!T334</f>
        <v>150.56354492725012</v>
      </c>
      <c r="U26" s="759">
        <f ca="1">Working!U334</f>
        <v>148.68150061565953</v>
      </c>
      <c r="V26" s="759">
        <f ca="1">Working!V334</f>
        <v>146.82298185796378</v>
      </c>
      <c r="W26" s="759">
        <f ca="1">Working!W334</f>
        <v>144.98769458473924</v>
      </c>
      <c r="X26" s="759">
        <f ca="1">Working!X334</f>
        <v>143.17534840242999</v>
      </c>
      <c r="Y26" s="759">
        <f ca="1">Working!Y334</f>
        <v>141.38565654739961</v>
      </c>
      <c r="Z26" s="759">
        <f ca="1">Working!Z334</f>
        <v>139.61833584055714</v>
      </c>
      <c r="AA26" s="759">
        <f ca="1">Working!AA334</f>
        <v>137.8731066425502</v>
      </c>
      <c r="AB26" s="759">
        <f ca="1">Working!AB334</f>
        <v>136.14969280951831</v>
      </c>
      <c r="AC26" s="759">
        <f ca="1">Working!AC334</f>
        <v>134.44782164939937</v>
      </c>
      <c r="AD26" s="759">
        <f ca="1">Working!AD334</f>
        <v>132.76722387878186</v>
      </c>
      <c r="AE26" s="759">
        <f ca="1">Working!AE334</f>
        <v>77.237216038560803</v>
      </c>
    </row>
    <row r="27" spans="1:31" x14ac:dyDescent="0.35">
      <c r="A27" s="5"/>
      <c r="B27" s="256" t="s">
        <v>479</v>
      </c>
      <c r="C27" s="198" t="s">
        <v>11</v>
      </c>
      <c r="D27" s="759">
        <f>Working!D335</f>
        <v>0</v>
      </c>
      <c r="E27" s="759">
        <f>Working!E335</f>
        <v>0</v>
      </c>
      <c r="F27" s="759">
        <f>Working!F335</f>
        <v>-5.5725712981917805</v>
      </c>
      <c r="G27" s="759">
        <f>Working!G335</f>
        <v>-11.762488578800001</v>
      </c>
      <c r="H27" s="759">
        <f>Working!H335</f>
        <v>-12.380019229186999</v>
      </c>
      <c r="I27" s="759">
        <f>Working!I335</f>
        <v>-13.029970238719315</v>
      </c>
      <c r="J27" s="759">
        <f>Working!J335</f>
        <v>-13.714043676252082</v>
      </c>
      <c r="K27" s="759">
        <f>Working!K335</f>
        <v>-14.434030969255314</v>
      </c>
      <c r="L27" s="759">
        <f>Working!L335</f>
        <v>-15.19181759514122</v>
      </c>
      <c r="M27" s="759">
        <f>Working!M335</f>
        <v>-15.989388018886132</v>
      </c>
      <c r="N27" s="759">
        <f>Working!N335</f>
        <v>-16.828830889877654</v>
      </c>
      <c r="O27" s="759">
        <f>Working!O335</f>
        <v>-17.712344511596232</v>
      </c>
      <c r="P27" s="759">
        <f>Working!P335</f>
        <v>-18.642242598455031</v>
      </c>
      <c r="Q27" s="759">
        <f>Working!Q335</f>
        <v>-19.620960334873921</v>
      </c>
      <c r="R27" s="759">
        <f>Working!R335</f>
        <v>-20.6510607524548</v>
      </c>
      <c r="S27" s="759">
        <f>Working!S335</f>
        <v>-21.735241441958678</v>
      </c>
      <c r="T27" s="759">
        <f>Working!T335</f>
        <v>-22.87634161766151</v>
      </c>
      <c r="U27" s="759">
        <f>Working!U335</f>
        <v>-24.077349552588739</v>
      </c>
      <c r="V27" s="759">
        <f>Working!V335</f>
        <v>-25.341410404099648</v>
      </c>
      <c r="W27" s="759">
        <f>Working!W335</f>
        <v>-26.671834450314876</v>
      </c>
      <c r="X27" s="759">
        <f>Working!X335</f>
        <v>-28.072105758956408</v>
      </c>
      <c r="Y27" s="759">
        <f>Working!Y335</f>
        <v>-29.54589131130162</v>
      </c>
      <c r="Z27" s="759">
        <f>Working!Z335</f>
        <v>-31.097050605144954</v>
      </c>
      <c r="AA27" s="759">
        <f>Working!AA335</f>
        <v>-32.729645761915066</v>
      </c>
      <c r="AB27" s="759">
        <f>Working!AB335</f>
        <v>-34.447952164415604</v>
      </c>
      <c r="AC27" s="759">
        <f>Working!AC335</f>
        <v>-36.256469653047425</v>
      </c>
      <c r="AD27" s="759">
        <f>Working!AD335</f>
        <v>-38.159934309832416</v>
      </c>
      <c r="AE27" s="759">
        <f>Working!AE335</f>
        <v>-20.081665430549307</v>
      </c>
    </row>
    <row r="28" spans="1:31" x14ac:dyDescent="0.35">
      <c r="A28" s="5"/>
      <c r="B28" s="256" t="s">
        <v>480</v>
      </c>
      <c r="C28" s="198" t="s">
        <v>11</v>
      </c>
      <c r="D28" s="759">
        <f>Working!D336</f>
        <v>0</v>
      </c>
      <c r="E28" s="759">
        <f>Working!E336</f>
        <v>0</v>
      </c>
      <c r="F28" s="759">
        <f>Working!F336</f>
        <v>-1.1877748137321253</v>
      </c>
      <c r="G28" s="759">
        <f>Working!G336</f>
        <v>-2.4718801227284981</v>
      </c>
      <c r="H28" s="759">
        <f>Working!H336</f>
        <v>-2.5650700033553626</v>
      </c>
      <c r="I28" s="759">
        <f>Working!I336</f>
        <v>-2.6617731424818594</v>
      </c>
      <c r="J28" s="759">
        <f>Working!J336</f>
        <v>-2.7621219899534259</v>
      </c>
      <c r="K28" s="759">
        <f>Working!K336</f>
        <v>-2.8662539889746701</v>
      </c>
      <c r="L28" s="759">
        <f>Working!L336</f>
        <v>-2.9743117643590153</v>
      </c>
      <c r="M28" s="759">
        <f>Working!M336</f>
        <v>-3.0864433178753505</v>
      </c>
      <c r="N28" s="759">
        <f>Working!N336</f>
        <v>-3.2028022309592519</v>
      </c>
      <c r="O28" s="759">
        <f>Working!O336</f>
        <v>-3.3235478750664158</v>
      </c>
      <c r="P28" s="759">
        <f>Working!P336</f>
        <v>-3.4488456299564199</v>
      </c>
      <c r="Q28" s="759">
        <f>Working!Q336</f>
        <v>-3.5788671102057772</v>
      </c>
      <c r="R28" s="759">
        <f>Working!R336</f>
        <v>-3.7137904002605349</v>
      </c>
      <c r="S28" s="759">
        <f>Working!S336</f>
        <v>-3.8538002983503579</v>
      </c>
      <c r="T28" s="759">
        <f>Working!T336</f>
        <v>-3.9990885695981659</v>
      </c>
      <c r="U28" s="759">
        <f>Working!U336</f>
        <v>-4.1498542086720178</v>
      </c>
      <c r="V28" s="759">
        <f>Working!V336</f>
        <v>-4.306303712338952</v>
      </c>
      <c r="W28" s="759">
        <f>Working!W336</f>
        <v>-4.4686513622941302</v>
      </c>
      <c r="X28" s="759">
        <f>Working!X336</f>
        <v>-4.6371195186526206</v>
      </c>
      <c r="Y28" s="759">
        <f>Working!Y336</f>
        <v>-4.8119389245058235</v>
      </c>
      <c r="Z28" s="759">
        <f>Working!Z336</f>
        <v>-4.9933490219596948</v>
      </c>
      <c r="AA28" s="759">
        <f>Working!AA336</f>
        <v>-5.1815982800875746</v>
      </c>
      <c r="AB28" s="759">
        <f>Working!AB336</f>
        <v>-5.3769445352468779</v>
      </c>
      <c r="AC28" s="759">
        <f>Working!AC336</f>
        <v>-5.5796553442256842</v>
      </c>
      <c r="AD28" s="759">
        <f>Working!AD336</f>
        <v>-5.7900083507029922</v>
      </c>
      <c r="AE28" s="759">
        <f>Working!AE336</f>
        <v>-2.9490701465396696</v>
      </c>
    </row>
    <row r="29" spans="1:31" x14ac:dyDescent="0.35">
      <c r="A29" s="5"/>
      <c r="B29" s="6" t="s">
        <v>65</v>
      </c>
      <c r="C29" s="198" t="s">
        <v>11</v>
      </c>
      <c r="D29" s="759">
        <f>Working!D337</f>
        <v>0</v>
      </c>
      <c r="E29" s="759">
        <f ca="1">Working!E337</f>
        <v>0</v>
      </c>
      <c r="F29" s="759">
        <f ca="1">Working!F337</f>
        <v>-5.8933851906050885</v>
      </c>
      <c r="G29" s="759">
        <f ca="1">Working!G337</f>
        <v>-9.2909692299633981</v>
      </c>
      <c r="H29" s="759">
        <f ca="1">Working!H337</f>
        <v>-9.3873481585509726</v>
      </c>
      <c r="I29" s="759">
        <f ca="1">Working!I337</f>
        <v>-9.4821396983464776</v>
      </c>
      <c r="J29" s="759">
        <f ca="1">Working!J337</f>
        <v>-9.5749639240854361</v>
      </c>
      <c r="K29" s="759">
        <f ca="1">Working!K337</f>
        <v>-9.6654251286952615</v>
      </c>
      <c r="L29" s="759">
        <f ca="1">Working!L337</f>
        <v>-9.7531109599230987</v>
      </c>
      <c r="M29" s="759">
        <f ca="1">Working!M337</f>
        <v>-9.83759151272141</v>
      </c>
      <c r="N29" s="759">
        <f ca="1">Working!N337</f>
        <v>-9.9184183750794404</v>
      </c>
      <c r="O29" s="759">
        <f ca="1">Working!O337</f>
        <v>-9.9951236248682989</v>
      </c>
      <c r="P29" s="759">
        <f ca="1">Working!P337</f>
        <v>-10.06721877514031</v>
      </c>
      <c r="Q29" s="759">
        <f ca="1">Working!Q337</f>
        <v>-10.134193665189828</v>
      </c>
      <c r="R29" s="759">
        <f ca="1">Working!R337</f>
        <v>-10.195515294542282</v>
      </c>
      <c r="S29" s="759">
        <f ca="1">Working!S337</f>
        <v>-10.250626596890271</v>
      </c>
      <c r="T29" s="759">
        <f ca="1">Working!T337</f>
        <v>-10.298945150839899</v>
      </c>
      <c r="U29" s="759">
        <f ca="1">Working!U337</f>
        <v>-15.883676588034893</v>
      </c>
      <c r="V29" s="759">
        <f ca="1">Working!V337</f>
        <v>-15.468784457973758</v>
      </c>
      <c r="W29" s="759">
        <f ca="1">Working!W337</f>
        <v>-14.895929722572369</v>
      </c>
      <c r="X29" s="759">
        <f ca="1">Working!X337</f>
        <v>-14.313670815897595</v>
      </c>
      <c r="Y29" s="759">
        <f ca="1">Working!Y337</f>
        <v>-14.361874676079978</v>
      </c>
      <c r="Z29" s="759">
        <f ca="1">Working!Z337</f>
        <v>-22.28519848228872</v>
      </c>
      <c r="AA29" s="759">
        <f ca="1">Working!AA337</f>
        <v>-21.496739964306702</v>
      </c>
      <c r="AB29" s="759">
        <f ca="1">Working!AB337</f>
        <v>-20.692200361397955</v>
      </c>
      <c r="AC29" s="759">
        <f ca="1">Working!AC337</f>
        <v>-19.870450393067678</v>
      </c>
      <c r="AD29" s="759">
        <f ca="1">Working!AD337</f>
        <v>-19.030306237747215</v>
      </c>
      <c r="AE29" s="759">
        <f ca="1">Working!AE337</f>
        <v>-11.640260097964781</v>
      </c>
    </row>
    <row r="30" spans="1:31" x14ac:dyDescent="0.35">
      <c r="A30" s="5"/>
      <c r="B30" s="6" t="s">
        <v>227</v>
      </c>
      <c r="C30" s="198" t="s">
        <v>11</v>
      </c>
      <c r="D30" s="759">
        <f>Working!D338</f>
        <v>0</v>
      </c>
      <c r="E30" s="759">
        <f ca="1">Working!E338</f>
        <v>0</v>
      </c>
      <c r="F30" s="759">
        <f ca="1">Working!F338</f>
        <v>0</v>
      </c>
      <c r="G30" s="759">
        <f ca="1">Working!G338</f>
        <v>0</v>
      </c>
      <c r="H30" s="759">
        <f ca="1">Working!H338</f>
        <v>0</v>
      </c>
      <c r="I30" s="759">
        <f ca="1">Working!I338</f>
        <v>0</v>
      </c>
      <c r="J30" s="759">
        <f ca="1">Working!J338</f>
        <v>0</v>
      </c>
      <c r="K30" s="759">
        <f ca="1">Working!K338</f>
        <v>0</v>
      </c>
      <c r="L30" s="759">
        <f ca="1">Working!L338</f>
        <v>0</v>
      </c>
      <c r="M30" s="759">
        <f ca="1">Working!M338</f>
        <v>0</v>
      </c>
      <c r="N30" s="759">
        <f ca="1">Working!N338</f>
        <v>0</v>
      </c>
      <c r="O30" s="759">
        <f ca="1">Working!O338</f>
        <v>0</v>
      </c>
      <c r="P30" s="759">
        <f ca="1">Working!P338</f>
        <v>0</v>
      </c>
      <c r="Q30" s="759">
        <f ca="1">Working!Q338</f>
        <v>0</v>
      </c>
      <c r="R30" s="759">
        <f ca="1">Working!R338</f>
        <v>0</v>
      </c>
      <c r="S30" s="759">
        <f ca="1">Working!S338</f>
        <v>0</v>
      </c>
      <c r="T30" s="759">
        <f ca="1">Working!T338</f>
        <v>0</v>
      </c>
      <c r="U30" s="759">
        <f ca="1">Working!U338</f>
        <v>0</v>
      </c>
      <c r="V30" s="759">
        <f ca="1">Working!V338</f>
        <v>0</v>
      </c>
      <c r="W30" s="759">
        <f ca="1">Working!W338</f>
        <v>0</v>
      </c>
      <c r="X30" s="759">
        <f ca="1">Working!X338</f>
        <v>0</v>
      </c>
      <c r="Y30" s="759">
        <f ca="1">Working!Y338</f>
        <v>0</v>
      </c>
      <c r="Z30" s="759">
        <f ca="1">Working!Z338</f>
        <v>0</v>
      </c>
      <c r="AA30" s="759">
        <f ca="1">Working!AA338</f>
        <v>0</v>
      </c>
      <c r="AB30" s="759">
        <f ca="1">Working!AB338</f>
        <v>0</v>
      </c>
      <c r="AC30" s="759">
        <f ca="1">Working!AC338</f>
        <v>0</v>
      </c>
      <c r="AD30" s="759">
        <f ca="1">Working!AD338</f>
        <v>0</v>
      </c>
      <c r="AE30" s="759">
        <f ca="1">Working!AE338</f>
        <v>0</v>
      </c>
    </row>
    <row r="31" spans="1:31" x14ac:dyDescent="0.35">
      <c r="A31" s="5"/>
      <c r="B31" s="257" t="s">
        <v>228</v>
      </c>
      <c r="C31" s="198" t="s">
        <v>11</v>
      </c>
      <c r="D31" s="759">
        <f>Working!D339</f>
        <v>0</v>
      </c>
      <c r="E31" s="759">
        <f ca="1">Working!E339</f>
        <v>0</v>
      </c>
      <c r="F31" s="759">
        <f ca="1">Working!F339</f>
        <v>0</v>
      </c>
      <c r="G31" s="759">
        <f ca="1">Working!G339</f>
        <v>0</v>
      </c>
      <c r="H31" s="759">
        <f ca="1">Working!H339</f>
        <v>0</v>
      </c>
      <c r="I31" s="759">
        <f ca="1">Working!I339</f>
        <v>0</v>
      </c>
      <c r="J31" s="759">
        <f ca="1">Working!J339</f>
        <v>0</v>
      </c>
      <c r="K31" s="759">
        <f ca="1">Working!K339</f>
        <v>0</v>
      </c>
      <c r="L31" s="759">
        <f ca="1">Working!L339</f>
        <v>0</v>
      </c>
      <c r="M31" s="759">
        <f ca="1">Working!M339</f>
        <v>0</v>
      </c>
      <c r="N31" s="759">
        <f ca="1">Working!N339</f>
        <v>0</v>
      </c>
      <c r="O31" s="759">
        <f ca="1">Working!O339</f>
        <v>0</v>
      </c>
      <c r="P31" s="759">
        <f ca="1">Working!P339</f>
        <v>0</v>
      </c>
      <c r="Q31" s="759">
        <f ca="1">Working!Q339</f>
        <v>0</v>
      </c>
      <c r="R31" s="759">
        <f ca="1">Working!R339</f>
        <v>0</v>
      </c>
      <c r="S31" s="759">
        <f ca="1">Working!S339</f>
        <v>0</v>
      </c>
      <c r="T31" s="759">
        <f ca="1">Working!T339</f>
        <v>0</v>
      </c>
      <c r="U31" s="759">
        <f ca="1">Working!U339</f>
        <v>0</v>
      </c>
      <c r="V31" s="759">
        <f ca="1">Working!V339</f>
        <v>0</v>
      </c>
      <c r="W31" s="759">
        <f ca="1">Working!W339</f>
        <v>0</v>
      </c>
      <c r="X31" s="759">
        <f ca="1">Working!X339</f>
        <v>0</v>
      </c>
      <c r="Y31" s="759">
        <f ca="1">Working!Y339</f>
        <v>0</v>
      </c>
      <c r="Z31" s="759">
        <f ca="1">Working!Z339</f>
        <v>0</v>
      </c>
      <c r="AA31" s="759">
        <f ca="1">Working!AA339</f>
        <v>0</v>
      </c>
      <c r="AB31" s="759">
        <f ca="1">Working!AB339</f>
        <v>0</v>
      </c>
      <c r="AC31" s="759">
        <f ca="1">Working!AC339</f>
        <v>0</v>
      </c>
      <c r="AD31" s="759">
        <f ca="1">Working!AD339</f>
        <v>0</v>
      </c>
      <c r="AE31" s="759">
        <f ca="1">Working!AE339</f>
        <v>0</v>
      </c>
    </row>
    <row r="32" spans="1:31" x14ac:dyDescent="0.35">
      <c r="A32" s="5"/>
      <c r="B32" s="257" t="s">
        <v>230</v>
      </c>
      <c r="C32" s="198" t="s">
        <v>11</v>
      </c>
      <c r="D32" s="759">
        <f>Working!D340</f>
        <v>0</v>
      </c>
      <c r="E32" s="759">
        <f ca="1">Working!E340</f>
        <v>0</v>
      </c>
      <c r="F32" s="759">
        <f ca="1">Working!F340</f>
        <v>0</v>
      </c>
      <c r="G32" s="759">
        <f ca="1">Working!G340</f>
        <v>0</v>
      </c>
      <c r="H32" s="759">
        <f ca="1">Working!H340</f>
        <v>0</v>
      </c>
      <c r="I32" s="759">
        <f ca="1">Working!I340</f>
        <v>0</v>
      </c>
      <c r="J32" s="759">
        <f ca="1">Working!J340</f>
        <v>0</v>
      </c>
      <c r="K32" s="759">
        <f ca="1">Working!K340</f>
        <v>0</v>
      </c>
      <c r="L32" s="759">
        <f ca="1">Working!L340</f>
        <v>0</v>
      </c>
      <c r="M32" s="759">
        <f ca="1">Working!M340</f>
        <v>0</v>
      </c>
      <c r="N32" s="759">
        <f ca="1">Working!N340</f>
        <v>0</v>
      </c>
      <c r="O32" s="759">
        <f ca="1">Working!O340</f>
        <v>0</v>
      </c>
      <c r="P32" s="759">
        <f ca="1">Working!P340</f>
        <v>0</v>
      </c>
      <c r="Q32" s="759">
        <f ca="1">Working!Q340</f>
        <v>0</v>
      </c>
      <c r="R32" s="759">
        <f ca="1">Working!R340</f>
        <v>0</v>
      </c>
      <c r="S32" s="759">
        <f ca="1">Working!S340</f>
        <v>0</v>
      </c>
      <c r="T32" s="759">
        <f ca="1">Working!T340</f>
        <v>0</v>
      </c>
      <c r="U32" s="759">
        <f ca="1">Working!U340</f>
        <v>0</v>
      </c>
      <c r="V32" s="759">
        <f ca="1">Working!V340</f>
        <v>0</v>
      </c>
      <c r="W32" s="759">
        <f ca="1">Working!W340</f>
        <v>0</v>
      </c>
      <c r="X32" s="759">
        <f ca="1">Working!X340</f>
        <v>0</v>
      </c>
      <c r="Y32" s="759">
        <f ca="1">Working!Y340</f>
        <v>0</v>
      </c>
      <c r="Z32" s="759">
        <f ca="1">Working!Z340</f>
        <v>0</v>
      </c>
      <c r="AA32" s="759">
        <f ca="1">Working!AA340</f>
        <v>0</v>
      </c>
      <c r="AB32" s="759">
        <f ca="1">Working!AB340</f>
        <v>0</v>
      </c>
      <c r="AC32" s="759">
        <f ca="1">Working!AC340</f>
        <v>0</v>
      </c>
      <c r="AD32" s="759">
        <f ca="1">Working!AD340</f>
        <v>0</v>
      </c>
      <c r="AE32" s="759">
        <f ca="1">Working!AE340</f>
        <v>0</v>
      </c>
    </row>
    <row r="33" spans="1:31" x14ac:dyDescent="0.35">
      <c r="A33" s="5"/>
      <c r="B33" s="6" t="s">
        <v>78</v>
      </c>
      <c r="C33" s="198" t="s">
        <v>11</v>
      </c>
      <c r="D33" s="759">
        <f>Working!D341</f>
        <v>0</v>
      </c>
      <c r="E33" s="759">
        <f>Working!E341</f>
        <v>0</v>
      </c>
      <c r="F33" s="759">
        <f ca="1">Working!F341</f>
        <v>-25.678932309182528</v>
      </c>
      <c r="G33" s="759">
        <f ca="1">Working!G341</f>
        <v>0.1936129354570113</v>
      </c>
      <c r="H33" s="759">
        <f ca="1">Working!H341</f>
        <v>0.11121479288888025</v>
      </c>
      <c r="I33" s="759">
        <f ca="1">Working!I341</f>
        <v>9.9367162311818191E-2</v>
      </c>
      <c r="J33" s="759">
        <f ca="1">Working!J341</f>
        <v>8.7134766368706096E-2</v>
      </c>
      <c r="K33" s="759">
        <f ca="1">Working!K341</f>
        <v>7.4495048486472371E-2</v>
      </c>
      <c r="L33" s="759">
        <f ca="1">Working!L341</f>
        <v>6.1424320287976286E-2</v>
      </c>
      <c r="M33" s="759">
        <f ca="1">Working!M341</f>
        <v>4.789770238276958E-2</v>
      </c>
      <c r="N33" s="759">
        <f ca="1">Working!N341</f>
        <v>3.3889062079332177E-2</v>
      </c>
      <c r="O33" s="759">
        <f ca="1">Working!O341</f>
        <v>1.9370947858046605E-2</v>
      </c>
      <c r="P33" s="759">
        <f ca="1">Working!P341</f>
        <v>4.3145204357841749E-3</v>
      </c>
      <c r="Q33" s="759">
        <f ca="1">Working!Q341</f>
        <v>-1.1310519755973303E-2</v>
      </c>
      <c r="R33" s="759">
        <f ca="1">Working!R341</f>
        <v>-2.7536008866693606E-2</v>
      </c>
      <c r="S33" s="759">
        <f ca="1">Working!S341</f>
        <v>-4.4395399893353726E-2</v>
      </c>
      <c r="T33" s="759">
        <f ca="1">Working!T341</f>
        <v>-6.1923847125104459E-2</v>
      </c>
      <c r="U33" s="759">
        <f ca="1">Working!U341</f>
        <v>-8.015829498476279E-2</v>
      </c>
      <c r="V33" s="759">
        <f ca="1">Working!V341</f>
        <v>-9.9137571496193289E-2</v>
      </c>
      <c r="W33" s="759">
        <f ca="1">Working!W341</f>
        <v>-0.11890248662002989</v>
      </c>
      <c r="X33" s="759">
        <f ca="1">Working!X341</f>
        <v>-0.139495935711345</v>
      </c>
      <c r="Y33" s="759">
        <f ca="1">Working!Y341</f>
        <v>-0.16096300836749933</v>
      </c>
      <c r="Z33" s="759">
        <f ca="1">Working!Z341</f>
        <v>-0.18335110294737333</v>
      </c>
      <c r="AA33" s="759">
        <f ca="1">Working!AA341</f>
        <v>-0.20671004705866736</v>
      </c>
      <c r="AB33" s="759">
        <f ca="1">Working!AB341</f>
        <v>-0.23109222432497489</v>
      </c>
      <c r="AC33" s="759">
        <f ca="1">Working!AC341</f>
        <v>-0.25655270776094241</v>
      </c>
      <c r="AD33" s="759">
        <f ca="1">Working!AD341</f>
        <v>-0.28314940010067957</v>
      </c>
      <c r="AE33" s="759">
        <f ca="1">Working!AE341</f>
        <v>-3.2060910066423993</v>
      </c>
    </row>
    <row r="34" spans="1:31" ht="15" thickBot="1" x14ac:dyDescent="0.4">
      <c r="A34" s="5"/>
      <c r="B34" s="986" t="s">
        <v>115</v>
      </c>
      <c r="C34" s="987" t="s">
        <v>11</v>
      </c>
      <c r="D34" s="985">
        <f>Working!D342</f>
        <v>0</v>
      </c>
      <c r="E34" s="985">
        <f ca="1">Working!E342</f>
        <v>0</v>
      </c>
      <c r="F34" s="985">
        <f ca="1">Working!F342</f>
        <v>51.482339925947699</v>
      </c>
      <c r="G34" s="985">
        <f ca="1">Working!G342</f>
        <v>153.98000841758272</v>
      </c>
      <c r="H34" s="985">
        <f ca="1">Working!H342</f>
        <v>150.87411414774292</v>
      </c>
      <c r="I34" s="985">
        <f ca="1">Working!I342</f>
        <v>147.83212911938719</v>
      </c>
      <c r="J34" s="985">
        <f ca="1">Working!J342</f>
        <v>144.78131714974305</v>
      </c>
      <c r="K34" s="985">
        <f ca="1">Working!K342</f>
        <v>141.71978053555571</v>
      </c>
      <c r="L34" s="985">
        <f ca="1">Working!L342</f>
        <v>138.64554213018417</v>
      </c>
      <c r="M34" s="985">
        <f ca="1">Working!M342</f>
        <v>135.55654100560292</v>
      </c>
      <c r="N34" s="985">
        <f ca="1">Working!N342</f>
        <v>132.45062789195728</v>
      </c>
      <c r="O34" s="985">
        <f ca="1">Working!O342</f>
        <v>129.32556038304895</v>
      </c>
      <c r="P34" s="985">
        <f ca="1">Working!P342</f>
        <v>126.17899789552185</v>
      </c>
      <c r="Q34" s="985">
        <f ca="1">Working!Q342</f>
        <v>123.00849636887938</v>
      </c>
      <c r="R34" s="985">
        <f ca="1">Working!R342</f>
        <v>119.81150269279425</v>
      </c>
      <c r="S34" s="985">
        <f ca="1">Working!S342</f>
        <v>116.58534884746445</v>
      </c>
      <c r="T34" s="985">
        <f ca="1">Working!T342</f>
        <v>113.32724574202544</v>
      </c>
      <c r="U34" s="985">
        <f ca="1">Working!U342</f>
        <v>104.49046197137912</v>
      </c>
      <c r="V34" s="985">
        <f ca="1">Working!V342</f>
        <v>101.60734571205523</v>
      </c>
      <c r="W34" s="985">
        <f ca="1">Working!W342</f>
        <v>98.832376562937853</v>
      </c>
      <c r="X34" s="985">
        <f ca="1">Working!X342</f>
        <v>96.012956373212006</v>
      </c>
      <c r="Y34" s="985">
        <f ca="1">Working!Y342</f>
        <v>92.504988627144684</v>
      </c>
      <c r="Z34" s="985">
        <f ca="1">Working!Z342</f>
        <v>81.059386628216387</v>
      </c>
      <c r="AA34" s="985">
        <f ca="1">Working!AA342</f>
        <v>78.2584125891822</v>
      </c>
      <c r="AB34" s="985">
        <f ca="1">Working!AB342</f>
        <v>75.40150352413292</v>
      </c>
      <c r="AC34" s="985">
        <f ca="1">Working!AC342</f>
        <v>72.484693551297639</v>
      </c>
      <c r="AD34" s="985">
        <f ca="1">Working!AD342</f>
        <v>69.503825580398569</v>
      </c>
      <c r="AE34" s="985">
        <f ca="1">Working!AE342</f>
        <v>39.360129356864647</v>
      </c>
    </row>
    <row r="35" spans="1:31" ht="15" thickTop="1" x14ac:dyDescent="0.35">
      <c r="A35" s="5"/>
      <c r="B35" s="5"/>
      <c r="C35" s="198"/>
      <c r="D35" s="759"/>
      <c r="E35" s="759"/>
      <c r="F35" s="759"/>
      <c r="G35" s="759"/>
      <c r="H35" s="759"/>
      <c r="I35" s="759"/>
      <c r="J35" s="759"/>
      <c r="K35" s="759"/>
      <c r="L35" s="759"/>
      <c r="M35" s="759"/>
      <c r="N35" s="759"/>
      <c r="O35" s="759"/>
      <c r="P35" s="759"/>
      <c r="Q35" s="759"/>
      <c r="R35" s="759"/>
      <c r="S35" s="759"/>
      <c r="T35" s="759"/>
      <c r="U35" s="759"/>
      <c r="V35" s="759"/>
      <c r="W35" s="759"/>
      <c r="X35" s="759"/>
      <c r="Y35" s="759"/>
      <c r="Z35" s="759"/>
      <c r="AA35" s="759"/>
      <c r="AB35" s="759"/>
      <c r="AC35" s="759"/>
      <c r="AD35" s="759"/>
      <c r="AE35" s="759"/>
    </row>
    <row r="36" spans="1:31" x14ac:dyDescent="0.35">
      <c r="A36" s="5"/>
      <c r="B36" s="5" t="s">
        <v>24</v>
      </c>
      <c r="C36" s="198" t="s">
        <v>11</v>
      </c>
      <c r="D36" s="759">
        <f>Working!D344</f>
        <v>0</v>
      </c>
      <c r="E36" s="759">
        <f ca="1">Working!E344</f>
        <v>-582.04857646593382</v>
      </c>
      <c r="F36" s="759">
        <f ca="1">Working!F344</f>
        <v>-660.51345595916791</v>
      </c>
      <c r="G36" s="759">
        <f ca="1">Working!G344</f>
        <v>0</v>
      </c>
      <c r="H36" s="759">
        <f ca="1">Working!H344</f>
        <v>0</v>
      </c>
      <c r="I36" s="759">
        <f ca="1">Working!I344</f>
        <v>0</v>
      </c>
      <c r="J36" s="759">
        <f ca="1">Working!J344</f>
        <v>0</v>
      </c>
      <c r="K36" s="759">
        <f ca="1">Working!K344</f>
        <v>0</v>
      </c>
      <c r="L36" s="759">
        <f ca="1">Working!L344</f>
        <v>0</v>
      </c>
      <c r="M36" s="759">
        <f ca="1">Working!M344</f>
        <v>0</v>
      </c>
      <c r="N36" s="759">
        <f ca="1">Working!N344</f>
        <v>0</v>
      </c>
      <c r="O36" s="759">
        <f ca="1">Working!O344</f>
        <v>0</v>
      </c>
      <c r="P36" s="759">
        <f ca="1">Working!P344</f>
        <v>0</v>
      </c>
      <c r="Q36" s="759">
        <f ca="1">Working!Q344</f>
        <v>0</v>
      </c>
      <c r="R36" s="759">
        <f ca="1">Working!R344</f>
        <v>0</v>
      </c>
      <c r="S36" s="759">
        <f ca="1">Working!S344</f>
        <v>0</v>
      </c>
      <c r="T36" s="759">
        <f ca="1">Working!T344</f>
        <v>0</v>
      </c>
      <c r="U36" s="759">
        <f ca="1">Working!U344</f>
        <v>0</v>
      </c>
      <c r="V36" s="759">
        <f ca="1">Working!V344</f>
        <v>0</v>
      </c>
      <c r="W36" s="759">
        <f ca="1">Working!W344</f>
        <v>0</v>
      </c>
      <c r="X36" s="759">
        <f ca="1">Working!X344</f>
        <v>0</v>
      </c>
      <c r="Y36" s="759">
        <f ca="1">Working!Y344</f>
        <v>0</v>
      </c>
      <c r="Z36" s="759">
        <f ca="1">Working!Z344</f>
        <v>0</v>
      </c>
      <c r="AA36" s="759">
        <f ca="1">Working!AA344</f>
        <v>0</v>
      </c>
      <c r="AB36" s="759">
        <f ca="1">Working!AB344</f>
        <v>0</v>
      </c>
      <c r="AC36" s="759">
        <f ca="1">Working!AC344</f>
        <v>0</v>
      </c>
      <c r="AD36" s="759">
        <f ca="1">Working!AD344</f>
        <v>0</v>
      </c>
      <c r="AE36" s="759">
        <f ca="1">Working!AE344</f>
        <v>0</v>
      </c>
    </row>
    <row r="37" spans="1:31" ht="15" thickBot="1" x14ac:dyDescent="0.4">
      <c r="A37" s="5"/>
      <c r="B37" s="986" t="s">
        <v>114</v>
      </c>
      <c r="C37" s="987" t="s">
        <v>11</v>
      </c>
      <c r="D37" s="985">
        <f>Working!D345</f>
        <v>0</v>
      </c>
      <c r="E37" s="985">
        <f ca="1">Working!E345</f>
        <v>-582.04857646593382</v>
      </c>
      <c r="F37" s="985">
        <f ca="1">Working!F345</f>
        <v>-660.51345595916791</v>
      </c>
      <c r="G37" s="985">
        <f ca="1">Working!G345</f>
        <v>0</v>
      </c>
      <c r="H37" s="985">
        <f ca="1">Working!H345</f>
        <v>0</v>
      </c>
      <c r="I37" s="985">
        <f ca="1">Working!I345</f>
        <v>0</v>
      </c>
      <c r="J37" s="985">
        <f ca="1">Working!J345</f>
        <v>0</v>
      </c>
      <c r="K37" s="985">
        <f ca="1">Working!K345</f>
        <v>0</v>
      </c>
      <c r="L37" s="985">
        <f ca="1">Working!L345</f>
        <v>0</v>
      </c>
      <c r="M37" s="985">
        <f ca="1">Working!M345</f>
        <v>0</v>
      </c>
      <c r="N37" s="985">
        <f ca="1">Working!N345</f>
        <v>0</v>
      </c>
      <c r="O37" s="985">
        <f ca="1">Working!O345</f>
        <v>0</v>
      </c>
      <c r="P37" s="985">
        <f ca="1">Working!P345</f>
        <v>0</v>
      </c>
      <c r="Q37" s="985">
        <f ca="1">Working!Q345</f>
        <v>0</v>
      </c>
      <c r="R37" s="985">
        <f ca="1">Working!R345</f>
        <v>0</v>
      </c>
      <c r="S37" s="985">
        <f ca="1">Working!S345</f>
        <v>0</v>
      </c>
      <c r="T37" s="985">
        <f ca="1">Working!T345</f>
        <v>0</v>
      </c>
      <c r="U37" s="985">
        <f ca="1">Working!U345</f>
        <v>0</v>
      </c>
      <c r="V37" s="985">
        <f ca="1">Working!V345</f>
        <v>0</v>
      </c>
      <c r="W37" s="985">
        <f ca="1">Working!W345</f>
        <v>0</v>
      </c>
      <c r="X37" s="985">
        <f ca="1">Working!X345</f>
        <v>0</v>
      </c>
      <c r="Y37" s="985">
        <f ca="1">Working!Y345</f>
        <v>0</v>
      </c>
      <c r="Z37" s="985">
        <f ca="1">Working!Z345</f>
        <v>0</v>
      </c>
      <c r="AA37" s="985">
        <f ca="1">Working!AA345</f>
        <v>0</v>
      </c>
      <c r="AB37" s="985">
        <f ca="1">Working!AB345</f>
        <v>0</v>
      </c>
      <c r="AC37" s="985">
        <f ca="1">Working!AC345</f>
        <v>0</v>
      </c>
      <c r="AD37" s="985">
        <f ca="1">Working!AD345</f>
        <v>0</v>
      </c>
      <c r="AE37" s="985">
        <f ca="1">Working!AE345</f>
        <v>0</v>
      </c>
    </row>
    <row r="38" spans="1:31" ht="15" thickTop="1" x14ac:dyDescent="0.35">
      <c r="A38" s="5"/>
      <c r="B38" s="5"/>
      <c r="C38" s="191"/>
      <c r="D38" s="759">
        <f>Working!D346</f>
        <v>0</v>
      </c>
      <c r="E38" s="759"/>
      <c r="F38" s="759"/>
      <c r="G38" s="759"/>
      <c r="H38" s="759"/>
      <c r="I38" s="759"/>
      <c r="J38" s="759"/>
      <c r="K38" s="759"/>
      <c r="L38" s="759"/>
      <c r="M38" s="759"/>
      <c r="N38" s="759"/>
      <c r="O38" s="759"/>
      <c r="P38" s="759"/>
      <c r="Q38" s="759"/>
      <c r="R38" s="759"/>
      <c r="S38" s="759"/>
      <c r="T38" s="759"/>
      <c r="U38" s="759"/>
      <c r="V38" s="759"/>
      <c r="W38" s="759"/>
      <c r="X38" s="759"/>
      <c r="Y38" s="759"/>
      <c r="Z38" s="759"/>
      <c r="AA38" s="759"/>
      <c r="AB38" s="759"/>
      <c r="AC38" s="759"/>
      <c r="AD38" s="759"/>
      <c r="AE38" s="759"/>
    </row>
    <row r="39" spans="1:31" x14ac:dyDescent="0.35">
      <c r="A39" s="5"/>
      <c r="B39" s="5" t="s">
        <v>1083</v>
      </c>
      <c r="C39" s="198" t="s">
        <v>11</v>
      </c>
      <c r="D39" s="759">
        <f>Working!D347</f>
        <v>0</v>
      </c>
      <c r="E39" s="759">
        <f ca="1">Working!E347</f>
        <v>407.43400352615367</v>
      </c>
      <c r="F39" s="759">
        <f ca="1">Working!F347</f>
        <v>462.35941917141758</v>
      </c>
      <c r="G39" s="759">
        <f ca="1">Working!G347</f>
        <v>0</v>
      </c>
      <c r="H39" s="759">
        <f ca="1">Working!H347</f>
        <v>0</v>
      </c>
      <c r="I39" s="759">
        <f ca="1">Working!I347</f>
        <v>0</v>
      </c>
      <c r="J39" s="759">
        <f ca="1">Working!J347</f>
        <v>0</v>
      </c>
      <c r="K39" s="759">
        <f ca="1">Working!K347</f>
        <v>0</v>
      </c>
      <c r="L39" s="759">
        <f ca="1">Working!L347</f>
        <v>0</v>
      </c>
      <c r="M39" s="759">
        <f ca="1">Working!M347</f>
        <v>0</v>
      </c>
      <c r="N39" s="759">
        <f ca="1">Working!N347</f>
        <v>0</v>
      </c>
      <c r="O39" s="759">
        <f ca="1">Working!O347</f>
        <v>0</v>
      </c>
      <c r="P39" s="759">
        <f ca="1">Working!P347</f>
        <v>0</v>
      </c>
      <c r="Q39" s="759">
        <f ca="1">Working!Q347</f>
        <v>0</v>
      </c>
      <c r="R39" s="759">
        <f ca="1">Working!R347</f>
        <v>0</v>
      </c>
      <c r="S39" s="759">
        <f ca="1">Working!S347</f>
        <v>0</v>
      </c>
      <c r="T39" s="759">
        <f ca="1">Working!T347</f>
        <v>0</v>
      </c>
      <c r="U39" s="759">
        <f ca="1">Working!U347</f>
        <v>0</v>
      </c>
      <c r="V39" s="759">
        <f ca="1">Working!V347</f>
        <v>0</v>
      </c>
      <c r="W39" s="759">
        <f ca="1">Working!W347</f>
        <v>0</v>
      </c>
      <c r="X39" s="759">
        <f ca="1">Working!X347</f>
        <v>0</v>
      </c>
      <c r="Y39" s="759">
        <f ca="1">Working!Y347</f>
        <v>0</v>
      </c>
      <c r="Z39" s="759">
        <f ca="1">Working!Z347</f>
        <v>0</v>
      </c>
      <c r="AA39" s="759">
        <f ca="1">Working!AA347</f>
        <v>0</v>
      </c>
      <c r="AB39" s="759">
        <f ca="1">Working!AB347</f>
        <v>0</v>
      </c>
      <c r="AC39" s="759">
        <f ca="1">Working!AC347</f>
        <v>0</v>
      </c>
      <c r="AD39" s="759">
        <f ca="1">Working!AD347</f>
        <v>0</v>
      </c>
      <c r="AE39" s="759">
        <f ca="1">Working!AE347</f>
        <v>0</v>
      </c>
    </row>
    <row r="40" spans="1:31" x14ac:dyDescent="0.35">
      <c r="A40" s="5"/>
      <c r="B40" s="5" t="s">
        <v>112</v>
      </c>
      <c r="C40" s="198" t="s">
        <v>11</v>
      </c>
      <c r="D40" s="759">
        <f>Working!D349</f>
        <v>0</v>
      </c>
      <c r="E40" s="759">
        <f ca="1">Working!E349</f>
        <v>0</v>
      </c>
      <c r="F40" s="759">
        <f ca="1">Working!F349</f>
        <v>0</v>
      </c>
      <c r="G40" s="759">
        <f ca="1">Working!G349</f>
        <v>0</v>
      </c>
      <c r="H40" s="759">
        <f ca="1">Working!H349</f>
        <v>0</v>
      </c>
      <c r="I40" s="759">
        <f ca="1">Working!I349</f>
        <v>0</v>
      </c>
      <c r="J40" s="759">
        <f ca="1">Working!J349</f>
        <v>0</v>
      </c>
      <c r="K40" s="759">
        <f ca="1">Working!K349</f>
        <v>0</v>
      </c>
      <c r="L40" s="759">
        <f ca="1">Working!L349</f>
        <v>0</v>
      </c>
      <c r="M40" s="759">
        <f ca="1">Working!M349</f>
        <v>0</v>
      </c>
      <c r="N40" s="759">
        <f ca="1">Working!N349</f>
        <v>0</v>
      </c>
      <c r="O40" s="759">
        <f ca="1">Working!O349</f>
        <v>0</v>
      </c>
      <c r="P40" s="759">
        <f ca="1">Working!P349</f>
        <v>0</v>
      </c>
      <c r="Q40" s="759">
        <f ca="1">Working!Q349</f>
        <v>0</v>
      </c>
      <c r="R40" s="759">
        <f ca="1">Working!R349</f>
        <v>0</v>
      </c>
      <c r="S40" s="759">
        <f ca="1">Working!S349</f>
        <v>0</v>
      </c>
      <c r="T40" s="759">
        <f ca="1">Working!T349</f>
        <v>0</v>
      </c>
      <c r="U40" s="759">
        <f ca="1">Working!U349</f>
        <v>0</v>
      </c>
      <c r="V40" s="759">
        <f ca="1">Working!V349</f>
        <v>0</v>
      </c>
      <c r="W40" s="759">
        <f ca="1">Working!W349</f>
        <v>0</v>
      </c>
      <c r="X40" s="759">
        <f ca="1">Working!X349</f>
        <v>0</v>
      </c>
      <c r="Y40" s="759">
        <f ca="1">Working!Y349</f>
        <v>0</v>
      </c>
      <c r="Z40" s="759">
        <f ca="1">Working!Z349</f>
        <v>0</v>
      </c>
      <c r="AA40" s="759">
        <f ca="1">Working!AA349</f>
        <v>0</v>
      </c>
      <c r="AB40" s="759">
        <f ca="1">Working!AB349</f>
        <v>0</v>
      </c>
      <c r="AC40" s="759">
        <f ca="1">Working!AC349</f>
        <v>0</v>
      </c>
      <c r="AD40" s="759">
        <f ca="1">Working!AD349</f>
        <v>0</v>
      </c>
      <c r="AE40" s="759">
        <f ca="1">Working!AE349</f>
        <v>0</v>
      </c>
    </row>
    <row r="41" spans="1:31" x14ac:dyDescent="0.35">
      <c r="A41" s="5"/>
      <c r="B41" s="5" t="s">
        <v>5</v>
      </c>
      <c r="C41" s="198" t="s">
        <v>11</v>
      </c>
      <c r="D41" s="759">
        <f>Working!D350</f>
        <v>0</v>
      </c>
      <c r="E41" s="759">
        <f ca="1">Working!E350</f>
        <v>174.61457293978017</v>
      </c>
      <c r="F41" s="759">
        <f ca="1">Working!F350</f>
        <v>198.15403678775041</v>
      </c>
      <c r="G41" s="759">
        <f ca="1">Working!G350</f>
        <v>0</v>
      </c>
      <c r="H41" s="759">
        <f ca="1">Working!H350</f>
        <v>0</v>
      </c>
      <c r="I41" s="759">
        <f ca="1">Working!I350</f>
        <v>0</v>
      </c>
      <c r="J41" s="759">
        <f ca="1">Working!J350</f>
        <v>0</v>
      </c>
      <c r="K41" s="759">
        <f ca="1">Working!K350</f>
        <v>0</v>
      </c>
      <c r="L41" s="759">
        <f ca="1">Working!L350</f>
        <v>0</v>
      </c>
      <c r="M41" s="759">
        <f ca="1">Working!M350</f>
        <v>0</v>
      </c>
      <c r="N41" s="759">
        <f ca="1">Working!N350</f>
        <v>0</v>
      </c>
      <c r="O41" s="759">
        <f ca="1">Working!O350</f>
        <v>0</v>
      </c>
      <c r="P41" s="759">
        <f ca="1">Working!P350</f>
        <v>0</v>
      </c>
      <c r="Q41" s="759">
        <f ca="1">Working!Q350</f>
        <v>0</v>
      </c>
      <c r="R41" s="759">
        <f ca="1">Working!R350</f>
        <v>0</v>
      </c>
      <c r="S41" s="759">
        <f ca="1">Working!S350</f>
        <v>0</v>
      </c>
      <c r="T41" s="759">
        <f ca="1">Working!T350</f>
        <v>0</v>
      </c>
      <c r="U41" s="759">
        <f ca="1">Working!U350</f>
        <v>0</v>
      </c>
      <c r="V41" s="759">
        <f ca="1">Working!V350</f>
        <v>0</v>
      </c>
      <c r="W41" s="759">
        <f ca="1">Working!W350</f>
        <v>0</v>
      </c>
      <c r="X41" s="759">
        <f ca="1">Working!X350</f>
        <v>0</v>
      </c>
      <c r="Y41" s="759">
        <f ca="1">Working!Y350</f>
        <v>0</v>
      </c>
      <c r="Z41" s="759">
        <f ca="1">Working!Z350</f>
        <v>0</v>
      </c>
      <c r="AA41" s="759">
        <f ca="1">Working!AA350</f>
        <v>0</v>
      </c>
      <c r="AB41" s="759">
        <f ca="1">Working!AB350</f>
        <v>0</v>
      </c>
      <c r="AC41" s="759">
        <f ca="1">Working!AC350</f>
        <v>0</v>
      </c>
      <c r="AD41" s="759">
        <f ca="1">Working!AD350</f>
        <v>0</v>
      </c>
      <c r="AE41" s="759">
        <f ca="1">Working!AE350</f>
        <v>0</v>
      </c>
    </row>
    <row r="42" spans="1:31" x14ac:dyDescent="0.35">
      <c r="A42" s="5"/>
      <c r="B42" s="5" t="s">
        <v>1082</v>
      </c>
      <c r="C42" s="198" t="s">
        <v>11</v>
      </c>
      <c r="D42" s="759">
        <f>Working!D352</f>
        <v>0</v>
      </c>
      <c r="E42" s="759">
        <f>Working!E352</f>
        <v>0</v>
      </c>
      <c r="F42" s="759">
        <f ca="1">Working!F352</f>
        <v>-28.993114089919043</v>
      </c>
      <c r="G42" s="759">
        <f ca="1">Working!G352</f>
        <v>-57.986228179838086</v>
      </c>
      <c r="H42" s="759">
        <f ca="1">Working!H352</f>
        <v>-57.986228179838086</v>
      </c>
      <c r="I42" s="759">
        <f ca="1">Working!I352</f>
        <v>-57.986228179838086</v>
      </c>
      <c r="J42" s="759">
        <f ca="1">Working!J352</f>
        <v>-57.986228179838086</v>
      </c>
      <c r="K42" s="759">
        <f ca="1">Working!K352</f>
        <v>-57.986228179838086</v>
      </c>
      <c r="L42" s="759">
        <f ca="1">Working!L352</f>
        <v>-57.986228179838086</v>
      </c>
      <c r="M42" s="759">
        <f ca="1">Working!M352</f>
        <v>-57.986228179838086</v>
      </c>
      <c r="N42" s="759">
        <f ca="1">Working!N352</f>
        <v>-57.986228179838086</v>
      </c>
      <c r="O42" s="759">
        <f ca="1">Working!O352</f>
        <v>-57.986228179838086</v>
      </c>
      <c r="P42" s="759">
        <f ca="1">Working!P352</f>
        <v>-57.986228179838086</v>
      </c>
      <c r="Q42" s="759">
        <f ca="1">Working!Q352</f>
        <v>-57.986228179838086</v>
      </c>
      <c r="R42" s="759">
        <f ca="1">Working!R352</f>
        <v>-57.986228179838086</v>
      </c>
      <c r="S42" s="759">
        <f ca="1">Working!S352</f>
        <v>-57.986228179838086</v>
      </c>
      <c r="T42" s="759">
        <f ca="1">Working!T352</f>
        <v>-57.986228179838086</v>
      </c>
      <c r="U42" s="759">
        <f ca="1">Working!U352</f>
        <v>-28.993114089918954</v>
      </c>
      <c r="V42" s="759">
        <f ca="1">Working!V352</f>
        <v>0</v>
      </c>
      <c r="W42" s="759">
        <f ca="1">Working!W352</f>
        <v>0</v>
      </c>
      <c r="X42" s="759">
        <f ca="1">Working!X352</f>
        <v>0</v>
      </c>
      <c r="Y42" s="759">
        <f ca="1">Working!Y352</f>
        <v>0</v>
      </c>
      <c r="Z42" s="759">
        <f ca="1">Working!Z352</f>
        <v>0</v>
      </c>
      <c r="AA42" s="759">
        <f ca="1">Working!AA352</f>
        <v>0</v>
      </c>
      <c r="AB42" s="759">
        <f ca="1">Working!AB352</f>
        <v>0</v>
      </c>
      <c r="AC42" s="759">
        <f ca="1">Working!AC352</f>
        <v>0</v>
      </c>
      <c r="AD42" s="759">
        <f ca="1">Working!AD352</f>
        <v>0</v>
      </c>
      <c r="AE42" s="759">
        <f ca="1">Working!AE352</f>
        <v>0</v>
      </c>
    </row>
    <row r="43" spans="1:31" x14ac:dyDescent="0.35">
      <c r="A43" s="5"/>
      <c r="B43" s="3" t="s">
        <v>108</v>
      </c>
      <c r="C43" s="68" t="s">
        <v>11</v>
      </c>
      <c r="D43" s="759">
        <f>Working!D355</f>
        <v>0</v>
      </c>
      <c r="E43" s="759">
        <f>Working!E355</f>
        <v>0</v>
      </c>
      <c r="F43" s="759">
        <f ca="1">Working!F355</f>
        <v>19.259199231886896</v>
      </c>
      <c r="G43" s="759">
        <f ca="1">Working!G355</f>
        <v>-0.14520970159275848</v>
      </c>
      <c r="H43" s="759">
        <f ca="1">Working!H355</f>
        <v>-8.3411094666661967E-2</v>
      </c>
      <c r="I43" s="759">
        <f ca="1">Working!I355</f>
        <v>-7.4525371733862755E-2</v>
      </c>
      <c r="J43" s="759">
        <f ca="1">Working!J355</f>
        <v>-6.5351074776529572E-2</v>
      </c>
      <c r="K43" s="759">
        <f ca="1">Working!K355</f>
        <v>-5.5871286364855166E-2</v>
      </c>
      <c r="L43" s="759">
        <f ca="1">Working!L355</f>
        <v>-4.6068240215980438E-2</v>
      </c>
      <c r="M43" s="759">
        <f ca="1">Working!M355</f>
        <v>-3.5923276787077185E-2</v>
      </c>
      <c r="N43" s="759">
        <f ca="1">Working!N355</f>
        <v>-2.5416796559500909E-2</v>
      </c>
      <c r="O43" s="759">
        <f ca="1">Working!O355</f>
        <v>-1.4528210893534066E-2</v>
      </c>
      <c r="P43" s="759">
        <f ca="1">Working!P355</f>
        <v>-3.2358903268381312E-3</v>
      </c>
      <c r="Q43" s="759">
        <f ca="1">Working!Q355</f>
        <v>8.4828898169817535E-3</v>
      </c>
      <c r="R43" s="759">
        <f ca="1">Working!R355</f>
        <v>2.065200665001754E-2</v>
      </c>
      <c r="S43" s="759">
        <f ca="1">Working!S355</f>
        <v>3.3296549920017071E-2</v>
      </c>
      <c r="T43" s="759">
        <f ca="1">Working!T355</f>
        <v>4.6442885343829232E-2</v>
      </c>
      <c r="U43" s="759">
        <f ca="1">Working!U355</f>
        <v>6.0118721238570316E-2</v>
      </c>
      <c r="V43" s="759">
        <f ca="1">Working!V355</f>
        <v>7.4353178622146743E-2</v>
      </c>
      <c r="W43" s="759">
        <f ca="1">Working!W355</f>
        <v>8.9176864965022418E-2</v>
      </c>
      <c r="X43" s="759">
        <f ca="1">Working!X355</f>
        <v>0.10462195178350697</v>
      </c>
      <c r="Y43" s="759">
        <f ca="1">Working!Y355</f>
        <v>0.12072225627562716</v>
      </c>
      <c r="Z43" s="759">
        <f ca="1">Working!Z355</f>
        <v>0.13751332721052734</v>
      </c>
      <c r="AA43" s="759">
        <f ca="1">Working!AA355</f>
        <v>0.15503253529400141</v>
      </c>
      <c r="AB43" s="759">
        <f ca="1">Working!AB355</f>
        <v>0.17331916824373295</v>
      </c>
      <c r="AC43" s="759">
        <f ca="1">Working!AC355</f>
        <v>0.19241453082070592</v>
      </c>
      <c r="AD43" s="759">
        <f ca="1">Working!AD355</f>
        <v>0.21236205007550879</v>
      </c>
      <c r="AE43" s="759">
        <f ca="1">Working!AE355</f>
        <v>2.4045682549818004</v>
      </c>
    </row>
    <row r="44" spans="1:31" x14ac:dyDescent="0.35">
      <c r="A44" s="5"/>
      <c r="B44" s="5" t="s">
        <v>83</v>
      </c>
      <c r="C44" s="198" t="s">
        <v>11</v>
      </c>
      <c r="D44" s="759">
        <f>Working!D356</f>
        <v>0</v>
      </c>
      <c r="E44" s="759">
        <f ca="1">Working!E356</f>
        <v>0</v>
      </c>
      <c r="F44" s="759">
        <f ca="1">Working!F356</f>
        <v>-18.672217381508435</v>
      </c>
      <c r="G44" s="759">
        <f ca="1">Working!G356</f>
        <v>-48.708431671063991</v>
      </c>
      <c r="H44" s="759">
        <f ca="1">Working!H356</f>
        <v>-45.229257980273701</v>
      </c>
      <c r="I44" s="759">
        <f ca="1">Working!I356</f>
        <v>-41.750084289483418</v>
      </c>
      <c r="J44" s="759">
        <f ca="1">Working!J356</f>
        <v>-38.270910598693128</v>
      </c>
      <c r="K44" s="759">
        <f ca="1">Working!K356</f>
        <v>-34.791736907902845</v>
      </c>
      <c r="L44" s="759">
        <f ca="1">Working!L356</f>
        <v>-31.312563217112558</v>
      </c>
      <c r="M44" s="759">
        <f ca="1">Working!M356</f>
        <v>-27.833389526322271</v>
      </c>
      <c r="N44" s="759">
        <f ca="1">Working!N356</f>
        <v>-24.354215835531988</v>
      </c>
      <c r="O44" s="759">
        <f ca="1">Working!O356</f>
        <v>-20.875042144741702</v>
      </c>
      <c r="P44" s="759">
        <f ca="1">Working!P356</f>
        <v>-17.395868453951422</v>
      </c>
      <c r="Q44" s="759">
        <f ca="1">Working!Q356</f>
        <v>-13.916694763161136</v>
      </c>
      <c r="R44" s="759">
        <f ca="1">Working!R356</f>
        <v>-10.437521072370851</v>
      </c>
      <c r="S44" s="759">
        <f ca="1">Working!S356</f>
        <v>-6.9583473815805652</v>
      </c>
      <c r="T44" s="759">
        <f ca="1">Working!T356</f>
        <v>-3.4791736907902795</v>
      </c>
      <c r="U44" s="759">
        <f ca="1">Working!U356</f>
        <v>-0.86979342269756865</v>
      </c>
      <c r="V44" s="759">
        <f ca="1">Working!V356</f>
        <v>0</v>
      </c>
      <c r="W44" s="759">
        <f ca="1">Working!W356</f>
        <v>0</v>
      </c>
      <c r="X44" s="759">
        <f ca="1">Working!X356</f>
        <v>0</v>
      </c>
      <c r="Y44" s="759">
        <f ca="1">Working!Y356</f>
        <v>0</v>
      </c>
      <c r="Z44" s="759">
        <f ca="1">Working!Z356</f>
        <v>0</v>
      </c>
      <c r="AA44" s="759">
        <f ca="1">Working!AA356</f>
        <v>0</v>
      </c>
      <c r="AB44" s="759">
        <f ca="1">Working!AB356</f>
        <v>0</v>
      </c>
      <c r="AC44" s="759">
        <f ca="1">Working!AC356</f>
        <v>0</v>
      </c>
      <c r="AD44" s="759">
        <f ca="1">Working!AD356</f>
        <v>0</v>
      </c>
      <c r="AE44" s="759">
        <f ca="1">Working!AE356</f>
        <v>0</v>
      </c>
    </row>
    <row r="45" spans="1:31" x14ac:dyDescent="0.35">
      <c r="A45" s="5"/>
      <c r="B45" s="5" t="s">
        <v>82</v>
      </c>
      <c r="C45" s="198" t="s">
        <v>11</v>
      </c>
      <c r="D45" s="759">
        <f>Working!D357</f>
        <v>0</v>
      </c>
      <c r="E45" s="759">
        <f>Working!E357</f>
        <v>0</v>
      </c>
      <c r="F45" s="759">
        <f ca="1">Working!F357</f>
        <v>-1.1043699723928568</v>
      </c>
      <c r="G45" s="759">
        <f ca="1">Working!G357</f>
        <v>-2.1981087959838259</v>
      </c>
      <c r="H45" s="759">
        <f ca="1">Working!H357</f>
        <v>-2.1885165200971599</v>
      </c>
      <c r="I45" s="759">
        <f ca="1">Working!I357</f>
        <v>-2.1799461023477655</v>
      </c>
      <c r="J45" s="759">
        <f ca="1">Working!J357</f>
        <v>-2.1724307287484645</v>
      </c>
      <c r="K45" s="759">
        <f ca="1">Working!K357</f>
        <v>-2.1660055308165065</v>
      </c>
      <c r="L45" s="759">
        <f ca="1">Working!L357</f>
        <v>-2.1607076831916685</v>
      </c>
      <c r="M45" s="759">
        <f ca="1">Working!M357</f>
        <v>-2.1565765063611546</v>
      </c>
      <c r="N45" s="759">
        <f ca="1">Working!N357</f>
        <v>-2.1536535747568122</v>
      </c>
      <c r="O45" s="759">
        <f ca="1">Working!O357</f>
        <v>-2.1519828305040556</v>
      </c>
      <c r="P45" s="759">
        <f ca="1">Working!P357</f>
        <v>-2.1516107031164693</v>
      </c>
      <c r="Q45" s="759">
        <f ca="1">Working!Q357</f>
        <v>-2.1525862354454222</v>
      </c>
      <c r="R45" s="759">
        <f ca="1">Working!R357</f>
        <v>-2.1549612162101743</v>
      </c>
      <c r="S45" s="759">
        <f ca="1">Working!S357</f>
        <v>-2.1587903194509761</v>
      </c>
      <c r="T45" s="759">
        <f ca="1">Working!T357</f>
        <v>-2.1641312512655166</v>
      </c>
      <c r="U45" s="759">
        <f ca="1">Working!U357</f>
        <v>-2.1710449042079523</v>
      </c>
      <c r="V45" s="759">
        <f ca="1">Working!V357</f>
        <v>-2.1795955197494989</v>
      </c>
      <c r="W45" s="759">
        <f ca="1">Working!W357</f>
        <v>-2.1898508592204764</v>
      </c>
      <c r="X45" s="759">
        <f ca="1">Working!X357</f>
        <v>-2.2018823836755801</v>
      </c>
      <c r="Y45" s="759">
        <f ca="1">Working!Y357</f>
        <v>-2.2157654431472769</v>
      </c>
      <c r="Z45" s="759">
        <f ca="1">Working!Z357</f>
        <v>-2.2315794757764875</v>
      </c>
      <c r="AA45" s="759">
        <f ca="1">Working!AA357</f>
        <v>-2.2494082173352976</v>
      </c>
      <c r="AB45" s="759">
        <f ca="1">Working!AB357</f>
        <v>-2.269339921683327</v>
      </c>
      <c r="AC45" s="759">
        <f ca="1">Working!AC357</f>
        <v>-2.2914675927277082</v>
      </c>
      <c r="AD45" s="759">
        <f ca="1">Working!AD357</f>
        <v>-2.3158892284863919</v>
      </c>
      <c r="AE45" s="759">
        <f ca="1">Working!AE357</f>
        <v>-1.2962072889046494</v>
      </c>
    </row>
    <row r="46" spans="1:31" ht="15" thickBot="1" x14ac:dyDescent="0.4">
      <c r="A46" s="5"/>
      <c r="B46" s="986" t="s">
        <v>107</v>
      </c>
      <c r="C46" s="987" t="s">
        <v>11</v>
      </c>
      <c r="D46" s="985">
        <f>Working!D359</f>
        <v>0</v>
      </c>
      <c r="E46" s="985">
        <f ca="1">Working!E359</f>
        <v>582.04857646593382</v>
      </c>
      <c r="F46" s="985">
        <f ca="1">Working!F359</f>
        <v>631.00295374723464</v>
      </c>
      <c r="G46" s="985">
        <f ca="1">Working!G359</f>
        <v>-109.03797834847866</v>
      </c>
      <c r="H46" s="985">
        <f ca="1">Working!H359</f>
        <v>-105.48741377487562</v>
      </c>
      <c r="I46" s="985">
        <f ca="1">Working!I359</f>
        <v>-101.99078394340313</v>
      </c>
      <c r="J46" s="985">
        <f ca="1">Working!J359</f>
        <v>-98.49492058205621</v>
      </c>
      <c r="K46" s="985">
        <f ca="1">Working!K359</f>
        <v>-94.999841904922292</v>
      </c>
      <c r="L46" s="985">
        <f ca="1">Working!L359</f>
        <v>-91.505567320358296</v>
      </c>
      <c r="M46" s="985">
        <f ca="1">Working!M359</f>
        <v>-88.012117489308594</v>
      </c>
      <c r="N46" s="985">
        <f ca="1">Working!N359</f>
        <v>-84.519514386686396</v>
      </c>
      <c r="O46" s="985">
        <f ca="1">Working!O359</f>
        <v>-81.027781365977376</v>
      </c>
      <c r="P46" s="985">
        <f ca="1">Working!P359</f>
        <v>-77.536943227232825</v>
      </c>
      <c r="Q46" s="985">
        <f ca="1">Working!Q359</f>
        <v>-74.047026288627663</v>
      </c>
      <c r="R46" s="985">
        <f ca="1">Working!R359</f>
        <v>-70.558058461769093</v>
      </c>
      <c r="S46" s="985">
        <f ca="1">Working!S359</f>
        <v>-67.070069330949607</v>
      </c>
      <c r="T46" s="985">
        <f ca="1">Working!T359</f>
        <v>-63.583090236550049</v>
      </c>
      <c r="U46" s="985">
        <f ca="1">Working!U359</f>
        <v>-31.973833695585906</v>
      </c>
      <c r="V46" s="985">
        <f ca="1">Working!V359</f>
        <v>-2.1052423411273522</v>
      </c>
      <c r="W46" s="985">
        <f ca="1">Working!W359</f>
        <v>-2.100673994255454</v>
      </c>
      <c r="X46" s="985">
        <f ca="1">Working!X359</f>
        <v>-2.0972604318920731</v>
      </c>
      <c r="Y46" s="985">
        <f ca="1">Working!Y359</f>
        <v>-2.0950431868716497</v>
      </c>
      <c r="Z46" s="985">
        <f ca="1">Working!Z359</f>
        <v>-2.0940661485659602</v>
      </c>
      <c r="AA46" s="985">
        <f ca="1">Working!AA359</f>
        <v>-2.0943756820412962</v>
      </c>
      <c r="AB46" s="985">
        <f ca="1">Working!AB359</f>
        <v>-2.096020753439594</v>
      </c>
      <c r="AC46" s="985">
        <f ca="1">Working!AC359</f>
        <v>-2.0990530619070022</v>
      </c>
      <c r="AD46" s="985">
        <f ca="1">Working!AD359</f>
        <v>-2.1035271784108831</v>
      </c>
      <c r="AE46" s="985">
        <f ca="1">Working!AE359</f>
        <v>1.108360966077151</v>
      </c>
    </row>
    <row r="47" spans="1:31" ht="15" thickTop="1" x14ac:dyDescent="0.35">
      <c r="A47" s="5"/>
      <c r="B47" s="5"/>
      <c r="C47" s="198"/>
      <c r="D47" s="759"/>
      <c r="E47" s="759"/>
      <c r="F47" s="759"/>
      <c r="G47" s="759"/>
      <c r="H47" s="759"/>
      <c r="I47" s="759"/>
      <c r="J47" s="759"/>
      <c r="K47" s="759"/>
      <c r="L47" s="759"/>
      <c r="M47" s="759"/>
      <c r="N47" s="759"/>
      <c r="O47" s="759"/>
      <c r="P47" s="759"/>
      <c r="Q47" s="759"/>
      <c r="R47" s="759"/>
      <c r="S47" s="759"/>
      <c r="T47" s="759"/>
      <c r="U47" s="759"/>
      <c r="V47" s="759"/>
      <c r="W47" s="759"/>
      <c r="X47" s="759"/>
      <c r="Y47" s="759"/>
      <c r="Z47" s="759"/>
      <c r="AA47" s="759"/>
      <c r="AB47" s="759"/>
      <c r="AC47" s="759"/>
      <c r="AD47" s="759"/>
      <c r="AE47" s="759"/>
    </row>
    <row r="48" spans="1:31" x14ac:dyDescent="0.35">
      <c r="A48" s="259" t="s">
        <v>106</v>
      </c>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c r="AA48" s="260"/>
      <c r="AB48" s="260"/>
      <c r="AC48" s="260"/>
      <c r="AD48" s="260"/>
      <c r="AE48" s="260"/>
    </row>
    <row r="49" spans="1:31" x14ac:dyDescent="0.35">
      <c r="A49" s="5"/>
      <c r="B49" s="5" t="s">
        <v>105</v>
      </c>
      <c r="C49" s="198" t="s">
        <v>11</v>
      </c>
      <c r="D49" s="759">
        <f>Working!D362</f>
        <v>0</v>
      </c>
      <c r="E49" s="759">
        <f>Working!E362</f>
        <v>0</v>
      </c>
      <c r="F49" s="759">
        <f ca="1">Working!F362</f>
        <v>0</v>
      </c>
      <c r="G49" s="759">
        <f ca="1">Working!G362</f>
        <v>21.971837714014441</v>
      </c>
      <c r="H49" s="759">
        <f ca="1">Working!H362</f>
        <v>66.913867783118505</v>
      </c>
      <c r="I49" s="759">
        <f ca="1">Working!I362</f>
        <v>112.3005681559858</v>
      </c>
      <c r="J49" s="759">
        <f ca="1">Working!J362</f>
        <v>158.14191333196987</v>
      </c>
      <c r="K49" s="759">
        <f ca="1">Working!K362</f>
        <v>204.42830989965671</v>
      </c>
      <c r="L49" s="759">
        <f ca="1">Working!L362</f>
        <v>251.14824853029012</v>
      </c>
      <c r="M49" s="759">
        <f ca="1">Working!M362</f>
        <v>298.28822334011602</v>
      </c>
      <c r="N49" s="759">
        <f ca="1">Working!N362</f>
        <v>345.83264685641035</v>
      </c>
      <c r="O49" s="759">
        <f ca="1">Working!O362</f>
        <v>393.76376036168125</v>
      </c>
      <c r="P49" s="759">
        <f ca="1">Working!P362</f>
        <v>442.06153937875285</v>
      </c>
      <c r="Q49" s="759">
        <f ca="1">Working!Q362</f>
        <v>490.70359404704186</v>
      </c>
      <c r="R49" s="759">
        <f ca="1">Working!R362</f>
        <v>539.66506412729359</v>
      </c>
      <c r="S49" s="759">
        <f ca="1">Working!S362</f>
        <v>588.91850835831872</v>
      </c>
      <c r="T49" s="759">
        <f ca="1">Working!T362</f>
        <v>638.43378787483357</v>
      </c>
      <c r="U49" s="759">
        <f ca="1">Working!U362</f>
        <v>688.17794338030899</v>
      </c>
      <c r="V49" s="759">
        <f ca="1">Working!V362</f>
        <v>760.6945716561022</v>
      </c>
      <c r="W49" s="759">
        <f ca="1">Working!W362</f>
        <v>860.1966750270301</v>
      </c>
      <c r="X49" s="759">
        <f ca="1">Working!X362</f>
        <v>956.9283775957125</v>
      </c>
      <c r="Y49" s="759">
        <f ca="1">Working!Y362</f>
        <v>1050.8440735370325</v>
      </c>
      <c r="Z49" s="759">
        <f ca="1">Working!Z362</f>
        <v>1141.2540189773056</v>
      </c>
      <c r="AA49" s="759">
        <f ca="1">Working!AA362</f>
        <v>1220.219339456956</v>
      </c>
      <c r="AB49" s="759">
        <f ca="1">Working!AB362</f>
        <v>1296.3833763640969</v>
      </c>
      <c r="AC49" s="759">
        <f ca="1">Working!AC362</f>
        <v>1369.6888591347902</v>
      </c>
      <c r="AD49" s="759">
        <f ca="1">Working!AD362</f>
        <v>1440.0744996241808</v>
      </c>
      <c r="AE49" s="759">
        <f ca="1">Working!AE362</f>
        <v>1507.4747980261684</v>
      </c>
    </row>
    <row r="50" spans="1:31" x14ac:dyDescent="0.35">
      <c r="A50" s="5"/>
      <c r="B50" s="5" t="s">
        <v>104</v>
      </c>
      <c r="C50" s="198" t="s">
        <v>11</v>
      </c>
      <c r="D50" s="759">
        <f>Working!D363</f>
        <v>0</v>
      </c>
      <c r="E50" s="759">
        <f ca="1">Working!E363</f>
        <v>0</v>
      </c>
      <c r="F50" s="759">
        <f ca="1">Working!F363</f>
        <v>21.971837714014441</v>
      </c>
      <c r="G50" s="759">
        <f ca="1">Working!G363</f>
        <v>44.942030069104064</v>
      </c>
      <c r="H50" s="759">
        <f ca="1">Working!H363</f>
        <v>45.386700372867296</v>
      </c>
      <c r="I50" s="759">
        <f ca="1">Working!I363</f>
        <v>45.84134517598406</v>
      </c>
      <c r="J50" s="759">
        <f ca="1">Working!J363</f>
        <v>46.286396567686836</v>
      </c>
      <c r="K50" s="759">
        <f ca="1">Working!K363</f>
        <v>46.719938630633422</v>
      </c>
      <c r="L50" s="759">
        <f ca="1">Working!L363</f>
        <v>47.139974809825873</v>
      </c>
      <c r="M50" s="759">
        <f ca="1">Working!M363</f>
        <v>47.54442351629433</v>
      </c>
      <c r="N50" s="759">
        <f ca="1">Working!N363</f>
        <v>47.931113505270886</v>
      </c>
      <c r="O50" s="759">
        <f ca="1">Working!O363</f>
        <v>48.297779017071576</v>
      </c>
      <c r="P50" s="759">
        <f ca="1">Working!P363</f>
        <v>48.64205466828902</v>
      </c>
      <c r="Q50" s="759">
        <f ca="1">Working!Q363</f>
        <v>48.961470080251715</v>
      </c>
      <c r="R50" s="759">
        <f ca="1">Working!R363</f>
        <v>49.253444231025156</v>
      </c>
      <c r="S50" s="759">
        <f ca="1">Working!S363</f>
        <v>49.515279516514838</v>
      </c>
      <c r="T50" s="759">
        <f ca="1">Working!T363</f>
        <v>49.744155505475391</v>
      </c>
      <c r="U50" s="759">
        <f ca="1">Working!U363</f>
        <v>72.516628275793209</v>
      </c>
      <c r="V50" s="759">
        <f ca="1">Working!V363</f>
        <v>99.502103370927884</v>
      </c>
      <c r="W50" s="759">
        <f ca="1">Working!W363</f>
        <v>96.731702568682394</v>
      </c>
      <c r="X50" s="759">
        <f ca="1">Working!X363</f>
        <v>93.915695941319939</v>
      </c>
      <c r="Y50" s="759">
        <f ca="1">Working!Y363</f>
        <v>90.409945440273034</v>
      </c>
      <c r="Z50" s="759">
        <f ca="1">Working!Z363</f>
        <v>78.96532047965043</v>
      </c>
      <c r="AA50" s="759">
        <f ca="1">Working!AA363</f>
        <v>76.164036907140897</v>
      </c>
      <c r="AB50" s="759">
        <f ca="1">Working!AB363</f>
        <v>73.305482770693331</v>
      </c>
      <c r="AC50" s="759">
        <f ca="1">Working!AC363</f>
        <v>70.385640489390639</v>
      </c>
      <c r="AD50" s="759">
        <f ca="1">Working!AD363</f>
        <v>67.400298401987683</v>
      </c>
      <c r="AE50" s="759">
        <f ca="1">Working!AE363</f>
        <v>40.468490322941797</v>
      </c>
    </row>
    <row r="51" spans="1:31" ht="15" thickBot="1" x14ac:dyDescent="0.4">
      <c r="A51" s="5"/>
      <c r="B51" s="986" t="s">
        <v>103</v>
      </c>
      <c r="C51" s="987" t="s">
        <v>11</v>
      </c>
      <c r="D51" s="985">
        <f>Working!D364</f>
        <v>0</v>
      </c>
      <c r="E51" s="985">
        <f ca="1">Working!E364</f>
        <v>0</v>
      </c>
      <c r="F51" s="985">
        <f ca="1">Working!F364</f>
        <v>21.971837714014441</v>
      </c>
      <c r="G51" s="985">
        <f ca="1">Working!G364</f>
        <v>66.913867783118505</v>
      </c>
      <c r="H51" s="985">
        <f ca="1">Working!H364</f>
        <v>112.3005681559858</v>
      </c>
      <c r="I51" s="985">
        <f ca="1">Working!I364</f>
        <v>158.14191333196987</v>
      </c>
      <c r="J51" s="985">
        <f ca="1">Working!J364</f>
        <v>204.42830989965671</v>
      </c>
      <c r="K51" s="985">
        <f ca="1">Working!K364</f>
        <v>251.14824853029012</v>
      </c>
      <c r="L51" s="985">
        <f ca="1">Working!L364</f>
        <v>298.28822334011602</v>
      </c>
      <c r="M51" s="985">
        <f ca="1">Working!M364</f>
        <v>345.83264685641035</v>
      </c>
      <c r="N51" s="985">
        <f ca="1">Working!N364</f>
        <v>393.76376036168125</v>
      </c>
      <c r="O51" s="985">
        <f ca="1">Working!O364</f>
        <v>442.06153937875285</v>
      </c>
      <c r="P51" s="985">
        <f ca="1">Working!P364</f>
        <v>490.70359404704186</v>
      </c>
      <c r="Q51" s="985">
        <f ca="1">Working!Q364</f>
        <v>539.66506412729359</v>
      </c>
      <c r="R51" s="985">
        <f ca="1">Working!R364</f>
        <v>588.91850835831872</v>
      </c>
      <c r="S51" s="985">
        <f ca="1">Working!S364</f>
        <v>638.43378787483357</v>
      </c>
      <c r="T51" s="985">
        <f ca="1">Working!T364</f>
        <v>688.17794338030899</v>
      </c>
      <c r="U51" s="985">
        <f ca="1">Working!U364</f>
        <v>760.6945716561022</v>
      </c>
      <c r="V51" s="985">
        <f ca="1">Working!V364</f>
        <v>860.1966750270301</v>
      </c>
      <c r="W51" s="985">
        <f ca="1">Working!W364</f>
        <v>956.9283775957125</v>
      </c>
      <c r="X51" s="985">
        <f ca="1">Working!X364</f>
        <v>1050.8440735370325</v>
      </c>
      <c r="Y51" s="985">
        <f ca="1">Working!Y364</f>
        <v>1141.2540189773056</v>
      </c>
      <c r="Z51" s="985">
        <f ca="1">Working!Z364</f>
        <v>1220.219339456956</v>
      </c>
      <c r="AA51" s="985">
        <f ca="1">Working!AA364</f>
        <v>1296.3833763640969</v>
      </c>
      <c r="AB51" s="985">
        <f ca="1">Working!AB364</f>
        <v>1369.6888591347902</v>
      </c>
      <c r="AC51" s="985">
        <f ca="1">Working!AC364</f>
        <v>1440.0744996241808</v>
      </c>
      <c r="AD51" s="985">
        <f ca="1">Working!AD364</f>
        <v>1507.4747980261684</v>
      </c>
      <c r="AE51" s="985">
        <f ca="1">Working!AE364</f>
        <v>1547.9432883491102</v>
      </c>
    </row>
    <row r="52" spans="1:31" ht="15" thickTop="1" x14ac:dyDescent="0.35">
      <c r="A52" s="5"/>
      <c r="B52" s="5"/>
      <c r="C52" s="198"/>
      <c r="D52" s="759"/>
      <c r="E52" s="759"/>
      <c r="F52" s="759"/>
      <c r="G52" s="759"/>
      <c r="H52" s="759"/>
      <c r="I52" s="759"/>
      <c r="J52" s="759"/>
      <c r="K52" s="759"/>
      <c r="L52" s="759"/>
      <c r="M52" s="759"/>
      <c r="N52" s="759"/>
      <c r="O52" s="759"/>
      <c r="P52" s="759"/>
      <c r="Q52" s="759"/>
      <c r="R52" s="759"/>
      <c r="S52" s="759"/>
      <c r="T52" s="759"/>
      <c r="U52" s="759"/>
      <c r="V52" s="759"/>
      <c r="W52" s="759"/>
      <c r="X52" s="759"/>
      <c r="Y52" s="759"/>
      <c r="Z52" s="759"/>
      <c r="AA52" s="759"/>
      <c r="AB52" s="759"/>
      <c r="AC52" s="759"/>
      <c r="AD52" s="759"/>
      <c r="AE52" s="759"/>
    </row>
    <row r="53" spans="1:31" x14ac:dyDescent="0.35">
      <c r="A53" s="248" t="s">
        <v>102</v>
      </c>
      <c r="B53" s="249"/>
      <c r="C53" s="250"/>
      <c r="D53" s="250"/>
      <c r="E53" s="250"/>
      <c r="F53" s="250"/>
      <c r="G53" s="250"/>
      <c r="H53" s="250"/>
      <c r="I53" s="250"/>
      <c r="J53" s="250"/>
      <c r="K53" s="250"/>
      <c r="L53" s="250"/>
      <c r="M53" s="250"/>
      <c r="N53" s="250"/>
      <c r="O53" s="250"/>
      <c r="P53" s="250"/>
      <c r="Q53" s="250"/>
      <c r="R53" s="250"/>
      <c r="S53" s="250"/>
      <c r="T53" s="250"/>
      <c r="U53" s="250"/>
      <c r="V53" s="250"/>
      <c r="W53" s="250"/>
      <c r="X53" s="250"/>
      <c r="Y53" s="250"/>
      <c r="Z53" s="250"/>
      <c r="AA53" s="250"/>
      <c r="AB53" s="250"/>
      <c r="AC53" s="250"/>
      <c r="AD53" s="250"/>
      <c r="AE53" s="250"/>
    </row>
    <row r="54" spans="1:31" x14ac:dyDescent="0.35">
      <c r="A54" s="259" t="s">
        <v>101</v>
      </c>
      <c r="B54" s="260"/>
      <c r="C54" s="261"/>
      <c r="D54" s="261"/>
      <c r="E54" s="261"/>
      <c r="F54" s="261"/>
      <c r="G54" s="261"/>
      <c r="H54" s="261"/>
      <c r="I54" s="261"/>
      <c r="J54" s="261"/>
      <c r="K54" s="261"/>
      <c r="L54" s="261"/>
      <c r="M54" s="261"/>
      <c r="N54" s="261"/>
      <c r="O54" s="261"/>
      <c r="P54" s="261"/>
      <c r="Q54" s="261"/>
      <c r="R54" s="261"/>
      <c r="S54" s="261"/>
      <c r="T54" s="261"/>
      <c r="U54" s="261"/>
      <c r="V54" s="261"/>
      <c r="W54" s="261"/>
      <c r="X54" s="261"/>
      <c r="Y54" s="261"/>
      <c r="Z54" s="261"/>
      <c r="AA54" s="261"/>
      <c r="AB54" s="261"/>
      <c r="AC54" s="261"/>
      <c r="AD54" s="261"/>
      <c r="AE54" s="261"/>
    </row>
    <row r="55" spans="1:31" x14ac:dyDescent="0.35">
      <c r="A55" s="5"/>
      <c r="B55" s="5" t="s">
        <v>100</v>
      </c>
      <c r="C55" s="198" t="s">
        <v>11</v>
      </c>
      <c r="D55" s="759">
        <f>Working!D368</f>
        <v>0</v>
      </c>
      <c r="E55" s="759">
        <f>Working!E368</f>
        <v>0</v>
      </c>
      <c r="F55" s="759">
        <f ca="1">Working!F368</f>
        <v>1242.5620324251017</v>
      </c>
      <c r="G55" s="759">
        <f ca="1">Working!G368</f>
        <v>1242.5620324251017</v>
      </c>
      <c r="H55" s="759">
        <f ca="1">Working!H368</f>
        <v>1242.5620324251017</v>
      </c>
      <c r="I55" s="759">
        <f ca="1">Working!I368</f>
        <v>1242.5620324251017</v>
      </c>
      <c r="J55" s="759">
        <f ca="1">Working!J368</f>
        <v>1242.5620324251017</v>
      </c>
      <c r="K55" s="759">
        <f ca="1">Working!K368</f>
        <v>1242.5620324251017</v>
      </c>
      <c r="L55" s="759">
        <f ca="1">Working!L368</f>
        <v>1242.5620324251017</v>
      </c>
      <c r="M55" s="759">
        <f ca="1">Working!M368</f>
        <v>1242.5620324251017</v>
      </c>
      <c r="N55" s="759">
        <f ca="1">Working!N368</f>
        <v>1242.5620324251017</v>
      </c>
      <c r="O55" s="759">
        <f ca="1">Working!O368</f>
        <v>1242.5620324251017</v>
      </c>
      <c r="P55" s="759">
        <f ca="1">Working!P368</f>
        <v>1242.5620324251017</v>
      </c>
      <c r="Q55" s="759">
        <f ca="1">Working!Q368</f>
        <v>1242.5620324251017</v>
      </c>
      <c r="R55" s="759">
        <f ca="1">Working!R368</f>
        <v>1242.5620324251017</v>
      </c>
      <c r="S55" s="759">
        <f ca="1">Working!S368</f>
        <v>1242.5620324251017</v>
      </c>
      <c r="T55" s="759">
        <f ca="1">Working!T368</f>
        <v>1242.5620324251017</v>
      </c>
      <c r="U55" s="759">
        <f ca="1">Working!U368</f>
        <v>1242.5620324251017</v>
      </c>
      <c r="V55" s="759">
        <f ca="1">Working!V368</f>
        <v>1242.5620324251017</v>
      </c>
      <c r="W55" s="759">
        <f ca="1">Working!W368</f>
        <v>1242.5620324251017</v>
      </c>
      <c r="X55" s="759">
        <f ca="1">Working!X368</f>
        <v>1242.5620324251017</v>
      </c>
      <c r="Y55" s="759">
        <f ca="1">Working!Y368</f>
        <v>1242.5620324251017</v>
      </c>
      <c r="Z55" s="759">
        <f ca="1">Working!Z368</f>
        <v>1242.5620324251017</v>
      </c>
      <c r="AA55" s="759">
        <f ca="1">Working!AA368</f>
        <v>1242.5620324251017</v>
      </c>
      <c r="AB55" s="759">
        <f ca="1">Working!AB368</f>
        <v>1242.5620324251017</v>
      </c>
      <c r="AC55" s="759">
        <f ca="1">Working!AC368</f>
        <v>1242.5620324251017</v>
      </c>
      <c r="AD55" s="759">
        <f ca="1">Working!AD368</f>
        <v>1242.5620324251017</v>
      </c>
      <c r="AE55" s="759">
        <f ca="1">Working!AE368</f>
        <v>1242.5620324251017</v>
      </c>
    </row>
    <row r="56" spans="1:31" x14ac:dyDescent="0.35">
      <c r="A56" s="5"/>
      <c r="B56" s="5" t="s">
        <v>99</v>
      </c>
      <c r="C56" s="198" t="s">
        <v>11</v>
      </c>
      <c r="D56" s="759">
        <f>Working!D369</f>
        <v>0</v>
      </c>
      <c r="E56" s="759">
        <f>Working!E369</f>
        <v>0</v>
      </c>
      <c r="F56" s="759">
        <f ca="1">Working!F369</f>
        <v>28.934333529846327</v>
      </c>
      <c r="G56" s="759">
        <f ca="1">Working!G369</f>
        <v>86.961980444098572</v>
      </c>
      <c r="H56" s="759">
        <f ca="1">Working!H369</f>
        <v>144.98962735835082</v>
      </c>
      <c r="I56" s="759">
        <f ca="1">Working!I369</f>
        <v>203.01727427260306</v>
      </c>
      <c r="J56" s="759">
        <f ca="1">Working!J369</f>
        <v>261.04492118685533</v>
      </c>
      <c r="K56" s="759">
        <f ca="1">Working!K369</f>
        <v>319.07256810110761</v>
      </c>
      <c r="L56" s="759">
        <f ca="1">Working!L369</f>
        <v>377.10021501535988</v>
      </c>
      <c r="M56" s="759">
        <f ca="1">Working!M369</f>
        <v>435.12786192961215</v>
      </c>
      <c r="N56" s="759">
        <f ca="1">Working!N369</f>
        <v>493.15550884386442</v>
      </c>
      <c r="O56" s="759">
        <f ca="1">Working!O369</f>
        <v>551.18315575811664</v>
      </c>
      <c r="P56" s="759">
        <f ca="1">Working!P369</f>
        <v>609.21080267236891</v>
      </c>
      <c r="Q56" s="759">
        <f ca="1">Working!Q369</f>
        <v>667.23844958662119</v>
      </c>
      <c r="R56" s="759">
        <f ca="1">Working!R369</f>
        <v>725.26609650087346</v>
      </c>
      <c r="S56" s="759">
        <f ca="1">Working!S369</f>
        <v>783.29374341512573</v>
      </c>
      <c r="T56" s="759">
        <f ca="1">Working!T369</f>
        <v>841.321390329378</v>
      </c>
      <c r="U56" s="759">
        <f ca="1">Working!U369</f>
        <v>866.17263097788009</v>
      </c>
      <c r="V56" s="759">
        <f ca="1">Working!V369</f>
        <v>891.02387162638217</v>
      </c>
      <c r="W56" s="759">
        <f ca="1">Working!W369</f>
        <v>915.87511227488426</v>
      </c>
      <c r="X56" s="759">
        <f ca="1">Working!X369</f>
        <v>940.72635292338634</v>
      </c>
      <c r="Y56" s="759">
        <f ca="1">Working!Y369</f>
        <v>965.57759357188843</v>
      </c>
      <c r="Z56" s="759">
        <f ca="1">Working!Z369</f>
        <v>990.42883422039051</v>
      </c>
      <c r="AA56" s="759">
        <f ca="1">Working!AA369</f>
        <v>1015.2800748688926</v>
      </c>
      <c r="AB56" s="759">
        <f ca="1">Working!AB369</f>
        <v>1040.1313155173946</v>
      </c>
      <c r="AC56" s="759">
        <f ca="1">Working!AC369</f>
        <v>1064.9825561658965</v>
      </c>
      <c r="AD56" s="759">
        <f ca="1">Working!AD369</f>
        <v>1089.8337968143985</v>
      </c>
      <c r="AE56" s="759">
        <f ca="1">Working!AE369</f>
        <v>1102.2594171386495</v>
      </c>
    </row>
    <row r="57" spans="1:31" x14ac:dyDescent="0.35">
      <c r="A57" s="5"/>
      <c r="B57" s="217" t="s">
        <v>98</v>
      </c>
      <c r="C57" s="200" t="s">
        <v>11</v>
      </c>
      <c r="D57" s="760">
        <f>Working!D370</f>
        <v>0</v>
      </c>
      <c r="E57" s="760">
        <f>Working!E370</f>
        <v>0</v>
      </c>
      <c r="F57" s="760">
        <f ca="1">Working!F370</f>
        <v>1213.6276988952554</v>
      </c>
      <c r="G57" s="760">
        <f ca="1">Working!G370</f>
        <v>1155.6000519810032</v>
      </c>
      <c r="H57" s="760">
        <f ca="1">Working!H370</f>
        <v>1097.5724050667509</v>
      </c>
      <c r="I57" s="760">
        <f ca="1">Working!I370</f>
        <v>1039.5447581524986</v>
      </c>
      <c r="J57" s="760">
        <f ca="1">Working!J370</f>
        <v>981.51711123824634</v>
      </c>
      <c r="K57" s="760">
        <f ca="1">Working!K370</f>
        <v>923.48946432399407</v>
      </c>
      <c r="L57" s="760">
        <f ca="1">Working!L370</f>
        <v>865.4618174097418</v>
      </c>
      <c r="M57" s="760">
        <f ca="1">Working!M370</f>
        <v>807.43417049548952</v>
      </c>
      <c r="N57" s="760">
        <f ca="1">Working!N370</f>
        <v>749.40652358123725</v>
      </c>
      <c r="O57" s="760">
        <f ca="1">Working!O370</f>
        <v>691.37887666698509</v>
      </c>
      <c r="P57" s="760">
        <f ca="1">Working!P370</f>
        <v>633.35122975273282</v>
      </c>
      <c r="Q57" s="760">
        <f ca="1">Working!Q370</f>
        <v>575.32358283848055</v>
      </c>
      <c r="R57" s="760">
        <f ca="1">Working!R370</f>
        <v>517.29593592422827</v>
      </c>
      <c r="S57" s="760">
        <f ca="1">Working!S370</f>
        <v>459.268289009976</v>
      </c>
      <c r="T57" s="760">
        <f ca="1">Working!T370</f>
        <v>401.24064209572373</v>
      </c>
      <c r="U57" s="760">
        <f ca="1">Working!U370</f>
        <v>376.38940144722164</v>
      </c>
      <c r="V57" s="760">
        <f ca="1">Working!V370</f>
        <v>351.53816079871956</v>
      </c>
      <c r="W57" s="760">
        <f ca="1">Working!W370</f>
        <v>326.68692015021747</v>
      </c>
      <c r="X57" s="760">
        <f ca="1">Working!X370</f>
        <v>301.83567950171539</v>
      </c>
      <c r="Y57" s="760">
        <f ca="1">Working!Y370</f>
        <v>276.98443885321331</v>
      </c>
      <c r="Z57" s="760">
        <f ca="1">Working!Z370</f>
        <v>252.13319820471122</v>
      </c>
      <c r="AA57" s="760">
        <f ca="1">Working!AA370</f>
        <v>227.28195755620914</v>
      </c>
      <c r="AB57" s="760">
        <f ca="1">Working!AB370</f>
        <v>202.43071690770716</v>
      </c>
      <c r="AC57" s="760">
        <f ca="1">Working!AC370</f>
        <v>177.57947625920519</v>
      </c>
      <c r="AD57" s="760">
        <f ca="1">Working!AD370</f>
        <v>152.72823561070322</v>
      </c>
      <c r="AE57" s="760">
        <f ca="1">Working!AE370</f>
        <v>140.30261528645224</v>
      </c>
    </row>
    <row r="58" spans="1:31" x14ac:dyDescent="0.35">
      <c r="A58" s="5"/>
      <c r="B58" s="217" t="s">
        <v>97</v>
      </c>
      <c r="C58" s="200" t="s">
        <v>11</v>
      </c>
      <c r="D58" s="760">
        <f>Working!D371</f>
        <v>0</v>
      </c>
      <c r="E58" s="760">
        <f ca="1">Working!E371</f>
        <v>582.04857646593382</v>
      </c>
      <c r="F58" s="760">
        <f ca="1">Working!F371</f>
        <v>0</v>
      </c>
      <c r="G58" s="760">
        <f ca="1">Working!G371</f>
        <v>0</v>
      </c>
      <c r="H58" s="760">
        <f ca="1">Working!H371</f>
        <v>0</v>
      </c>
      <c r="I58" s="760">
        <f ca="1">Working!I371</f>
        <v>0</v>
      </c>
      <c r="J58" s="760">
        <f ca="1">Working!J371</f>
        <v>0</v>
      </c>
      <c r="K58" s="760">
        <f ca="1">Working!K371</f>
        <v>0</v>
      </c>
      <c r="L58" s="760">
        <f ca="1">Working!L371</f>
        <v>0</v>
      </c>
      <c r="M58" s="760">
        <f ca="1">Working!M371</f>
        <v>0</v>
      </c>
      <c r="N58" s="760">
        <f ca="1">Working!N371</f>
        <v>0</v>
      </c>
      <c r="O58" s="760">
        <f ca="1">Working!O371</f>
        <v>0</v>
      </c>
      <c r="P58" s="760">
        <f ca="1">Working!P371</f>
        <v>0</v>
      </c>
      <c r="Q58" s="760">
        <f ca="1">Working!Q371</f>
        <v>0</v>
      </c>
      <c r="R58" s="760">
        <f ca="1">Working!R371</f>
        <v>0</v>
      </c>
      <c r="S58" s="760">
        <f ca="1">Working!S371</f>
        <v>0</v>
      </c>
      <c r="T58" s="760">
        <f ca="1">Working!T371</f>
        <v>0</v>
      </c>
      <c r="U58" s="760">
        <f ca="1">Working!U371</f>
        <v>0</v>
      </c>
      <c r="V58" s="760">
        <f ca="1">Working!V371</f>
        <v>0</v>
      </c>
      <c r="W58" s="760">
        <f ca="1">Working!W371</f>
        <v>0</v>
      </c>
      <c r="X58" s="760">
        <f ca="1">Working!X371</f>
        <v>0</v>
      </c>
      <c r="Y58" s="760">
        <f ca="1">Working!Y371</f>
        <v>0</v>
      </c>
      <c r="Z58" s="760">
        <f ca="1">Working!Z371</f>
        <v>0</v>
      </c>
      <c r="AA58" s="760">
        <f ca="1">Working!AA371</f>
        <v>0</v>
      </c>
      <c r="AB58" s="760">
        <f ca="1">Working!AB371</f>
        <v>0</v>
      </c>
      <c r="AC58" s="760">
        <f ca="1">Working!AC371</f>
        <v>0</v>
      </c>
      <c r="AD58" s="760">
        <f ca="1">Working!AD371</f>
        <v>0</v>
      </c>
      <c r="AE58" s="760">
        <f ca="1">Working!AE371</f>
        <v>0</v>
      </c>
    </row>
    <row r="59" spans="1:31" x14ac:dyDescent="0.35">
      <c r="A59" s="5"/>
      <c r="B59" s="217"/>
      <c r="C59" s="198"/>
      <c r="D59" s="759"/>
      <c r="E59" s="759"/>
      <c r="F59" s="759"/>
      <c r="G59" s="759"/>
      <c r="H59" s="759"/>
      <c r="I59" s="759"/>
      <c r="J59" s="759"/>
      <c r="K59" s="759"/>
      <c r="L59" s="759"/>
      <c r="M59" s="759"/>
      <c r="N59" s="759"/>
      <c r="O59" s="759"/>
      <c r="P59" s="759"/>
      <c r="Q59" s="759"/>
      <c r="R59" s="759"/>
      <c r="S59" s="759"/>
      <c r="T59" s="759"/>
      <c r="U59" s="759"/>
      <c r="V59" s="759"/>
      <c r="W59" s="759"/>
      <c r="X59" s="759"/>
      <c r="Y59" s="759"/>
      <c r="Z59" s="759"/>
      <c r="AA59" s="759"/>
      <c r="AB59" s="759"/>
      <c r="AC59" s="759"/>
      <c r="AD59" s="759"/>
      <c r="AE59" s="759"/>
    </row>
    <row r="60" spans="1:31" x14ac:dyDescent="0.35">
      <c r="A60" s="5"/>
      <c r="B60" s="5" t="s">
        <v>96</v>
      </c>
      <c r="C60" s="198" t="s">
        <v>11</v>
      </c>
      <c r="D60" s="759">
        <f>Working!D373</f>
        <v>0</v>
      </c>
      <c r="E60" s="759">
        <f>Working!E373</f>
        <v>0</v>
      </c>
      <c r="F60" s="759">
        <f ca="1">Working!F373</f>
        <v>25.678932309182528</v>
      </c>
      <c r="G60" s="759">
        <f ca="1">Working!G373</f>
        <v>25.485319373725517</v>
      </c>
      <c r="H60" s="759">
        <f ca="1">Working!H373</f>
        <v>25.374104580836637</v>
      </c>
      <c r="I60" s="759">
        <f ca="1">Working!I373</f>
        <v>25.274737418524818</v>
      </c>
      <c r="J60" s="759">
        <f ca="1">Working!J373</f>
        <v>25.187602652156112</v>
      </c>
      <c r="K60" s="759">
        <f ca="1">Working!K373</f>
        <v>25.11310760366964</v>
      </c>
      <c r="L60" s="759">
        <f ca="1">Working!L373</f>
        <v>25.051683283381664</v>
      </c>
      <c r="M60" s="759">
        <f ca="1">Working!M373</f>
        <v>25.003785580998894</v>
      </c>
      <c r="N60" s="759">
        <f ca="1">Working!N373</f>
        <v>24.969896518919562</v>
      </c>
      <c r="O60" s="759">
        <f ca="1">Working!O373</f>
        <v>24.950525571061515</v>
      </c>
      <c r="P60" s="759">
        <f ca="1">Working!P373</f>
        <v>24.946211050625731</v>
      </c>
      <c r="Q60" s="759">
        <f ca="1">Working!Q373</f>
        <v>24.957521570381704</v>
      </c>
      <c r="R60" s="759">
        <f ca="1">Working!R373</f>
        <v>24.985057579248398</v>
      </c>
      <c r="S60" s="759">
        <f ca="1">Working!S373</f>
        <v>25.029452979141752</v>
      </c>
      <c r="T60" s="759">
        <f ca="1">Working!T373</f>
        <v>25.091376826266856</v>
      </c>
      <c r="U60" s="759">
        <f ca="1">Working!U373</f>
        <v>25.171535121251619</v>
      </c>
      <c r="V60" s="759">
        <f ca="1">Working!V373</f>
        <v>25.270672692747812</v>
      </c>
      <c r="W60" s="759">
        <f ca="1">Working!W373</f>
        <v>25.389575179367842</v>
      </c>
      <c r="X60" s="759">
        <f ca="1">Working!X373</f>
        <v>25.529071115079187</v>
      </c>
      <c r="Y60" s="759">
        <f ca="1">Working!Y373</f>
        <v>25.690034123446686</v>
      </c>
      <c r="Z60" s="759">
        <f ca="1">Working!Z373</f>
        <v>25.87338522639406</v>
      </c>
      <c r="AA60" s="759">
        <f ca="1">Working!AA373</f>
        <v>26.080095273452727</v>
      </c>
      <c r="AB60" s="759">
        <f ca="1">Working!AB373</f>
        <v>26.311187497777702</v>
      </c>
      <c r="AC60" s="759">
        <f ca="1">Working!AC373</f>
        <v>26.567740205538644</v>
      </c>
      <c r="AD60" s="759">
        <f ca="1">Working!AD373</f>
        <v>26.850889605639324</v>
      </c>
      <c r="AE60" s="759">
        <f ca="1">Working!AE373</f>
        <v>30.056980612281723</v>
      </c>
    </row>
    <row r="61" spans="1:31" x14ac:dyDescent="0.35">
      <c r="A61" s="5"/>
      <c r="B61" s="5" t="s">
        <v>223</v>
      </c>
      <c r="C61" s="198" t="s">
        <v>11</v>
      </c>
      <c r="D61" s="759">
        <f>Working!D374</f>
        <v>0</v>
      </c>
      <c r="E61" s="759">
        <f ca="1">Working!E374</f>
        <v>0</v>
      </c>
      <c r="F61" s="759">
        <f ca="1">Working!F374</f>
        <v>0</v>
      </c>
      <c r="G61" s="759">
        <f ca="1">Working!G374</f>
        <v>0</v>
      </c>
      <c r="H61" s="759">
        <f ca="1">Working!H374</f>
        <v>0</v>
      </c>
      <c r="I61" s="759">
        <f ca="1">Working!I374</f>
        <v>0</v>
      </c>
      <c r="J61" s="759">
        <f ca="1">Working!J374</f>
        <v>0</v>
      </c>
      <c r="K61" s="759">
        <f ca="1">Working!K374</f>
        <v>0</v>
      </c>
      <c r="L61" s="759">
        <f ca="1">Working!L374</f>
        <v>0</v>
      </c>
      <c r="M61" s="759">
        <f ca="1">Working!M374</f>
        <v>0</v>
      </c>
      <c r="N61" s="759">
        <f ca="1">Working!N374</f>
        <v>0</v>
      </c>
      <c r="O61" s="759">
        <f ca="1">Working!O374</f>
        <v>0</v>
      </c>
      <c r="P61" s="759">
        <f ca="1">Working!P374</f>
        <v>0</v>
      </c>
      <c r="Q61" s="759">
        <f ca="1">Working!Q374</f>
        <v>0</v>
      </c>
      <c r="R61" s="759">
        <f ca="1">Working!R374</f>
        <v>0</v>
      </c>
      <c r="S61" s="759">
        <f ca="1">Working!S374</f>
        <v>0</v>
      </c>
      <c r="T61" s="759">
        <f ca="1">Working!T374</f>
        <v>0</v>
      </c>
      <c r="U61" s="759">
        <f ca="1">Working!U374</f>
        <v>0</v>
      </c>
      <c r="V61" s="759">
        <f ca="1">Working!V374</f>
        <v>0</v>
      </c>
      <c r="W61" s="759">
        <f ca="1">Working!W374</f>
        <v>0</v>
      </c>
      <c r="X61" s="759">
        <f ca="1">Working!X374</f>
        <v>0</v>
      </c>
      <c r="Y61" s="759">
        <f ca="1">Working!Y374</f>
        <v>0</v>
      </c>
      <c r="Z61" s="759">
        <f ca="1">Working!Z374</f>
        <v>0</v>
      </c>
      <c r="AA61" s="759">
        <f ca="1">Working!AA374</f>
        <v>0</v>
      </c>
      <c r="AB61" s="759">
        <f ca="1">Working!AB374</f>
        <v>0</v>
      </c>
      <c r="AC61" s="759">
        <f ca="1">Working!AC374</f>
        <v>0</v>
      </c>
      <c r="AD61" s="759">
        <f ca="1">Working!AD374</f>
        <v>0</v>
      </c>
      <c r="AE61" s="759">
        <f ca="1">Working!AE374</f>
        <v>0</v>
      </c>
    </row>
    <row r="62" spans="1:31" x14ac:dyDescent="0.35">
      <c r="A62" s="5"/>
      <c r="B62" s="5" t="s">
        <v>95</v>
      </c>
      <c r="C62" s="198" t="s">
        <v>11</v>
      </c>
      <c r="D62" s="759">
        <f>Working!D375</f>
        <v>0</v>
      </c>
      <c r="E62" s="759">
        <f ca="1">Working!E375</f>
        <v>0</v>
      </c>
      <c r="F62" s="759">
        <f ca="1">Working!F375</f>
        <v>21.971837714014441</v>
      </c>
      <c r="G62" s="759">
        <f ca="1">Working!G375</f>
        <v>66.913867783118505</v>
      </c>
      <c r="H62" s="759">
        <f ca="1">Working!H375</f>
        <v>112.3005681559858</v>
      </c>
      <c r="I62" s="759">
        <f ca="1">Working!I375</f>
        <v>158.14191333196987</v>
      </c>
      <c r="J62" s="759">
        <f ca="1">Working!J375</f>
        <v>204.42830989965671</v>
      </c>
      <c r="K62" s="759">
        <f ca="1">Working!K375</f>
        <v>251.14824853029012</v>
      </c>
      <c r="L62" s="759">
        <f ca="1">Working!L375</f>
        <v>298.28822334011602</v>
      </c>
      <c r="M62" s="759">
        <f ca="1">Working!M375</f>
        <v>345.83264685641035</v>
      </c>
      <c r="N62" s="759">
        <f ca="1">Working!N375</f>
        <v>393.76376036168125</v>
      </c>
      <c r="O62" s="759">
        <f ca="1">Working!O375</f>
        <v>442.06153937875285</v>
      </c>
      <c r="P62" s="759">
        <f ca="1">Working!P375</f>
        <v>490.70359404704186</v>
      </c>
      <c r="Q62" s="759">
        <f ca="1">Working!Q375</f>
        <v>539.66506412729359</v>
      </c>
      <c r="R62" s="759">
        <f ca="1">Working!R375</f>
        <v>588.91850835831872</v>
      </c>
      <c r="S62" s="759">
        <f ca="1">Working!S375</f>
        <v>638.43378787483357</v>
      </c>
      <c r="T62" s="759">
        <f ca="1">Working!T375</f>
        <v>688.17794338030899</v>
      </c>
      <c r="U62" s="759">
        <f ca="1">Working!U375</f>
        <v>760.6945716561022</v>
      </c>
      <c r="V62" s="759">
        <f ca="1">Working!V375</f>
        <v>860.1966750270301</v>
      </c>
      <c r="W62" s="759">
        <f ca="1">Working!W375</f>
        <v>956.9283775957125</v>
      </c>
      <c r="X62" s="759">
        <f ca="1">Working!X375</f>
        <v>1050.8440735370325</v>
      </c>
      <c r="Y62" s="759">
        <f ca="1">Working!Y375</f>
        <v>1141.2540189773056</v>
      </c>
      <c r="Z62" s="759">
        <f ca="1">Working!Z375</f>
        <v>1220.219339456956</v>
      </c>
      <c r="AA62" s="759">
        <f ca="1">Working!AA375</f>
        <v>1296.3833763640969</v>
      </c>
      <c r="AB62" s="759">
        <f ca="1">Working!AB375</f>
        <v>1369.6888591347902</v>
      </c>
      <c r="AC62" s="759">
        <f ca="1">Working!AC375</f>
        <v>1440.0744996241808</v>
      </c>
      <c r="AD62" s="759">
        <f ca="1">Working!AD375</f>
        <v>1507.4747980261684</v>
      </c>
      <c r="AE62" s="759">
        <f ca="1">Working!AE375</f>
        <v>1547.9432883491102</v>
      </c>
    </row>
    <row r="63" spans="1:31" x14ac:dyDescent="0.35">
      <c r="A63" s="5"/>
      <c r="B63" s="5"/>
      <c r="C63" s="198"/>
      <c r="D63" s="759"/>
      <c r="E63" s="759"/>
      <c r="F63" s="759"/>
      <c r="G63" s="759"/>
      <c r="H63" s="759"/>
      <c r="I63" s="759"/>
      <c r="J63" s="759"/>
      <c r="K63" s="759"/>
      <c r="L63" s="759"/>
      <c r="M63" s="759"/>
      <c r="N63" s="759"/>
      <c r="O63" s="759"/>
      <c r="P63" s="759"/>
      <c r="Q63" s="759"/>
      <c r="R63" s="759"/>
      <c r="S63" s="759"/>
      <c r="T63" s="759"/>
      <c r="U63" s="759"/>
      <c r="V63" s="759"/>
      <c r="W63" s="759"/>
      <c r="X63" s="759"/>
      <c r="Y63" s="759"/>
      <c r="Z63" s="759"/>
      <c r="AA63" s="759"/>
      <c r="AB63" s="759"/>
      <c r="AC63" s="759"/>
      <c r="AD63" s="759"/>
      <c r="AE63" s="759"/>
    </row>
    <row r="64" spans="1:31" ht="15" thickBot="1" x14ac:dyDescent="0.4">
      <c r="A64" s="5"/>
      <c r="B64" s="986" t="s">
        <v>94</v>
      </c>
      <c r="C64" s="987" t="s">
        <v>11</v>
      </c>
      <c r="D64" s="985">
        <f>Working!D377</f>
        <v>0</v>
      </c>
      <c r="E64" s="985">
        <f ca="1">Working!E377</f>
        <v>582.04857646593382</v>
      </c>
      <c r="F64" s="985">
        <f ca="1">Working!F377</f>
        <v>1261.2784689184523</v>
      </c>
      <c r="G64" s="985">
        <f ca="1">Working!G377</f>
        <v>1247.9992391378473</v>
      </c>
      <c r="H64" s="985">
        <f ca="1">Working!H377</f>
        <v>1235.2470778035733</v>
      </c>
      <c r="I64" s="985">
        <f ca="1">Working!I377</f>
        <v>1222.9614089029933</v>
      </c>
      <c r="J64" s="985">
        <f ca="1">Working!J377</f>
        <v>1211.1330237900593</v>
      </c>
      <c r="K64" s="985">
        <f ca="1">Working!K377</f>
        <v>1199.7508204579538</v>
      </c>
      <c r="L64" s="985">
        <f ca="1">Working!L377</f>
        <v>1188.8017240332395</v>
      </c>
      <c r="M64" s="985">
        <f ca="1">Working!M377</f>
        <v>1178.2706029328988</v>
      </c>
      <c r="N64" s="985">
        <f ca="1">Working!N377</f>
        <v>1168.1401804618381</v>
      </c>
      <c r="O64" s="985">
        <f ca="1">Working!O377</f>
        <v>1158.3909416167994</v>
      </c>
      <c r="P64" s="985">
        <f ca="1">Working!P377</f>
        <v>1149.0010348504004</v>
      </c>
      <c r="Q64" s="985">
        <f ca="1">Working!Q377</f>
        <v>1139.9461685361557</v>
      </c>
      <c r="R64" s="985">
        <f ca="1">Working!R377</f>
        <v>1131.1995018617954</v>
      </c>
      <c r="S64" s="985">
        <f ca="1">Working!S377</f>
        <v>1122.7315298639514</v>
      </c>
      <c r="T64" s="985">
        <f ca="1">Working!T377</f>
        <v>1114.5099623022995</v>
      </c>
      <c r="U64" s="985">
        <f ca="1">Working!U377</f>
        <v>1162.2555082245754</v>
      </c>
      <c r="V64" s="985">
        <f ca="1">Working!V377</f>
        <v>1237.0055085184974</v>
      </c>
      <c r="W64" s="985">
        <f ca="1">Working!W377</f>
        <v>1309.0048729252978</v>
      </c>
      <c r="X64" s="985">
        <f ca="1">Working!X377</f>
        <v>1378.2088241538272</v>
      </c>
      <c r="Y64" s="985">
        <f ca="1">Working!Y377</f>
        <v>1443.9284919539655</v>
      </c>
      <c r="Z64" s="985">
        <f ca="1">Working!Z377</f>
        <v>1498.2259228880614</v>
      </c>
      <c r="AA64" s="985">
        <f ca="1">Working!AA377</f>
        <v>1549.7454291937588</v>
      </c>
      <c r="AB64" s="985">
        <f ca="1">Working!AB377</f>
        <v>1598.4307635402749</v>
      </c>
      <c r="AC64" s="985">
        <f ca="1">Working!AC377</f>
        <v>1644.2217160889247</v>
      </c>
      <c r="AD64" s="985">
        <f ca="1">Working!AD377</f>
        <v>1687.053923242511</v>
      </c>
      <c r="AE64" s="985">
        <f ca="1">Working!AE377</f>
        <v>1718.3028842478441</v>
      </c>
    </row>
    <row r="65" spans="1:31" ht="15" thickTop="1" x14ac:dyDescent="0.35">
      <c r="A65" s="5"/>
      <c r="B65" s="5"/>
      <c r="C65" s="198"/>
      <c r="D65" s="759"/>
      <c r="E65" s="759"/>
      <c r="F65" s="759"/>
      <c r="G65" s="759"/>
      <c r="H65" s="759"/>
      <c r="I65" s="759"/>
      <c r="J65" s="759"/>
      <c r="K65" s="759"/>
      <c r="L65" s="759"/>
      <c r="M65" s="759"/>
      <c r="N65" s="759"/>
      <c r="O65" s="759"/>
      <c r="P65" s="759"/>
      <c r="Q65" s="759"/>
      <c r="R65" s="759"/>
      <c r="S65" s="759"/>
      <c r="T65" s="759"/>
      <c r="U65" s="759"/>
      <c r="V65" s="759"/>
      <c r="W65" s="759"/>
      <c r="X65" s="759"/>
      <c r="Y65" s="759"/>
      <c r="Z65" s="759"/>
      <c r="AA65" s="759"/>
      <c r="AB65" s="759"/>
      <c r="AC65" s="759"/>
      <c r="AD65" s="759"/>
      <c r="AE65" s="759"/>
    </row>
    <row r="66" spans="1:31" x14ac:dyDescent="0.35">
      <c r="A66" s="259" t="s">
        <v>1084</v>
      </c>
      <c r="B66" s="260"/>
      <c r="C66" s="261"/>
      <c r="D66" s="261"/>
      <c r="E66" s="261"/>
      <c r="F66" s="261"/>
      <c r="G66" s="261"/>
      <c r="H66" s="261"/>
      <c r="I66" s="261"/>
      <c r="J66" s="261"/>
      <c r="K66" s="261"/>
      <c r="L66" s="261"/>
      <c r="M66" s="261"/>
      <c r="N66" s="261"/>
      <c r="O66" s="261"/>
      <c r="P66" s="261"/>
      <c r="Q66" s="261"/>
      <c r="R66" s="261"/>
      <c r="S66" s="261"/>
      <c r="T66" s="261"/>
      <c r="U66" s="261"/>
      <c r="V66" s="261"/>
      <c r="W66" s="261"/>
      <c r="X66" s="261"/>
      <c r="Y66" s="261"/>
      <c r="Z66" s="261"/>
      <c r="AA66" s="261"/>
      <c r="AB66" s="261"/>
      <c r="AC66" s="261"/>
      <c r="AD66" s="261"/>
      <c r="AE66" s="261"/>
    </row>
    <row r="67" spans="1:31" x14ac:dyDescent="0.35">
      <c r="A67" s="217"/>
      <c r="B67" s="5" t="s">
        <v>5</v>
      </c>
      <c r="C67" s="198" t="s">
        <v>11</v>
      </c>
      <c r="D67" s="759">
        <f>Working!D380</f>
        <v>0</v>
      </c>
      <c r="E67" s="759">
        <f ca="1">Working!E380</f>
        <v>174.61457293978017</v>
      </c>
      <c r="F67" s="759">
        <f ca="1">Working!F380</f>
        <v>372.76860972753059</v>
      </c>
      <c r="G67" s="759">
        <f ca="1">Working!G380</f>
        <v>372.76860972753059</v>
      </c>
      <c r="H67" s="759">
        <f ca="1">Working!H380</f>
        <v>372.76860972753059</v>
      </c>
      <c r="I67" s="759">
        <f ca="1">Working!I380</f>
        <v>372.76860972753059</v>
      </c>
      <c r="J67" s="759">
        <f ca="1">Working!J380</f>
        <v>372.76860972753059</v>
      </c>
      <c r="K67" s="759">
        <f ca="1">Working!K380</f>
        <v>372.76860972753059</v>
      </c>
      <c r="L67" s="759">
        <f ca="1">Working!L380</f>
        <v>372.76860972753059</v>
      </c>
      <c r="M67" s="759">
        <f ca="1">Working!M380</f>
        <v>372.76860972753059</v>
      </c>
      <c r="N67" s="759">
        <f ca="1">Working!N380</f>
        <v>372.76860972753059</v>
      </c>
      <c r="O67" s="759">
        <f ca="1">Working!O380</f>
        <v>372.76860972753059</v>
      </c>
      <c r="P67" s="759">
        <f ca="1">Working!P380</f>
        <v>372.76860972753059</v>
      </c>
      <c r="Q67" s="759">
        <f ca="1">Working!Q380</f>
        <v>372.76860972753059</v>
      </c>
      <c r="R67" s="759">
        <f ca="1">Working!R380</f>
        <v>372.76860972753059</v>
      </c>
      <c r="S67" s="759">
        <f ca="1">Working!S380</f>
        <v>372.76860972753059</v>
      </c>
      <c r="T67" s="759">
        <f ca="1">Working!T380</f>
        <v>372.76860972753059</v>
      </c>
      <c r="U67" s="759">
        <f ca="1">Working!U380</f>
        <v>372.76860972753059</v>
      </c>
      <c r="V67" s="759">
        <f ca="1">Working!V380</f>
        <v>372.76860972753059</v>
      </c>
      <c r="W67" s="759">
        <f ca="1">Working!W380</f>
        <v>372.76860972753059</v>
      </c>
      <c r="X67" s="759">
        <f ca="1">Working!X380</f>
        <v>372.76860972753059</v>
      </c>
      <c r="Y67" s="759">
        <f ca="1">Working!Y380</f>
        <v>372.76860972753059</v>
      </c>
      <c r="Z67" s="759">
        <f ca="1">Working!Z380</f>
        <v>372.76860972753059</v>
      </c>
      <c r="AA67" s="759">
        <f ca="1">Working!AA380</f>
        <v>372.76860972753059</v>
      </c>
      <c r="AB67" s="759">
        <f ca="1">Working!AB380</f>
        <v>372.76860972753059</v>
      </c>
      <c r="AC67" s="759">
        <f ca="1">Working!AC380</f>
        <v>372.76860972753059</v>
      </c>
      <c r="AD67" s="759">
        <f ca="1">Working!AD380</f>
        <v>372.76860972753059</v>
      </c>
      <c r="AE67" s="759">
        <f ca="1">Working!AE380</f>
        <v>372.76860972753059</v>
      </c>
    </row>
    <row r="68" spans="1:31" x14ac:dyDescent="0.35">
      <c r="A68" s="217"/>
      <c r="B68" s="264" t="s">
        <v>92</v>
      </c>
      <c r="C68" s="198" t="s">
        <v>11</v>
      </c>
      <c r="D68" s="759">
        <f>Working!D381</f>
        <v>0</v>
      </c>
      <c r="E68" s="759">
        <f ca="1">Working!E381</f>
        <v>0</v>
      </c>
      <c r="F68" s="759">
        <f ca="1">Working!F381</f>
        <v>28.450351351382608</v>
      </c>
      <c r="G68" s="759">
        <f ca="1">Working!G381</f>
        <v>73.302559452208243</v>
      </c>
      <c r="H68" s="759">
        <f ca="1">Working!H381</f>
        <v>118.62003739243916</v>
      </c>
      <c r="I68" s="759">
        <f ca="1">Working!I381</f>
        <v>164.39512204343112</v>
      </c>
      <c r="J68" s="759">
        <f ca="1">Working!J381</f>
        <v>210.61831618511161</v>
      </c>
      <c r="K68" s="759">
        <f ca="1">Working!K381</f>
        <v>257.27821231920927</v>
      </c>
      <c r="L68" s="759">
        <f ca="1">Working!L381</f>
        <v>304.361412314549</v>
      </c>
      <c r="M68" s="759">
        <f ca="1">Working!M381</f>
        <v>351.85244267083345</v>
      </c>
      <c r="N68" s="759">
        <f ca="1">Working!N381</f>
        <v>399.73366517617035</v>
      </c>
      <c r="O68" s="759">
        <f ca="1">Working!O381</f>
        <v>447.98518272186323</v>
      </c>
      <c r="P68" s="759">
        <f ca="1">Working!P381</f>
        <v>496.58474002562912</v>
      </c>
      <c r="Q68" s="759">
        <f ca="1">Working!Q381</f>
        <v>545.5076190014056</v>
      </c>
      <c r="R68" s="759">
        <f ca="1">Working!R381</f>
        <v>594.72652850023326</v>
      </c>
      <c r="S68" s="759">
        <f ca="1">Working!S381</f>
        <v>644.2114881323073</v>
      </c>
      <c r="T68" s="759">
        <f ca="1">Working!T381</f>
        <v>693.9297058651498</v>
      </c>
      <c r="U68" s="759">
        <f ca="1">Working!U381</f>
        <v>770.60824715610613</v>
      </c>
      <c r="V68" s="759">
        <f ca="1">Working!V381</f>
        <v>845.28389427140598</v>
      </c>
      <c r="W68" s="759">
        <f ca="1">Working!W381</f>
        <v>917.19408181324138</v>
      </c>
      <c r="X68" s="759">
        <f ca="1">Working!X381</f>
        <v>986.2934110899871</v>
      </c>
      <c r="Y68" s="759">
        <f ca="1">Working!Y381</f>
        <v>1051.8923566338499</v>
      </c>
      <c r="Z68" s="759">
        <f ca="1">Working!Z381</f>
        <v>1106.0522742407352</v>
      </c>
      <c r="AA68" s="759">
        <f ca="1">Working!AA381</f>
        <v>1157.4167480111387</v>
      </c>
      <c r="AB68" s="759">
        <f ca="1">Working!AB381</f>
        <v>1205.9287631894113</v>
      </c>
      <c r="AC68" s="759">
        <f ca="1">Working!AC381</f>
        <v>1251.52730120724</v>
      </c>
      <c r="AD68" s="759">
        <f ca="1">Working!AD381</f>
        <v>1294.1471463107509</v>
      </c>
      <c r="AE68" s="759">
        <f ca="1">Working!AE381</f>
        <v>1322.9915390611022</v>
      </c>
    </row>
    <row r="69" spans="1:31" x14ac:dyDescent="0.35">
      <c r="A69" s="5"/>
      <c r="B69" s="5" t="s">
        <v>91</v>
      </c>
      <c r="C69" s="198" t="s">
        <v>11</v>
      </c>
      <c r="D69" s="759">
        <f>Working!D383</f>
        <v>0</v>
      </c>
      <c r="E69" s="759">
        <f ca="1">Working!E383</f>
        <v>0</v>
      </c>
      <c r="F69" s="759">
        <f ca="1">Working!F383</f>
        <v>0</v>
      </c>
      <c r="G69" s="759">
        <f ca="1">Working!G383</f>
        <v>0</v>
      </c>
      <c r="H69" s="759">
        <f ca="1">Working!H383</f>
        <v>0</v>
      </c>
      <c r="I69" s="759">
        <f ca="1">Working!I383</f>
        <v>0</v>
      </c>
      <c r="J69" s="759">
        <f ca="1">Working!J383</f>
        <v>0</v>
      </c>
      <c r="K69" s="759">
        <f ca="1">Working!K383</f>
        <v>0</v>
      </c>
      <c r="L69" s="759">
        <f ca="1">Working!L383</f>
        <v>0</v>
      </c>
      <c r="M69" s="759">
        <f ca="1">Working!M383</f>
        <v>0</v>
      </c>
      <c r="N69" s="759">
        <f ca="1">Working!N383</f>
        <v>0</v>
      </c>
      <c r="O69" s="759">
        <f ca="1">Working!O383</f>
        <v>0</v>
      </c>
      <c r="P69" s="759">
        <f ca="1">Working!P383</f>
        <v>0</v>
      </c>
      <c r="Q69" s="759">
        <f ca="1">Working!Q383</f>
        <v>0</v>
      </c>
      <c r="R69" s="759">
        <f ca="1">Working!R383</f>
        <v>0</v>
      </c>
      <c r="S69" s="759">
        <f ca="1">Working!S383</f>
        <v>0</v>
      </c>
      <c r="T69" s="759">
        <f ca="1">Working!T383</f>
        <v>0</v>
      </c>
      <c r="U69" s="759">
        <f ca="1">Working!U383</f>
        <v>0</v>
      </c>
      <c r="V69" s="759">
        <f ca="1">Working!V383</f>
        <v>0</v>
      </c>
      <c r="W69" s="759">
        <f ca="1">Working!W383</f>
        <v>0</v>
      </c>
      <c r="X69" s="759">
        <f ca="1">Working!X383</f>
        <v>0</v>
      </c>
      <c r="Y69" s="759">
        <f ca="1">Working!Y383</f>
        <v>0</v>
      </c>
      <c r="Z69" s="759">
        <f ca="1">Working!Z383</f>
        <v>0</v>
      </c>
      <c r="AA69" s="759">
        <f ca="1">Working!AA383</f>
        <v>0</v>
      </c>
      <c r="AB69" s="759">
        <f ca="1">Working!AB383</f>
        <v>0</v>
      </c>
      <c r="AC69" s="759">
        <f ca="1">Working!AC383</f>
        <v>0</v>
      </c>
      <c r="AD69" s="759">
        <f ca="1">Working!AD383</f>
        <v>0</v>
      </c>
      <c r="AE69" s="759">
        <f ca="1">Working!AE383</f>
        <v>0</v>
      </c>
    </row>
    <row r="70" spans="1:31" x14ac:dyDescent="0.35">
      <c r="A70" s="217"/>
      <c r="B70" s="5" t="s">
        <v>1085</v>
      </c>
      <c r="C70" s="198" t="s">
        <v>11</v>
      </c>
      <c r="D70" s="759">
        <f>Working!D384</f>
        <v>0</v>
      </c>
      <c r="E70" s="759">
        <f ca="1">Working!E384</f>
        <v>407.43400352615367</v>
      </c>
      <c r="F70" s="759">
        <f ca="1">Working!F384</f>
        <v>840.80030860765225</v>
      </c>
      <c r="G70" s="759">
        <f ca="1">Working!G384</f>
        <v>782.81408042781413</v>
      </c>
      <c r="H70" s="759">
        <f ca="1">Working!H384</f>
        <v>724.82785224797601</v>
      </c>
      <c r="I70" s="759">
        <f ca="1">Working!I384</f>
        <v>666.84162406813789</v>
      </c>
      <c r="J70" s="759">
        <f ca="1">Working!J384</f>
        <v>608.85539588829977</v>
      </c>
      <c r="K70" s="759">
        <f ca="1">Working!K384</f>
        <v>550.86916770846165</v>
      </c>
      <c r="L70" s="759">
        <f ca="1">Working!L384</f>
        <v>492.88293952862358</v>
      </c>
      <c r="M70" s="759">
        <f ca="1">Working!M384</f>
        <v>434.89671134878552</v>
      </c>
      <c r="N70" s="759">
        <f ca="1">Working!N384</f>
        <v>376.91048316894745</v>
      </c>
      <c r="O70" s="759">
        <f ca="1">Working!O384</f>
        <v>318.92425498910939</v>
      </c>
      <c r="P70" s="759">
        <f ca="1">Working!P384</f>
        <v>260.93802680927132</v>
      </c>
      <c r="Q70" s="759">
        <f ca="1">Working!Q384</f>
        <v>202.95179862943323</v>
      </c>
      <c r="R70" s="759">
        <f ca="1">Working!R384</f>
        <v>144.96557044959513</v>
      </c>
      <c r="S70" s="759">
        <f ca="1">Working!S384</f>
        <v>86.979342269757041</v>
      </c>
      <c r="T70" s="759">
        <f ca="1">Working!T384</f>
        <v>28.993114089918954</v>
      </c>
      <c r="U70" s="759">
        <f ca="1">Working!U384</f>
        <v>0</v>
      </c>
      <c r="V70" s="759">
        <f ca="1">Working!V384</f>
        <v>0</v>
      </c>
      <c r="W70" s="759">
        <f ca="1">Working!W384</f>
        <v>0</v>
      </c>
      <c r="X70" s="759">
        <f ca="1">Working!X384</f>
        <v>0</v>
      </c>
      <c r="Y70" s="759">
        <f ca="1">Working!Y384</f>
        <v>0</v>
      </c>
      <c r="Z70" s="759">
        <f ca="1">Working!Z384</f>
        <v>0</v>
      </c>
      <c r="AA70" s="759">
        <f ca="1">Working!AA384</f>
        <v>0</v>
      </c>
      <c r="AB70" s="759">
        <f ca="1">Working!AB384</f>
        <v>0</v>
      </c>
      <c r="AC70" s="759">
        <f ca="1">Working!AC384</f>
        <v>0</v>
      </c>
      <c r="AD70" s="759">
        <f ca="1">Working!AD384</f>
        <v>0</v>
      </c>
      <c r="AE70" s="759">
        <f ca="1">Working!AE384</f>
        <v>0</v>
      </c>
    </row>
    <row r="71" spans="1:31" x14ac:dyDescent="0.35">
      <c r="A71" s="217"/>
      <c r="B71" s="5" t="s">
        <v>90</v>
      </c>
      <c r="C71" s="198" t="s">
        <v>11</v>
      </c>
      <c r="D71" s="759">
        <f>Working!D387</f>
        <v>0</v>
      </c>
      <c r="E71" s="759">
        <f>Working!E387</f>
        <v>0</v>
      </c>
      <c r="F71" s="759">
        <f ca="1">Working!F387</f>
        <v>19.259199231886896</v>
      </c>
      <c r="G71" s="759">
        <f ca="1">Working!G387</f>
        <v>19.113989530294138</v>
      </c>
      <c r="H71" s="759">
        <f ca="1">Working!H387</f>
        <v>19.030578435627476</v>
      </c>
      <c r="I71" s="759">
        <f ca="1">Working!I387</f>
        <v>18.956053063893613</v>
      </c>
      <c r="J71" s="759">
        <f ca="1">Working!J387</f>
        <v>18.890701989117083</v>
      </c>
      <c r="K71" s="759">
        <f ca="1">Working!K387</f>
        <v>18.834830702752228</v>
      </c>
      <c r="L71" s="759">
        <f ca="1">Working!L387</f>
        <v>18.788762462536248</v>
      </c>
      <c r="M71" s="759">
        <f ca="1">Working!M387</f>
        <v>18.752839185749171</v>
      </c>
      <c r="N71" s="759">
        <f ca="1">Working!N387</f>
        <v>18.72742238918967</v>
      </c>
      <c r="O71" s="759">
        <f ca="1">Working!O387</f>
        <v>18.712894178296136</v>
      </c>
      <c r="P71" s="759">
        <f ca="1">Working!P387</f>
        <v>18.709658287969297</v>
      </c>
      <c r="Q71" s="759">
        <f ca="1">Working!Q387</f>
        <v>18.718141177786279</v>
      </c>
      <c r="R71" s="759">
        <f ca="1">Working!R387</f>
        <v>18.738793184436297</v>
      </c>
      <c r="S71" s="759">
        <f ca="1">Working!S387</f>
        <v>18.772089734356314</v>
      </c>
      <c r="T71" s="759">
        <f ca="1">Working!T387</f>
        <v>18.818532619700143</v>
      </c>
      <c r="U71" s="759">
        <f ca="1">Working!U387</f>
        <v>18.878651340938713</v>
      </c>
      <c r="V71" s="759">
        <f ca="1">Working!V387</f>
        <v>18.95300451956086</v>
      </c>
      <c r="W71" s="759">
        <f ca="1">Working!W387</f>
        <v>19.042181384525882</v>
      </c>
      <c r="X71" s="759">
        <f ca="1">Working!X387</f>
        <v>19.146803336309389</v>
      </c>
      <c r="Y71" s="759">
        <f ca="1">Working!Y387</f>
        <v>19.267525592585017</v>
      </c>
      <c r="Z71" s="759">
        <f ca="1">Working!Z387</f>
        <v>19.405038919795544</v>
      </c>
      <c r="AA71" s="759">
        <f ca="1">Working!AA387</f>
        <v>19.560071455089545</v>
      </c>
      <c r="AB71" s="759">
        <f ca="1">Working!AB387</f>
        <v>19.733390623333278</v>
      </c>
      <c r="AC71" s="759">
        <f ca="1">Working!AC387</f>
        <v>19.925805154153984</v>
      </c>
      <c r="AD71" s="759">
        <f ca="1">Working!AD387</f>
        <v>20.138167204229493</v>
      </c>
      <c r="AE71" s="759">
        <f ca="1">Working!AE387</f>
        <v>22.542735459211293</v>
      </c>
    </row>
    <row r="72" spans="1:31" ht="15" thickBot="1" x14ac:dyDescent="0.4">
      <c r="A72" s="5"/>
      <c r="B72" s="986" t="s">
        <v>89</v>
      </c>
      <c r="C72" s="987" t="s">
        <v>11</v>
      </c>
      <c r="D72" s="985">
        <f>Working!D390</f>
        <v>0</v>
      </c>
      <c r="E72" s="985">
        <f ca="1">Working!E390</f>
        <v>582.04857646593382</v>
      </c>
      <c r="F72" s="985">
        <f ca="1">Working!F390</f>
        <v>1261.2784689184523</v>
      </c>
      <c r="G72" s="985">
        <f ca="1">Working!G390</f>
        <v>1247.9992391378471</v>
      </c>
      <c r="H72" s="985">
        <f ca="1">Working!H390</f>
        <v>1235.2470778035731</v>
      </c>
      <c r="I72" s="985">
        <f ca="1">Working!I390</f>
        <v>1222.9614089029933</v>
      </c>
      <c r="J72" s="985">
        <f ca="1">Working!J390</f>
        <v>1211.1330237900593</v>
      </c>
      <c r="K72" s="985">
        <f ca="1">Working!K390</f>
        <v>1199.7508204579538</v>
      </c>
      <c r="L72" s="985">
        <f ca="1">Working!L390</f>
        <v>1188.8017240332395</v>
      </c>
      <c r="M72" s="985">
        <f ca="1">Working!M390</f>
        <v>1178.270602932899</v>
      </c>
      <c r="N72" s="985">
        <f ca="1">Working!N390</f>
        <v>1168.1401804618381</v>
      </c>
      <c r="O72" s="985">
        <f ca="1">Working!O390</f>
        <v>1158.3909416167994</v>
      </c>
      <c r="P72" s="985">
        <f ca="1">Working!P390</f>
        <v>1149.0010348504002</v>
      </c>
      <c r="Q72" s="985">
        <f ca="1">Working!Q390</f>
        <v>1139.9461685361557</v>
      </c>
      <c r="R72" s="985">
        <f ca="1">Working!R390</f>
        <v>1131.1995018617952</v>
      </c>
      <c r="S72" s="985">
        <f ca="1">Working!S390</f>
        <v>1122.7315298639512</v>
      </c>
      <c r="T72" s="985">
        <f ca="1">Working!T390</f>
        <v>1114.5099623022995</v>
      </c>
      <c r="U72" s="985">
        <f ca="1">Working!U390</f>
        <v>1162.2555082245754</v>
      </c>
      <c r="V72" s="985">
        <f ca="1">Working!V390</f>
        <v>1237.0055085184974</v>
      </c>
      <c r="W72" s="985">
        <f ca="1">Working!W390</f>
        <v>1309.0048729252981</v>
      </c>
      <c r="X72" s="985">
        <f ca="1">Working!X390</f>
        <v>1378.2088241538272</v>
      </c>
      <c r="Y72" s="985">
        <f ca="1">Working!Y390</f>
        <v>1443.9284919539655</v>
      </c>
      <c r="Z72" s="985">
        <f ca="1">Working!Z390</f>
        <v>1498.2259228880612</v>
      </c>
      <c r="AA72" s="985">
        <f ca="1">Working!AA390</f>
        <v>1549.7454291937588</v>
      </c>
      <c r="AB72" s="985">
        <f ca="1">Working!AB390</f>
        <v>1598.4307635402749</v>
      </c>
      <c r="AC72" s="985">
        <f ca="1">Working!AC390</f>
        <v>1644.2217160889247</v>
      </c>
      <c r="AD72" s="985">
        <f ca="1">Working!AD390</f>
        <v>1687.053923242511</v>
      </c>
      <c r="AE72" s="985">
        <f ca="1">Working!AE390</f>
        <v>1718.3028842478441</v>
      </c>
    </row>
    <row r="73" spans="1:31" ht="15" thickTop="1" x14ac:dyDescent="0.35"/>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1B552-78D7-43D6-8BEA-978EDDC32CEB}">
  <sheetPr>
    <tabColor rgb="FFFFC000"/>
  </sheetPr>
  <dimension ref="A1:L103"/>
  <sheetViews>
    <sheetView showGridLines="0" zoomScale="84" workbookViewId="0">
      <pane xSplit="4" ySplit="6" topLeftCell="E57" activePane="bottomRight" state="frozen"/>
      <selection activeCell="G81" sqref="G81"/>
      <selection pane="topRight" activeCell="G81" sqref="G81"/>
      <selection pane="bottomLeft" activeCell="G81" sqref="G81"/>
      <selection pane="bottomRight" activeCell="G81" sqref="G81"/>
    </sheetView>
  </sheetViews>
  <sheetFormatPr defaultRowHeight="14.5" x14ac:dyDescent="0.35"/>
  <cols>
    <col min="1" max="1" width="15.6328125" bestFit="1" customWidth="1"/>
    <col min="2" max="2" width="44.1796875" customWidth="1"/>
    <col min="3" max="3" width="10.90625" customWidth="1"/>
    <col min="4" max="4" width="9.6328125" bestFit="1" customWidth="1"/>
  </cols>
  <sheetData>
    <row r="1" spans="1:12" x14ac:dyDescent="0.35">
      <c r="A1" s="165"/>
      <c r="B1" s="166" t="s">
        <v>15</v>
      </c>
      <c r="C1" s="167" t="s">
        <v>14</v>
      </c>
      <c r="D1" s="167" t="s">
        <v>330</v>
      </c>
      <c r="E1" s="1018">
        <f>C2+DAY(1)</f>
        <v>45748</v>
      </c>
      <c r="F1" s="1018">
        <f t="shared" ref="F1:L1" si="0">E2+DAY(1)</f>
        <v>45839</v>
      </c>
      <c r="G1" s="1018">
        <f t="shared" si="0"/>
        <v>45931</v>
      </c>
      <c r="H1" s="1018">
        <f t="shared" si="0"/>
        <v>46023</v>
      </c>
      <c r="I1" s="1018">
        <f t="shared" si="0"/>
        <v>46113</v>
      </c>
      <c r="J1" s="1018">
        <f t="shared" si="0"/>
        <v>46204</v>
      </c>
      <c r="K1" s="1018">
        <f t="shared" si="0"/>
        <v>46296</v>
      </c>
      <c r="L1" s="1018">
        <f t="shared" si="0"/>
        <v>46388</v>
      </c>
    </row>
    <row r="2" spans="1:12" x14ac:dyDescent="0.35">
      <c r="A2" s="166"/>
      <c r="B2" s="166"/>
      <c r="C2" s="171">
        <f>Input!D238</f>
        <v>45747</v>
      </c>
      <c r="D2" s="184" t="s">
        <v>332</v>
      </c>
      <c r="E2" s="1019">
        <f>EOMONTH(C2,3)</f>
        <v>45838</v>
      </c>
      <c r="F2" s="1019">
        <f t="shared" ref="F2:L2" si="1">EOMONTH(E2,3)</f>
        <v>45930</v>
      </c>
      <c r="G2" s="1019">
        <f t="shared" si="1"/>
        <v>46022</v>
      </c>
      <c r="H2" s="1019">
        <f t="shared" si="1"/>
        <v>46112</v>
      </c>
      <c r="I2" s="1019">
        <f t="shared" si="1"/>
        <v>46203</v>
      </c>
      <c r="J2" s="1019">
        <f t="shared" si="1"/>
        <v>46295</v>
      </c>
      <c r="K2" s="1020">
        <f t="shared" si="1"/>
        <v>46387</v>
      </c>
      <c r="L2" s="1020">
        <f t="shared" si="1"/>
        <v>46477</v>
      </c>
    </row>
    <row r="3" spans="1:12" hidden="1" x14ac:dyDescent="0.35">
      <c r="A3" s="661"/>
      <c r="B3" s="661" t="s">
        <v>186</v>
      </c>
      <c r="C3" s="662">
        <f>SUM(E3:L3)</f>
        <v>2</v>
      </c>
      <c r="D3" s="663"/>
      <c r="E3" s="664">
        <f>IF(AND((E2)&gt;=Input!$E$178,E2&lt;=Input!$E$182),1,0)</f>
        <v>0</v>
      </c>
      <c r="F3" s="664">
        <f>IF(AND((F2)&gt;=Input!$E$178,F2&lt;=Input!$E$182),1,0)</f>
        <v>0</v>
      </c>
      <c r="G3" s="664">
        <f>IF(AND((G2)&gt;=Input!$E$178,G2&lt;=Input!$E$182),1,0)</f>
        <v>0</v>
      </c>
      <c r="H3" s="664">
        <f>IF(AND((H2)&gt;=Input!$E$178,H2&lt;=Input!$E$182),1,0)</f>
        <v>0</v>
      </c>
      <c r="I3" s="664">
        <f>IF(AND((I2)&gt;=Input!$E$178,I2&lt;=Input!$E$182),1,0)</f>
        <v>0</v>
      </c>
      <c r="J3" s="664">
        <f>IF(AND((J2)&gt;=Input!$E$178,J2&lt;=Input!$E$182),1,0)</f>
        <v>0</v>
      </c>
      <c r="K3" s="664">
        <f>IF(AND((K2)&gt;=Input!$E$178,K2&lt;=Input!$E$182),1,0)</f>
        <v>1</v>
      </c>
      <c r="L3" s="664">
        <f>IF(AND((L2)&gt;=Input!$E$178,L2&lt;=Input!$E$182),1,0)</f>
        <v>1</v>
      </c>
    </row>
    <row r="4" spans="1:12" hidden="1" x14ac:dyDescent="0.35">
      <c r="A4" s="661"/>
      <c r="B4" s="661" t="s">
        <v>979</v>
      </c>
      <c r="C4" s="665"/>
      <c r="D4" s="663"/>
      <c r="E4" s="664">
        <f>SUM($E3:E$3)</f>
        <v>0</v>
      </c>
      <c r="F4" s="664">
        <f>SUM($E3:F$3)</f>
        <v>0</v>
      </c>
      <c r="G4" s="664">
        <f>SUM($E3:G$3)</f>
        <v>0</v>
      </c>
      <c r="H4" s="664">
        <f>SUM($E3:H$3)</f>
        <v>0</v>
      </c>
      <c r="I4" s="664">
        <f>SUM($E3:I$3)</f>
        <v>0</v>
      </c>
      <c r="J4" s="664">
        <f>SUM($E3:J$3)</f>
        <v>0</v>
      </c>
      <c r="K4" s="664">
        <f>SUM($E3:K$3)</f>
        <v>1</v>
      </c>
      <c r="L4" s="664">
        <f>SUM($E3:L$3)</f>
        <v>2</v>
      </c>
    </row>
    <row r="5" spans="1:12" hidden="1" x14ac:dyDescent="0.35">
      <c r="A5" s="661"/>
      <c r="B5" s="661" t="s">
        <v>980</v>
      </c>
      <c r="C5" s="665"/>
      <c r="D5" s="663"/>
      <c r="E5" s="664">
        <f>E2-C2</f>
        <v>91</v>
      </c>
      <c r="F5" s="664">
        <f t="shared" ref="F5:L5" si="2">F2-E2</f>
        <v>92</v>
      </c>
      <c r="G5" s="664">
        <f t="shared" si="2"/>
        <v>92</v>
      </c>
      <c r="H5" s="664">
        <f t="shared" si="2"/>
        <v>90</v>
      </c>
      <c r="I5" s="664">
        <f t="shared" si="2"/>
        <v>91</v>
      </c>
      <c r="J5" s="664">
        <f t="shared" si="2"/>
        <v>92</v>
      </c>
      <c r="K5" s="664">
        <f t="shared" si="2"/>
        <v>92</v>
      </c>
      <c r="L5" s="664">
        <f t="shared" si="2"/>
        <v>90</v>
      </c>
    </row>
    <row r="6" spans="1:12" hidden="1" x14ac:dyDescent="0.35">
      <c r="A6" s="661"/>
      <c r="B6" s="661" t="s">
        <v>982</v>
      </c>
      <c r="C6" s="665"/>
      <c r="D6" s="663">
        <v>0</v>
      </c>
      <c r="E6" s="664">
        <f t="shared" ref="E6:L6" si="3">IF(MONTH(E1)=4,D6+1,D6)</f>
        <v>1</v>
      </c>
      <c r="F6" s="664">
        <f t="shared" si="3"/>
        <v>1</v>
      </c>
      <c r="G6" s="664">
        <f t="shared" si="3"/>
        <v>1</v>
      </c>
      <c r="H6" s="664">
        <f t="shared" si="3"/>
        <v>1</v>
      </c>
      <c r="I6" s="664">
        <f t="shared" si="3"/>
        <v>2</v>
      </c>
      <c r="J6" s="664">
        <f t="shared" si="3"/>
        <v>2</v>
      </c>
      <c r="K6" s="664">
        <f t="shared" si="3"/>
        <v>2</v>
      </c>
      <c r="L6" s="664">
        <f t="shared" si="3"/>
        <v>2</v>
      </c>
    </row>
    <row r="7" spans="1:12" x14ac:dyDescent="0.35">
      <c r="A7" s="661"/>
      <c r="B7" s="661" t="s">
        <v>183</v>
      </c>
      <c r="C7" s="665"/>
      <c r="D7" s="663"/>
      <c r="E7" s="664">
        <f>IF(E2=Input!$E$182,Input!$E$181-C2,IF(E2-Input!$E$178+1&gt;=(365/4),E2-C2,E2-Input!$E$178+1))*E3</f>
        <v>0</v>
      </c>
      <c r="F7" s="664">
        <f>IF(F2=Input!$E$182,Input!$E$181-E2,IF(F2-Input!$E$178+1&gt;=(365/4),F2-E2,F2-Input!$E$178+1))*F3</f>
        <v>0</v>
      </c>
      <c r="G7" s="664">
        <f>IF(G2=Input!$E$182,Input!$E$181-F2,IF(G2-Input!$E$178+1&gt;=(365/4),G2-F2,G2-Input!$E$178+1))*G3</f>
        <v>0</v>
      </c>
      <c r="H7" s="664">
        <f>IF(H2=Input!$E$182,Input!$E$181-G2,IF(H2-Input!$E$178+1&gt;=(365/4),H2-G2,H2-Input!$E$178+1))*H3</f>
        <v>0</v>
      </c>
      <c r="I7" s="664">
        <f>IF(I2=Input!$E$182,Input!$E$181-H2,IF(I2-Input!$E$178+1&gt;=(365/4),I2-H2,I2-Input!$E$178+1))*I3</f>
        <v>0</v>
      </c>
      <c r="J7" s="664">
        <f>IF(J2=Input!$E$182,Input!$E$181-I2,IF(J2-Input!$E$178+1&gt;=(365/4),J2-I2,J2-Input!$E$178+1))*J3</f>
        <v>0</v>
      </c>
      <c r="K7" s="664">
        <f>IF(K2=Input!$E$182,Input!$E$181-J2,IF(K2-Input!$E$178+1&gt;=(365/4),K2-J2,K2-Input!$E$178+1))*K3</f>
        <v>92</v>
      </c>
      <c r="L7" s="664">
        <f>IF(L2=Input!$E$182,Input!$E$181-K2,IF(L2-Input!$E$178+1&gt;=(365/4),L2-K2,L2-Input!$E$178+1))*L3</f>
        <v>90</v>
      </c>
    </row>
    <row r="8" spans="1:12" x14ac:dyDescent="0.35">
      <c r="A8" s="661"/>
      <c r="B8" s="661" t="s">
        <v>986</v>
      </c>
      <c r="C8" s="665"/>
      <c r="D8" s="663"/>
      <c r="E8" s="664">
        <f>E5-E7</f>
        <v>91</v>
      </c>
      <c r="F8" s="664">
        <f t="shared" ref="F8:L8" si="4">F5-F7</f>
        <v>92</v>
      </c>
      <c r="G8" s="664">
        <f t="shared" si="4"/>
        <v>92</v>
      </c>
      <c r="H8" s="664">
        <f t="shared" si="4"/>
        <v>90</v>
      </c>
      <c r="I8" s="664">
        <f t="shared" si="4"/>
        <v>91</v>
      </c>
      <c r="J8" s="664">
        <f t="shared" si="4"/>
        <v>92</v>
      </c>
      <c r="K8" s="664">
        <f t="shared" si="4"/>
        <v>0</v>
      </c>
      <c r="L8" s="664">
        <f t="shared" si="4"/>
        <v>0</v>
      </c>
    </row>
    <row r="9" spans="1:12" hidden="1" x14ac:dyDescent="0.35">
      <c r="A9" s="661"/>
      <c r="B9" s="661" t="s">
        <v>182</v>
      </c>
      <c r="C9" s="665"/>
      <c r="D9" s="663"/>
      <c r="E9" s="661">
        <f t="shared" ref="E9:L9" si="5">IF(E5,E7/E5,0)</f>
        <v>0</v>
      </c>
      <c r="F9" s="661">
        <f t="shared" si="5"/>
        <v>0</v>
      </c>
      <c r="G9" s="661">
        <f t="shared" si="5"/>
        <v>0</v>
      </c>
      <c r="H9" s="661">
        <f t="shared" si="5"/>
        <v>0</v>
      </c>
      <c r="I9" s="661">
        <f t="shared" si="5"/>
        <v>0</v>
      </c>
      <c r="J9" s="661">
        <f t="shared" si="5"/>
        <v>0</v>
      </c>
      <c r="K9" s="661">
        <f t="shared" si="5"/>
        <v>1</v>
      </c>
      <c r="L9" s="661">
        <f t="shared" si="5"/>
        <v>1</v>
      </c>
    </row>
    <row r="10" spans="1:12" hidden="1" x14ac:dyDescent="0.35">
      <c r="A10" s="661"/>
      <c r="B10" s="661" t="s">
        <v>181</v>
      </c>
      <c r="C10" s="665"/>
      <c r="D10" s="663"/>
      <c r="E10" s="661">
        <f t="shared" ref="E10:L10" si="6">D10+E9</f>
        <v>0</v>
      </c>
      <c r="F10" s="661">
        <f t="shared" si="6"/>
        <v>0</v>
      </c>
      <c r="G10" s="661">
        <f t="shared" si="6"/>
        <v>0</v>
      </c>
      <c r="H10" s="661">
        <f t="shared" si="6"/>
        <v>0</v>
      </c>
      <c r="I10" s="661">
        <f t="shared" si="6"/>
        <v>0</v>
      </c>
      <c r="J10" s="661">
        <f t="shared" si="6"/>
        <v>0</v>
      </c>
      <c r="K10" s="661">
        <f t="shared" si="6"/>
        <v>1</v>
      </c>
      <c r="L10" s="661">
        <f t="shared" si="6"/>
        <v>2</v>
      </c>
    </row>
    <row r="12" spans="1:12" x14ac:dyDescent="0.35">
      <c r="A12" s="1008"/>
      <c r="B12" s="1009" t="s">
        <v>1089</v>
      </c>
      <c r="C12" s="1010"/>
      <c r="D12" s="1011"/>
      <c r="E12" s="1011"/>
      <c r="F12" s="1011"/>
      <c r="G12" s="1011"/>
      <c r="H12" s="1011"/>
      <c r="I12" s="1011"/>
      <c r="J12" s="1011"/>
      <c r="K12" s="1011"/>
      <c r="L12" s="1011"/>
    </row>
    <row r="13" spans="1:12" x14ac:dyDescent="0.35">
      <c r="A13" s="989"/>
      <c r="B13" s="990" t="s">
        <v>1090</v>
      </c>
      <c r="C13" s="991"/>
      <c r="D13" s="989"/>
      <c r="E13" s="989"/>
      <c r="F13" s="989"/>
      <c r="G13" s="989"/>
      <c r="H13" s="989"/>
      <c r="I13" s="989"/>
      <c r="J13" s="989"/>
      <c r="K13" s="989"/>
      <c r="L13" s="989"/>
    </row>
    <row r="14" spans="1:12" x14ac:dyDescent="0.35">
      <c r="A14" s="1004" t="s">
        <v>268</v>
      </c>
      <c r="B14" s="988" t="s">
        <v>1087</v>
      </c>
      <c r="C14" s="950"/>
    </row>
    <row r="15" spans="1:12" x14ac:dyDescent="0.35">
      <c r="A15" s="1004"/>
      <c r="B15" s="996" t="s">
        <v>1034</v>
      </c>
      <c r="C15" s="152" t="s">
        <v>0</v>
      </c>
      <c r="E15" s="967">
        <f>Input!E273</f>
        <v>0</v>
      </c>
      <c r="F15" s="967">
        <f>Input!F273</f>
        <v>0</v>
      </c>
      <c r="G15" s="967">
        <f>Input!H273</f>
        <v>0</v>
      </c>
      <c r="H15" s="967">
        <f>Input!I273</f>
        <v>0.5</v>
      </c>
      <c r="I15" s="967">
        <f>Input!J273</f>
        <v>0.5</v>
      </c>
      <c r="J15" s="967">
        <f>Input!K273</f>
        <v>0</v>
      </c>
    </row>
    <row r="16" spans="1:12" x14ac:dyDescent="0.35">
      <c r="A16" s="1004"/>
      <c r="B16" s="996" t="s">
        <v>1035</v>
      </c>
      <c r="C16" s="152" t="s">
        <v>0</v>
      </c>
      <c r="E16" s="967">
        <f>Input!E274</f>
        <v>0</v>
      </c>
      <c r="F16" s="967">
        <f>Input!F274</f>
        <v>0.1</v>
      </c>
      <c r="G16" s="967">
        <f>Input!H274</f>
        <v>0.2</v>
      </c>
      <c r="H16" s="967">
        <f>Input!I274</f>
        <v>0.2</v>
      </c>
      <c r="I16" s="967">
        <f>Input!J274</f>
        <v>0.3</v>
      </c>
      <c r="J16" s="967">
        <f>Input!K274</f>
        <v>0.2</v>
      </c>
    </row>
    <row r="17" spans="1:10" x14ac:dyDescent="0.35">
      <c r="A17" s="1004"/>
      <c r="B17" s="996" t="s">
        <v>1036</v>
      </c>
      <c r="C17" s="152" t="s">
        <v>0</v>
      </c>
      <c r="E17" s="967">
        <f>Input!E275</f>
        <v>0</v>
      </c>
      <c r="F17" s="967">
        <f>Input!F275</f>
        <v>0.2</v>
      </c>
      <c r="G17" s="967">
        <f>Input!H275</f>
        <v>0.6</v>
      </c>
      <c r="H17" s="967">
        <f>Input!I275</f>
        <v>0.2</v>
      </c>
      <c r="I17" s="967">
        <f>Input!J275</f>
        <v>0</v>
      </c>
      <c r="J17" s="967">
        <f>Input!K275</f>
        <v>0</v>
      </c>
    </row>
    <row r="18" spans="1:10" x14ac:dyDescent="0.35">
      <c r="A18" s="1004"/>
      <c r="B18" s="996" t="s">
        <v>1037</v>
      </c>
      <c r="C18" s="152" t="s">
        <v>0</v>
      </c>
      <c r="E18" s="967">
        <f>Input!E276</f>
        <v>0</v>
      </c>
      <c r="F18" s="967">
        <f>Input!F276</f>
        <v>0</v>
      </c>
      <c r="G18" s="967">
        <f>Input!H276</f>
        <v>0.3</v>
      </c>
      <c r="H18" s="967">
        <f>Input!I276</f>
        <v>0.3</v>
      </c>
      <c r="I18" s="967">
        <f>Input!J276</f>
        <v>0.3</v>
      </c>
      <c r="J18" s="967">
        <f>Input!K276</f>
        <v>0.1</v>
      </c>
    </row>
    <row r="19" spans="1:10" x14ac:dyDescent="0.35">
      <c r="A19" s="1004"/>
      <c r="B19" s="996" t="s">
        <v>1038</v>
      </c>
      <c r="C19" s="152" t="s">
        <v>0</v>
      </c>
      <c r="E19" s="967">
        <f>Input!E277</f>
        <v>0</v>
      </c>
      <c r="F19" s="967">
        <f>Input!F277</f>
        <v>0</v>
      </c>
      <c r="G19" s="967">
        <f>Input!H277</f>
        <v>0</v>
      </c>
      <c r="H19" s="967">
        <f>Input!I277</f>
        <v>0.5</v>
      </c>
      <c r="I19" s="967">
        <f>Input!J277</f>
        <v>0.5</v>
      </c>
      <c r="J19" s="967">
        <f>Input!K277</f>
        <v>0</v>
      </c>
    </row>
    <row r="20" spans="1:10" x14ac:dyDescent="0.35">
      <c r="A20" s="1004"/>
      <c r="B20" s="996" t="s">
        <v>1039</v>
      </c>
      <c r="C20" s="152" t="s">
        <v>0</v>
      </c>
      <c r="E20" s="967">
        <f>Input!E278</f>
        <v>0</v>
      </c>
      <c r="F20" s="967">
        <f>Input!F278</f>
        <v>0</v>
      </c>
      <c r="G20" s="967">
        <f>Input!H278</f>
        <v>0</v>
      </c>
      <c r="H20" s="967">
        <f>Input!I278</f>
        <v>0.5</v>
      </c>
      <c r="I20" s="967">
        <f>Input!J278</f>
        <v>0.5</v>
      </c>
      <c r="J20" s="967">
        <f>Input!K278</f>
        <v>0</v>
      </c>
    </row>
    <row r="21" spans="1:10" x14ac:dyDescent="0.35">
      <c r="A21" s="1004"/>
      <c r="B21" s="996" t="s">
        <v>1040</v>
      </c>
      <c r="C21" s="152" t="s">
        <v>0</v>
      </c>
      <c r="E21" s="967">
        <f>Input!E279</f>
        <v>0</v>
      </c>
      <c r="F21" s="967">
        <f>Input!F279</f>
        <v>0</v>
      </c>
      <c r="G21" s="967">
        <f>Input!H279</f>
        <v>0</v>
      </c>
      <c r="H21" s="967">
        <f>Input!I279</f>
        <v>0.5</v>
      </c>
      <c r="I21" s="967">
        <f>Input!J279</f>
        <v>0.5</v>
      </c>
      <c r="J21" s="967">
        <f>Input!K279</f>
        <v>0</v>
      </c>
    </row>
    <row r="22" spans="1:10" x14ac:dyDescent="0.35">
      <c r="A22" s="1004"/>
      <c r="B22" s="996" t="s">
        <v>271</v>
      </c>
      <c r="C22" s="152" t="s">
        <v>0</v>
      </c>
      <c r="E22" s="967">
        <f>Input!E280</f>
        <v>0</v>
      </c>
      <c r="F22" s="967">
        <f>Input!F280</f>
        <v>0</v>
      </c>
      <c r="G22" s="967">
        <f>Input!H280</f>
        <v>0</v>
      </c>
      <c r="H22" s="967">
        <f>Input!I280</f>
        <v>0.5</v>
      </c>
      <c r="I22" s="967">
        <f>Input!J280</f>
        <v>0.5</v>
      </c>
      <c r="J22" s="967">
        <f>Input!K280</f>
        <v>0</v>
      </c>
    </row>
    <row r="23" spans="1:10" x14ac:dyDescent="0.35">
      <c r="A23" s="1004"/>
      <c r="B23" s="996" t="s">
        <v>1041</v>
      </c>
      <c r="C23" s="152" t="s">
        <v>0</v>
      </c>
      <c r="E23" s="967">
        <f>Input!E281</f>
        <v>0</v>
      </c>
      <c r="F23" s="967">
        <f>Input!F281</f>
        <v>0</v>
      </c>
      <c r="G23" s="967">
        <f>Input!H281</f>
        <v>0</v>
      </c>
      <c r="H23" s="967">
        <f>Input!I281</f>
        <v>0.5</v>
      </c>
      <c r="I23" s="967">
        <f>Input!J281</f>
        <v>0.5</v>
      </c>
      <c r="J23" s="967">
        <f>Input!K281</f>
        <v>0</v>
      </c>
    </row>
    <row r="24" spans="1:10" x14ac:dyDescent="0.35">
      <c r="A24" s="1004"/>
      <c r="B24" s="141"/>
      <c r="C24" s="76"/>
    </row>
    <row r="25" spans="1:10" x14ac:dyDescent="0.35">
      <c r="A25" s="1004" t="s">
        <v>270</v>
      </c>
      <c r="B25" s="988" t="s">
        <v>1047</v>
      </c>
      <c r="C25" s="950"/>
    </row>
    <row r="26" spans="1:10" x14ac:dyDescent="0.35">
      <c r="A26" s="1004"/>
      <c r="B26" s="996" t="s">
        <v>1034</v>
      </c>
      <c r="C26" s="152" t="s">
        <v>0</v>
      </c>
      <c r="E26" s="967">
        <f>Input!E284</f>
        <v>0</v>
      </c>
      <c r="F26" s="967">
        <f>Input!F284</f>
        <v>0</v>
      </c>
      <c r="G26" s="967">
        <f>Input!H284</f>
        <v>0</v>
      </c>
      <c r="H26" s="967">
        <f>Input!I284</f>
        <v>0</v>
      </c>
      <c r="I26" s="967">
        <f>Input!J284</f>
        <v>0</v>
      </c>
      <c r="J26" s="967">
        <f>Input!K284</f>
        <v>0</v>
      </c>
    </row>
    <row r="27" spans="1:10" x14ac:dyDescent="0.35">
      <c r="A27" s="1004"/>
      <c r="B27" s="996" t="s">
        <v>1035</v>
      </c>
      <c r="C27" s="152" t="s">
        <v>0</v>
      </c>
      <c r="E27" s="967">
        <f>Input!E285</f>
        <v>0</v>
      </c>
      <c r="F27" s="967">
        <f>Input!F285</f>
        <v>0</v>
      </c>
      <c r="G27" s="967">
        <f>Input!H285</f>
        <v>0</v>
      </c>
      <c r="H27" s="967">
        <f>Input!I285</f>
        <v>0.2</v>
      </c>
      <c r="I27" s="967">
        <f>Input!J285</f>
        <v>0.4</v>
      </c>
      <c r="J27" s="967">
        <f>Input!K285</f>
        <v>0.4</v>
      </c>
    </row>
    <row r="28" spans="1:10" x14ac:dyDescent="0.35">
      <c r="A28" s="1004"/>
      <c r="B28" s="996" t="s">
        <v>1036</v>
      </c>
      <c r="C28" s="152" t="s">
        <v>0</v>
      </c>
      <c r="E28" s="967">
        <f>Input!E286</f>
        <v>0</v>
      </c>
      <c r="F28" s="967">
        <f>Input!F286</f>
        <v>0</v>
      </c>
      <c r="G28" s="967">
        <f>Input!H286</f>
        <v>0</v>
      </c>
      <c r="H28" s="967">
        <f>Input!I286</f>
        <v>0.2</v>
      </c>
      <c r="I28" s="967">
        <f>Input!J286</f>
        <v>0.4</v>
      </c>
      <c r="J28" s="967">
        <f>Input!K286</f>
        <v>0.4</v>
      </c>
    </row>
    <row r="29" spans="1:10" x14ac:dyDescent="0.35">
      <c r="A29" s="1004"/>
      <c r="B29" s="996" t="s">
        <v>1037</v>
      </c>
      <c r="C29" s="152" t="s">
        <v>0</v>
      </c>
      <c r="E29" s="967">
        <f>Input!E287</f>
        <v>0</v>
      </c>
      <c r="F29" s="967">
        <f>Input!F287</f>
        <v>0</v>
      </c>
      <c r="G29" s="967">
        <f>Input!H287</f>
        <v>0.2</v>
      </c>
      <c r="H29" s="967">
        <f>Input!I287</f>
        <v>0.4</v>
      </c>
      <c r="I29" s="967">
        <f>Input!J287</f>
        <v>0.4</v>
      </c>
      <c r="J29" s="967">
        <f>Input!K287</f>
        <v>0</v>
      </c>
    </row>
    <row r="30" spans="1:10" x14ac:dyDescent="0.35">
      <c r="A30" s="1004"/>
      <c r="B30" s="996" t="s">
        <v>1038</v>
      </c>
      <c r="C30" s="152" t="s">
        <v>0</v>
      </c>
      <c r="E30" s="967">
        <f>Input!E288</f>
        <v>0</v>
      </c>
      <c r="F30" s="967">
        <f>Input!F288</f>
        <v>0</v>
      </c>
      <c r="G30" s="967">
        <f>Input!H288</f>
        <v>0</v>
      </c>
      <c r="H30" s="967">
        <f>Input!I288</f>
        <v>0.4</v>
      </c>
      <c r="I30" s="967">
        <f>Input!J288</f>
        <v>0.4</v>
      </c>
      <c r="J30" s="967">
        <f>Input!K288</f>
        <v>0.2</v>
      </c>
    </row>
    <row r="31" spans="1:10" x14ac:dyDescent="0.35">
      <c r="A31" s="1004"/>
      <c r="B31" s="996" t="s">
        <v>1039</v>
      </c>
      <c r="C31" s="152" t="s">
        <v>0</v>
      </c>
      <c r="E31" s="967">
        <f>Input!E289</f>
        <v>0</v>
      </c>
      <c r="F31" s="967">
        <f>Input!F289</f>
        <v>0</v>
      </c>
      <c r="G31" s="967">
        <f>Input!H289</f>
        <v>0</v>
      </c>
      <c r="H31" s="967">
        <f>Input!I289</f>
        <v>0</v>
      </c>
      <c r="I31" s="967">
        <f>Input!J289</f>
        <v>0.5</v>
      </c>
      <c r="J31" s="967">
        <f>Input!K289</f>
        <v>0.5</v>
      </c>
    </row>
    <row r="32" spans="1:10" x14ac:dyDescent="0.35">
      <c r="A32" s="1004"/>
      <c r="B32" s="996" t="s">
        <v>1040</v>
      </c>
      <c r="C32" s="152" t="s">
        <v>0</v>
      </c>
      <c r="E32" s="967">
        <f>Input!E290</f>
        <v>0</v>
      </c>
      <c r="F32" s="967">
        <f>Input!F290</f>
        <v>0</v>
      </c>
      <c r="G32" s="967">
        <f>Input!H290</f>
        <v>0</v>
      </c>
      <c r="H32" s="967">
        <f>Input!I290</f>
        <v>0</v>
      </c>
      <c r="I32" s="967">
        <f>Input!J290</f>
        <v>0.5</v>
      </c>
      <c r="J32" s="967">
        <f>Input!K290</f>
        <v>0.5</v>
      </c>
    </row>
    <row r="33" spans="1:12" x14ac:dyDescent="0.35">
      <c r="A33" s="1004"/>
      <c r="B33" s="996" t="s">
        <v>271</v>
      </c>
      <c r="C33" s="152" t="s">
        <v>0</v>
      </c>
      <c r="E33" s="967">
        <f>Input!E291</f>
        <v>0</v>
      </c>
      <c r="F33" s="967">
        <f>Input!F291</f>
        <v>0</v>
      </c>
      <c r="G33" s="967">
        <f>Input!H291</f>
        <v>0</v>
      </c>
      <c r="H33" s="967">
        <f>Input!I291</f>
        <v>0</v>
      </c>
      <c r="I33" s="967">
        <f>Input!J291</f>
        <v>0.5</v>
      </c>
      <c r="J33" s="967">
        <f>Input!K291</f>
        <v>0.5</v>
      </c>
    </row>
    <row r="34" spans="1:12" x14ac:dyDescent="0.35">
      <c r="A34" s="1004"/>
      <c r="B34" s="996" t="s">
        <v>1041</v>
      </c>
      <c r="C34" s="152" t="s">
        <v>0</v>
      </c>
      <c r="E34" s="967">
        <f>Input!E292</f>
        <v>0</v>
      </c>
      <c r="F34" s="967">
        <f>Input!F292</f>
        <v>0</v>
      </c>
      <c r="G34" s="967">
        <f>Input!H292</f>
        <v>0</v>
      </c>
      <c r="H34" s="967">
        <f>Input!I292</f>
        <v>0</v>
      </c>
      <c r="I34" s="967">
        <f>Input!J292</f>
        <v>0.5</v>
      </c>
      <c r="J34" s="967">
        <f>Input!K292</f>
        <v>0.5</v>
      </c>
    </row>
    <row r="35" spans="1:12" x14ac:dyDescent="0.35">
      <c r="A35" s="1004"/>
      <c r="B35" s="932"/>
      <c r="C35" s="152"/>
      <c r="E35" s="967"/>
      <c r="F35" s="967"/>
      <c r="G35" s="967"/>
      <c r="H35" s="967"/>
      <c r="I35" s="967"/>
      <c r="J35" s="967"/>
    </row>
    <row r="36" spans="1:12" x14ac:dyDescent="0.35">
      <c r="A36" s="1005"/>
      <c r="B36" s="990" t="s">
        <v>1091</v>
      </c>
      <c r="C36" s="991"/>
      <c r="D36" s="989"/>
      <c r="E36" s="989"/>
      <c r="F36" s="989"/>
      <c r="G36" s="989"/>
      <c r="H36" s="989"/>
      <c r="I36" s="989"/>
      <c r="J36" s="989"/>
      <c r="K36" s="989"/>
      <c r="L36" s="989"/>
    </row>
    <row r="37" spans="1:12" x14ac:dyDescent="0.35">
      <c r="A37" s="1004" t="s">
        <v>272</v>
      </c>
      <c r="B37" s="988" t="s">
        <v>1088</v>
      </c>
      <c r="C37" s="152" t="s">
        <v>0</v>
      </c>
      <c r="E37" s="967">
        <f>Input!E267</f>
        <v>0</v>
      </c>
      <c r="F37" s="967">
        <f>Input!F267</f>
        <v>0</v>
      </c>
      <c r="G37" s="967">
        <f>Input!H267</f>
        <v>0.15</v>
      </c>
      <c r="H37" s="967">
        <f>Input!I267</f>
        <v>0.15</v>
      </c>
      <c r="I37" s="967">
        <f>Input!J267</f>
        <v>0.35</v>
      </c>
      <c r="J37" s="967">
        <f>Input!K267</f>
        <v>0.35</v>
      </c>
    </row>
    <row r="38" spans="1:12" x14ac:dyDescent="0.35">
      <c r="A38" s="1004"/>
    </row>
    <row r="39" spans="1:12" x14ac:dyDescent="0.35">
      <c r="A39" s="1004"/>
    </row>
    <row r="40" spans="1:12" x14ac:dyDescent="0.35">
      <c r="A40" s="1008"/>
      <c r="B40" s="1009" t="s">
        <v>1089</v>
      </c>
      <c r="C40" s="1010"/>
      <c r="D40" s="1011"/>
      <c r="E40" s="1011"/>
      <c r="F40" s="1011"/>
      <c r="G40" s="1011"/>
      <c r="H40" s="1011"/>
      <c r="I40" s="1011"/>
      <c r="J40" s="1011"/>
      <c r="K40" s="1011"/>
      <c r="L40" s="1011"/>
    </row>
    <row r="41" spans="1:12" x14ac:dyDescent="0.35">
      <c r="A41" s="1005"/>
      <c r="B41" s="990" t="s">
        <v>1090</v>
      </c>
      <c r="C41" s="991"/>
      <c r="D41" s="989"/>
      <c r="E41" s="989"/>
      <c r="F41" s="989"/>
      <c r="G41" s="989"/>
      <c r="H41" s="989"/>
      <c r="I41" s="989"/>
      <c r="J41" s="989"/>
      <c r="K41" s="989"/>
      <c r="L41" s="989"/>
    </row>
    <row r="42" spans="1:12" x14ac:dyDescent="0.35">
      <c r="A42" s="1004" t="s">
        <v>268</v>
      </c>
      <c r="B42" s="939" t="s">
        <v>1103</v>
      </c>
      <c r="C42" s="950"/>
    </row>
    <row r="43" spans="1:12" x14ac:dyDescent="0.35">
      <c r="A43" s="1004"/>
      <c r="B43" s="996" t="s">
        <v>1034</v>
      </c>
      <c r="C43" s="152" t="s">
        <v>528</v>
      </c>
      <c r="D43" s="965">
        <f>SUM(E43:J43)</f>
        <v>329.19210311999996</v>
      </c>
      <c r="E43" s="992">
        <f>Input!E298/100</f>
        <v>0</v>
      </c>
      <c r="F43" s="992">
        <f>Input!F298/100</f>
        <v>0</v>
      </c>
      <c r="G43" s="992">
        <f>Input!H298/100</f>
        <v>0</v>
      </c>
      <c r="H43" s="992">
        <f>Input!I298/100</f>
        <v>164.59605155999998</v>
      </c>
      <c r="I43" s="992">
        <f>Input!J298/100</f>
        <v>164.59605155999998</v>
      </c>
      <c r="J43" s="992">
        <f>Input!K298/100</f>
        <v>0</v>
      </c>
      <c r="L43" s="965"/>
    </row>
    <row r="44" spans="1:12" x14ac:dyDescent="0.35">
      <c r="A44" s="1004"/>
      <c r="B44" s="996" t="s">
        <v>1035</v>
      </c>
      <c r="C44" s="152" t="s">
        <v>528</v>
      </c>
      <c r="D44" s="965">
        <f t="shared" ref="D44:D51" si="7">SUM(E44:J44)</f>
        <v>140.00042555000002</v>
      </c>
      <c r="E44" s="992">
        <f>Input!E299/100</f>
        <v>0</v>
      </c>
      <c r="F44" s="992">
        <f>Input!F299/100</f>
        <v>14.000042555000002</v>
      </c>
      <c r="G44" s="992">
        <f>Input!H299/100</f>
        <v>28.000085110000004</v>
      </c>
      <c r="H44" s="992">
        <f>Input!I299/100</f>
        <v>28.000085110000004</v>
      </c>
      <c r="I44" s="992">
        <f>Input!J299/100</f>
        <v>42.000127665000001</v>
      </c>
      <c r="J44" s="992">
        <f>Input!K299/100</f>
        <v>28.000085110000004</v>
      </c>
      <c r="L44" s="965"/>
    </row>
    <row r="45" spans="1:12" x14ac:dyDescent="0.35">
      <c r="A45" s="1004"/>
      <c r="B45" s="996" t="s">
        <v>1036</v>
      </c>
      <c r="C45" s="152" t="s">
        <v>528</v>
      </c>
      <c r="D45" s="965">
        <f t="shared" si="7"/>
        <v>88.856789905479985</v>
      </c>
      <c r="E45" s="992">
        <f>Input!E300/100</f>
        <v>0</v>
      </c>
      <c r="F45" s="992">
        <f>Input!F300/100</f>
        <v>17.771357981095999</v>
      </c>
      <c r="G45" s="992">
        <f>Input!H300/100</f>
        <v>53.314073943287987</v>
      </c>
      <c r="H45" s="992">
        <f>Input!I300/100</f>
        <v>17.771357981095999</v>
      </c>
      <c r="I45" s="992">
        <f>Input!J300/100</f>
        <v>0</v>
      </c>
      <c r="J45" s="992">
        <f>Input!K300/100</f>
        <v>0</v>
      </c>
      <c r="L45" s="965"/>
    </row>
    <row r="46" spans="1:12" x14ac:dyDescent="0.35">
      <c r="A46" s="1004"/>
      <c r="B46" s="996" t="s">
        <v>1037</v>
      </c>
      <c r="C46" s="152" t="s">
        <v>528</v>
      </c>
      <c r="D46" s="965">
        <f t="shared" si="7"/>
        <v>36.522620539499997</v>
      </c>
      <c r="E46" s="992">
        <f>Input!E301/100</f>
        <v>0</v>
      </c>
      <c r="F46" s="992">
        <f>Input!F301/100</f>
        <v>0</v>
      </c>
      <c r="G46" s="992">
        <f>Input!H301/100</f>
        <v>10.956786161849999</v>
      </c>
      <c r="H46" s="992">
        <f>Input!I301/100</f>
        <v>10.956786161849999</v>
      </c>
      <c r="I46" s="992">
        <f>Input!J301/100</f>
        <v>10.956786161849999</v>
      </c>
      <c r="J46" s="992">
        <f>Input!K301/100</f>
        <v>3.6522620539500004</v>
      </c>
      <c r="L46" s="965"/>
    </row>
    <row r="47" spans="1:12" x14ac:dyDescent="0.35">
      <c r="A47" s="1004"/>
      <c r="B47" s="996" t="s">
        <v>1038</v>
      </c>
      <c r="C47" s="152" t="s">
        <v>528</v>
      </c>
      <c r="D47" s="965">
        <f t="shared" si="7"/>
        <v>106.92095056780811</v>
      </c>
      <c r="E47" s="992">
        <f>Input!E302/100</f>
        <v>0</v>
      </c>
      <c r="F47" s="992">
        <f>Input!F302/100</f>
        <v>0</v>
      </c>
      <c r="G47" s="992">
        <f>Input!H302/100</f>
        <v>0</v>
      </c>
      <c r="H47" s="992">
        <f>Input!I302/100</f>
        <v>53.460475283904053</v>
      </c>
      <c r="I47" s="992">
        <f>Input!J302/100</f>
        <v>53.460475283904053</v>
      </c>
      <c r="J47" s="992">
        <f>Input!K302/100</f>
        <v>0</v>
      </c>
      <c r="L47" s="965"/>
    </row>
    <row r="48" spans="1:12" x14ac:dyDescent="0.35">
      <c r="A48" s="1004"/>
      <c r="B48" s="996" t="s">
        <v>1039</v>
      </c>
      <c r="C48" s="152" t="s">
        <v>528</v>
      </c>
      <c r="D48" s="965">
        <f t="shared" si="7"/>
        <v>12.532837852</v>
      </c>
      <c r="E48" s="992">
        <f>Input!E303/100</f>
        <v>0</v>
      </c>
      <c r="F48" s="992">
        <f>Input!F303/100</f>
        <v>0</v>
      </c>
      <c r="G48" s="992">
        <f>Input!H303/100</f>
        <v>0</v>
      </c>
      <c r="H48" s="992">
        <f>Input!I303/100</f>
        <v>6.2664189260000001</v>
      </c>
      <c r="I48" s="992">
        <f>Input!J303/100</f>
        <v>6.2664189260000001</v>
      </c>
      <c r="J48" s="992">
        <f>Input!K303/100</f>
        <v>0</v>
      </c>
      <c r="L48" s="965"/>
    </row>
    <row r="49" spans="1:12" x14ac:dyDescent="0.35">
      <c r="A49" s="1004"/>
      <c r="B49" s="996" t="s">
        <v>1040</v>
      </c>
      <c r="C49" s="152" t="s">
        <v>528</v>
      </c>
      <c r="D49" s="965">
        <f t="shared" si="7"/>
        <v>65.39673049999999</v>
      </c>
      <c r="E49" s="992">
        <f>Input!E304/100</f>
        <v>0</v>
      </c>
      <c r="F49" s="992">
        <f>Input!F304/100</f>
        <v>0</v>
      </c>
      <c r="G49" s="992">
        <f>Input!H304/100</f>
        <v>0</v>
      </c>
      <c r="H49" s="992">
        <f>Input!I304/100</f>
        <v>32.698365249999995</v>
      </c>
      <c r="I49" s="992">
        <f>Input!J304/100</f>
        <v>32.698365249999995</v>
      </c>
      <c r="J49" s="992">
        <f>Input!K304/100</f>
        <v>0</v>
      </c>
      <c r="L49" s="965"/>
    </row>
    <row r="50" spans="1:12" x14ac:dyDescent="0.35">
      <c r="A50" s="1004"/>
      <c r="B50" s="996" t="s">
        <v>271</v>
      </c>
      <c r="C50" s="152" t="s">
        <v>528</v>
      </c>
      <c r="D50" s="965">
        <f t="shared" si="7"/>
        <v>9.6121668249702275</v>
      </c>
      <c r="E50" s="992">
        <f>Input!E305/100</f>
        <v>0</v>
      </c>
      <c r="F50" s="992">
        <f>Input!F305/100</f>
        <v>0</v>
      </c>
      <c r="G50" s="992">
        <f>Input!H305/100</f>
        <v>0</v>
      </c>
      <c r="H50" s="992">
        <f>Input!I305/100</f>
        <v>4.8060834124851137</v>
      </c>
      <c r="I50" s="992">
        <f>Input!J305/100</f>
        <v>4.8060834124851137</v>
      </c>
      <c r="J50" s="992">
        <f>Input!K305/100</f>
        <v>0</v>
      </c>
      <c r="L50" s="965"/>
    </row>
    <row r="51" spans="1:12" x14ac:dyDescent="0.35">
      <c r="A51" s="1004"/>
      <c r="B51" s="996" t="s">
        <v>1041</v>
      </c>
      <c r="C51" s="152" t="s">
        <v>528</v>
      </c>
      <c r="D51" s="965">
        <f t="shared" si="7"/>
        <v>3.5875737499999998</v>
      </c>
      <c r="E51" s="992">
        <f>Input!E306/100</f>
        <v>0</v>
      </c>
      <c r="F51" s="992">
        <f>Input!F306/100</f>
        <v>0</v>
      </c>
      <c r="G51" s="992">
        <f>Input!H306/100</f>
        <v>0</v>
      </c>
      <c r="H51" s="992">
        <f>Input!I306/100</f>
        <v>1.7937868749999999</v>
      </c>
      <c r="I51" s="992">
        <f>Input!J306/100</f>
        <v>1.7937868749999999</v>
      </c>
      <c r="J51" s="992">
        <f>Input!K306/100</f>
        <v>0</v>
      </c>
      <c r="L51" s="965"/>
    </row>
    <row r="52" spans="1:12" x14ac:dyDescent="0.35">
      <c r="A52" s="1004"/>
      <c r="B52" s="1000" t="s">
        <v>1000</v>
      </c>
      <c r="C52" s="1001" t="s">
        <v>528</v>
      </c>
      <c r="D52" s="1171">
        <f>SUM(E52:J52)</f>
        <v>792.62219860975847</v>
      </c>
      <c r="E52" s="1002">
        <f t="shared" ref="E52:J52" si="8">SUM(E43:E51)</f>
        <v>0</v>
      </c>
      <c r="F52" s="1002">
        <f t="shared" si="8"/>
        <v>31.771400536096003</v>
      </c>
      <c r="G52" s="1002">
        <f t="shared" si="8"/>
        <v>92.270945215137999</v>
      </c>
      <c r="H52" s="1002">
        <f t="shared" si="8"/>
        <v>320.34941056033523</v>
      </c>
      <c r="I52" s="1002">
        <f t="shared" si="8"/>
        <v>316.57809513423916</v>
      </c>
      <c r="J52" s="1002">
        <f t="shared" si="8"/>
        <v>31.652347163950004</v>
      </c>
      <c r="L52" s="1003"/>
    </row>
    <row r="53" spans="1:12" x14ac:dyDescent="0.35">
      <c r="A53" s="1004"/>
      <c r="B53" s="141"/>
      <c r="C53" s="76"/>
    </row>
    <row r="54" spans="1:12" x14ac:dyDescent="0.35">
      <c r="A54" s="1004" t="s">
        <v>270</v>
      </c>
      <c r="B54" s="939" t="s">
        <v>1102</v>
      </c>
      <c r="C54" s="950"/>
    </row>
    <row r="55" spans="1:12" x14ac:dyDescent="0.35">
      <c r="A55" s="1004"/>
      <c r="B55" s="996" t="s">
        <v>1034</v>
      </c>
      <c r="C55" s="152" t="s">
        <v>528</v>
      </c>
      <c r="D55" s="965">
        <f>SUM(E55:J55)</f>
        <v>46.474179263999993</v>
      </c>
      <c r="E55" s="992">
        <f>Input!E310/100</f>
        <v>0</v>
      </c>
      <c r="F55" s="992">
        <f>Input!F310/100</f>
        <v>0</v>
      </c>
      <c r="G55" s="992">
        <f>Input!H310/100</f>
        <v>0</v>
      </c>
      <c r="H55" s="992">
        <f>Input!I310/100</f>
        <v>9.2948358527999986</v>
      </c>
      <c r="I55" s="992">
        <f>Input!J310/100</f>
        <v>18.589671705599997</v>
      </c>
      <c r="J55" s="992">
        <f>Input!K310/100</f>
        <v>18.589671705599997</v>
      </c>
      <c r="L55" s="965"/>
    </row>
    <row r="56" spans="1:12" x14ac:dyDescent="0.35">
      <c r="A56" s="1004"/>
      <c r="B56" s="996" t="s">
        <v>1035</v>
      </c>
      <c r="C56" s="152" t="s">
        <v>528</v>
      </c>
      <c r="D56" s="965">
        <f t="shared" ref="D56:D63" si="9">SUM(E56:J56)</f>
        <v>19.764765960000005</v>
      </c>
      <c r="E56" s="992">
        <f>Input!E311/100</f>
        <v>0</v>
      </c>
      <c r="F56" s="992">
        <f>Input!F311/100</f>
        <v>0</v>
      </c>
      <c r="G56" s="992">
        <f>Input!H311/100</f>
        <v>0</v>
      </c>
      <c r="H56" s="992">
        <f>Input!I311/100</f>
        <v>3.9529531920000007</v>
      </c>
      <c r="I56" s="992">
        <f>Input!J311/100</f>
        <v>7.9059063840000015</v>
      </c>
      <c r="J56" s="992">
        <f>Input!K311/100</f>
        <v>7.9059063840000015</v>
      </c>
      <c r="L56" s="965"/>
    </row>
    <row r="57" spans="1:12" x14ac:dyDescent="0.35">
      <c r="A57" s="1004"/>
      <c r="B57" s="996" t="s">
        <v>1036</v>
      </c>
      <c r="C57" s="152" t="s">
        <v>528</v>
      </c>
      <c r="D57" s="965">
        <f t="shared" si="9"/>
        <v>12.544487986656002</v>
      </c>
      <c r="E57" s="992">
        <f>Input!E312/100</f>
        <v>0</v>
      </c>
      <c r="F57" s="992">
        <f>Input!F312/100</f>
        <v>0</v>
      </c>
      <c r="G57" s="992">
        <f>Input!H312/100</f>
        <v>2.5088975973312002</v>
      </c>
      <c r="H57" s="992">
        <f>Input!I312/100</f>
        <v>5.0177951946624004</v>
      </c>
      <c r="I57" s="992">
        <f>Input!J312/100</f>
        <v>5.0177951946624004</v>
      </c>
      <c r="J57" s="992">
        <f>Input!K312/100</f>
        <v>0</v>
      </c>
      <c r="L57" s="965"/>
    </row>
    <row r="58" spans="1:12" x14ac:dyDescent="0.35">
      <c r="A58" s="1004"/>
      <c r="B58" s="996" t="s">
        <v>1037</v>
      </c>
      <c r="C58" s="152" t="s">
        <v>528</v>
      </c>
      <c r="D58" s="965">
        <f t="shared" si="9"/>
        <v>5.1561346643999997</v>
      </c>
      <c r="E58" s="992">
        <f>Input!E313/100</f>
        <v>0</v>
      </c>
      <c r="F58" s="992">
        <f>Input!F313/100</f>
        <v>0</v>
      </c>
      <c r="G58" s="992">
        <f>Input!H313/100</f>
        <v>0</v>
      </c>
      <c r="H58" s="992">
        <f>Input!I313/100</f>
        <v>2.0624538657599998</v>
      </c>
      <c r="I58" s="992">
        <f>Input!J313/100</f>
        <v>2.0624538657599998</v>
      </c>
      <c r="J58" s="992">
        <f>Input!K313/100</f>
        <v>1.0312269328799999</v>
      </c>
      <c r="L58" s="965"/>
    </row>
    <row r="59" spans="1:12" x14ac:dyDescent="0.35">
      <c r="A59" s="1004"/>
      <c r="B59" s="996" t="s">
        <v>1038</v>
      </c>
      <c r="C59" s="152" t="s">
        <v>528</v>
      </c>
      <c r="D59" s="965">
        <f t="shared" si="9"/>
        <v>15.094722433102319</v>
      </c>
      <c r="E59" s="992">
        <f>Input!E314/100</f>
        <v>0</v>
      </c>
      <c r="F59" s="992">
        <f>Input!F314/100</f>
        <v>0</v>
      </c>
      <c r="G59" s="992">
        <f>Input!H314/100</f>
        <v>0</v>
      </c>
      <c r="H59" s="992">
        <f>Input!I314/100</f>
        <v>0</v>
      </c>
      <c r="I59" s="992">
        <f>Input!J314/100</f>
        <v>7.5473612165511597</v>
      </c>
      <c r="J59" s="992">
        <f>Input!K314/100</f>
        <v>7.5473612165511597</v>
      </c>
      <c r="L59" s="965"/>
    </row>
    <row r="60" spans="1:12" x14ac:dyDescent="0.35">
      <c r="A60" s="1004"/>
      <c r="B60" s="996" t="s">
        <v>1039</v>
      </c>
      <c r="C60" s="152" t="s">
        <v>528</v>
      </c>
      <c r="D60" s="965">
        <f t="shared" si="9"/>
        <v>1.7693418143999999</v>
      </c>
      <c r="E60" s="992">
        <f>Input!E315/100</f>
        <v>0</v>
      </c>
      <c r="F60" s="992">
        <f>Input!F315/100</f>
        <v>0</v>
      </c>
      <c r="G60" s="992">
        <f>Input!H315/100</f>
        <v>0</v>
      </c>
      <c r="H60" s="992">
        <f>Input!I315/100</f>
        <v>0</v>
      </c>
      <c r="I60" s="992">
        <f>Input!J315/100</f>
        <v>0.88467090719999997</v>
      </c>
      <c r="J60" s="992">
        <f>Input!K315/100</f>
        <v>0.88467090719999997</v>
      </c>
      <c r="L60" s="965"/>
    </row>
    <row r="61" spans="1:12" x14ac:dyDescent="0.35">
      <c r="A61" s="1004"/>
      <c r="B61" s="996" t="s">
        <v>1040</v>
      </c>
      <c r="C61" s="152" t="s">
        <v>528</v>
      </c>
      <c r="D61" s="965">
        <f t="shared" si="9"/>
        <v>9.2324795999999996</v>
      </c>
      <c r="E61" s="992">
        <f>Input!E316/100</f>
        <v>0</v>
      </c>
      <c r="F61" s="992">
        <f>Input!F316/100</f>
        <v>0</v>
      </c>
      <c r="G61" s="992">
        <f>Input!H316/100</f>
        <v>0</v>
      </c>
      <c r="H61" s="992">
        <f>Input!I316/100</f>
        <v>0</v>
      </c>
      <c r="I61" s="992">
        <f>Input!J316/100</f>
        <v>4.6162397999999998</v>
      </c>
      <c r="J61" s="992">
        <f>Input!K316/100</f>
        <v>4.6162397999999998</v>
      </c>
      <c r="L61" s="965"/>
    </row>
    <row r="62" spans="1:12" x14ac:dyDescent="0.35">
      <c r="A62" s="1004"/>
      <c r="B62" s="996" t="s">
        <v>271</v>
      </c>
      <c r="C62" s="152" t="s">
        <v>528</v>
      </c>
      <c r="D62" s="965">
        <f t="shared" si="9"/>
        <v>1.3570117870546201</v>
      </c>
      <c r="E62" s="992">
        <f>Input!E317/100</f>
        <v>0</v>
      </c>
      <c r="F62" s="992">
        <f>Input!F317/100</f>
        <v>0</v>
      </c>
      <c r="G62" s="992">
        <f>Input!H317/100</f>
        <v>0</v>
      </c>
      <c r="H62" s="992">
        <f>Input!I317/100</f>
        <v>0</v>
      </c>
      <c r="I62" s="992">
        <f>Input!J317/100</f>
        <v>0.67850589352731006</v>
      </c>
      <c r="J62" s="992">
        <f>Input!K317/100</f>
        <v>0.67850589352731006</v>
      </c>
      <c r="L62" s="965"/>
    </row>
    <row r="63" spans="1:12" x14ac:dyDescent="0.35">
      <c r="A63" s="1004"/>
      <c r="B63" s="996" t="s">
        <v>1041</v>
      </c>
      <c r="C63" s="152" t="s">
        <v>528</v>
      </c>
      <c r="D63" s="965">
        <f t="shared" si="9"/>
        <v>0.50648099999999996</v>
      </c>
      <c r="E63" s="992">
        <f>Input!E318/100</f>
        <v>0</v>
      </c>
      <c r="F63" s="992">
        <f>Input!F318/100</f>
        <v>0</v>
      </c>
      <c r="G63" s="992">
        <f>Input!H318/100</f>
        <v>0</v>
      </c>
      <c r="H63" s="992">
        <f>Input!I318/100</f>
        <v>0</v>
      </c>
      <c r="I63" s="992">
        <f>Input!J318/100</f>
        <v>0.25324049999999998</v>
      </c>
      <c r="J63" s="992">
        <f>Input!K318/100</f>
        <v>0.25324049999999998</v>
      </c>
      <c r="L63" s="965"/>
    </row>
    <row r="64" spans="1:12" x14ac:dyDescent="0.35">
      <c r="A64" s="1004"/>
      <c r="B64" s="1000" t="s">
        <v>1000</v>
      </c>
      <c r="C64" s="1001" t="s">
        <v>528</v>
      </c>
      <c r="D64" s="1171">
        <f>SUM(E64:J64)</f>
        <v>111.89960450961291</v>
      </c>
      <c r="E64" s="1002">
        <f t="shared" ref="E64:J64" si="10">SUM(E55:E63)</f>
        <v>0</v>
      </c>
      <c r="F64" s="1002">
        <f t="shared" si="10"/>
        <v>0</v>
      </c>
      <c r="G64" s="1002">
        <f t="shared" si="10"/>
        <v>2.5088975973312002</v>
      </c>
      <c r="H64" s="1002">
        <f t="shared" si="10"/>
        <v>20.328038105222397</v>
      </c>
      <c r="I64" s="1002">
        <f t="shared" si="10"/>
        <v>47.555845467300863</v>
      </c>
      <c r="J64" s="1002">
        <f t="shared" si="10"/>
        <v>41.506823339758462</v>
      </c>
      <c r="L64" s="1003"/>
    </row>
    <row r="65" spans="1:12" x14ac:dyDescent="0.35">
      <c r="A65" s="1004"/>
      <c r="B65" s="932"/>
      <c r="C65" s="152"/>
      <c r="E65" s="992"/>
      <c r="F65" s="992"/>
      <c r="G65" s="992"/>
      <c r="H65" s="992"/>
      <c r="I65" s="992"/>
      <c r="J65" s="992"/>
    </row>
    <row r="66" spans="1:12" ht="15" thickBot="1" x14ac:dyDescent="0.4">
      <c r="A66" s="1004" t="s">
        <v>1092</v>
      </c>
      <c r="B66" s="997" t="s">
        <v>10</v>
      </c>
      <c r="C66" s="943" t="s">
        <v>528</v>
      </c>
      <c r="D66" s="1170">
        <f>SUM(E66:J66)</f>
        <v>904.52180311937127</v>
      </c>
      <c r="E66" s="999">
        <f t="shared" ref="E66:J66" si="11">E64+E52</f>
        <v>0</v>
      </c>
      <c r="F66" s="999">
        <f t="shared" si="11"/>
        <v>31.771400536096003</v>
      </c>
      <c r="G66" s="999">
        <f t="shared" si="11"/>
        <v>94.779842812469198</v>
      </c>
      <c r="H66" s="999">
        <f t="shared" si="11"/>
        <v>340.67744866555762</v>
      </c>
      <c r="I66" s="999">
        <f t="shared" si="11"/>
        <v>364.13394060154002</v>
      </c>
      <c r="J66" s="999">
        <f t="shared" si="11"/>
        <v>73.159170503708467</v>
      </c>
      <c r="L66" s="1003"/>
    </row>
    <row r="67" spans="1:12" ht="15" thickTop="1" x14ac:dyDescent="0.35">
      <c r="A67" s="1004"/>
      <c r="B67" s="995"/>
      <c r="C67" s="993"/>
      <c r="E67" s="994"/>
      <c r="F67" s="994"/>
      <c r="G67" s="994"/>
      <c r="H67" s="994"/>
      <c r="I67" s="994"/>
      <c r="J67" s="994"/>
    </row>
    <row r="68" spans="1:12" x14ac:dyDescent="0.35">
      <c r="A68" s="1005" t="s">
        <v>272</v>
      </c>
      <c r="B68" s="990" t="s">
        <v>1091</v>
      </c>
      <c r="C68" s="991"/>
      <c r="D68" s="989"/>
      <c r="E68" s="989"/>
      <c r="F68" s="989"/>
      <c r="G68" s="989"/>
      <c r="H68" s="989"/>
      <c r="I68" s="989"/>
      <c r="J68" s="989"/>
      <c r="K68" s="989"/>
      <c r="L68" s="989"/>
    </row>
    <row r="69" spans="1:12" x14ac:dyDescent="0.35">
      <c r="B69" s="939" t="s">
        <v>1088</v>
      </c>
      <c r="C69" s="993" t="s">
        <v>528</v>
      </c>
      <c r="D69" s="1003">
        <f>SUM(E69:J69)</f>
        <v>32.386843200000001</v>
      </c>
      <c r="E69" s="994">
        <f>Input!E267*Input!$D$267/100</f>
        <v>0</v>
      </c>
      <c r="F69" s="994">
        <f>Input!F267*Input!$D$267/100</f>
        <v>0</v>
      </c>
      <c r="G69" s="994">
        <f>Input!H267*Input!$D$267/100</f>
        <v>4.8580264800000004</v>
      </c>
      <c r="H69" s="994">
        <f>Input!I267*Input!$D$267/100</f>
        <v>4.8580264800000004</v>
      </c>
      <c r="I69" s="994">
        <f>Input!J267*Input!$D$267/100</f>
        <v>11.335395120000001</v>
      </c>
      <c r="J69" s="994">
        <f>Input!K267*Input!$D$267/100</f>
        <v>11.335395120000001</v>
      </c>
      <c r="L69" s="965"/>
    </row>
    <row r="70" spans="1:12" x14ac:dyDescent="0.35">
      <c r="B70" s="939"/>
      <c r="C70" s="993"/>
      <c r="D70" s="758"/>
      <c r="E70" s="994"/>
      <c r="F70" s="994"/>
      <c r="G70" s="994"/>
      <c r="H70" s="994"/>
      <c r="I70" s="994"/>
      <c r="J70" s="994"/>
      <c r="L70" s="965"/>
    </row>
    <row r="71" spans="1:12" ht="23.5" customHeight="1" thickBot="1" x14ac:dyDescent="0.4">
      <c r="A71" s="998"/>
      <c r="B71" s="942" t="s">
        <v>1101</v>
      </c>
      <c r="C71" s="943" t="s">
        <v>528</v>
      </c>
      <c r="D71" s="1169">
        <f>SUM(E71:J71)</f>
        <v>936.90864631937131</v>
      </c>
      <c r="E71" s="999">
        <f t="shared" ref="E71:J71" si="12">E66+E69</f>
        <v>0</v>
      </c>
      <c r="F71" s="999">
        <f t="shared" si="12"/>
        <v>31.771400536096003</v>
      </c>
      <c r="G71" s="999">
        <f t="shared" si="12"/>
        <v>99.637869292469205</v>
      </c>
      <c r="H71" s="999">
        <f t="shared" si="12"/>
        <v>345.5354751455576</v>
      </c>
      <c r="I71" s="999">
        <f t="shared" si="12"/>
        <v>375.46933572154001</v>
      </c>
      <c r="J71" s="999">
        <f t="shared" si="12"/>
        <v>84.494565623708468</v>
      </c>
      <c r="L71" s="965"/>
    </row>
    <row r="72" spans="1:12" ht="15" thickTop="1" x14ac:dyDescent="0.35"/>
    <row r="73" spans="1:12" x14ac:dyDescent="0.35">
      <c r="A73" s="1008"/>
      <c r="B73" s="1009" t="s">
        <v>1094</v>
      </c>
      <c r="C73" s="1010"/>
      <c r="D73" s="1011"/>
      <c r="E73" s="1011"/>
      <c r="F73" s="1011"/>
      <c r="G73" s="1011"/>
      <c r="H73" s="1011"/>
      <c r="I73" s="1011"/>
      <c r="J73" s="1011"/>
      <c r="K73" s="1011"/>
      <c r="L73" s="1011"/>
    </row>
    <row r="74" spans="1:12" x14ac:dyDescent="0.35">
      <c r="B74" s="996" t="s">
        <v>1097</v>
      </c>
      <c r="C74" s="152" t="s">
        <v>0</v>
      </c>
      <c r="D74" s="952"/>
      <c r="E74" s="1007">
        <f t="shared" ref="E74:J74" si="13">E66/(SUM($E$66:$J$66))</f>
        <v>0</v>
      </c>
      <c r="F74" s="1007">
        <f t="shared" si="13"/>
        <v>3.5125079822871975E-2</v>
      </c>
      <c r="G74" s="1007">
        <f t="shared" si="13"/>
        <v>0.10478447560424471</v>
      </c>
      <c r="H74" s="1007">
        <f t="shared" si="13"/>
        <v>0.37663818328168908</v>
      </c>
      <c r="I74" s="1007">
        <f t="shared" si="13"/>
        <v>0.40257066147634324</v>
      </c>
      <c r="J74" s="1007">
        <f t="shared" si="13"/>
        <v>8.0881599814851032E-2</v>
      </c>
      <c r="L74" s="152" t="s">
        <v>1098</v>
      </c>
    </row>
    <row r="75" spans="1:12" x14ac:dyDescent="0.35">
      <c r="B75" s="996" t="s">
        <v>1095</v>
      </c>
      <c r="C75" s="152" t="s">
        <v>0</v>
      </c>
      <c r="D75" s="952"/>
      <c r="E75" s="1007">
        <f t="shared" ref="E75:J75" si="14">E69/SUM($E$69:$J$69)</f>
        <v>0</v>
      </c>
      <c r="F75" s="1007">
        <f t="shared" si="14"/>
        <v>0</v>
      </c>
      <c r="G75" s="1007">
        <f t="shared" si="14"/>
        <v>0.15</v>
      </c>
      <c r="H75" s="1007">
        <f t="shared" si="14"/>
        <v>0.15</v>
      </c>
      <c r="I75" s="1007">
        <f t="shared" si="14"/>
        <v>0.35000000000000003</v>
      </c>
      <c r="J75" s="1007">
        <f t="shared" si="14"/>
        <v>0.35000000000000003</v>
      </c>
      <c r="L75" s="152" t="s">
        <v>1096</v>
      </c>
    </row>
    <row r="76" spans="1:12" x14ac:dyDescent="0.35">
      <c r="B76" s="952" t="s">
        <v>1093</v>
      </c>
      <c r="C76" s="152" t="s">
        <v>0</v>
      </c>
      <c r="D76" s="952"/>
      <c r="E76" s="1007">
        <f>Input!E268</f>
        <v>0</v>
      </c>
      <c r="F76" s="1007">
        <f>Input!F268</f>
        <v>0</v>
      </c>
      <c r="G76" s="1007">
        <f>Input!H268</f>
        <v>0.05</v>
      </c>
      <c r="H76" s="1007">
        <f>Input!I268</f>
        <v>0.05</v>
      </c>
      <c r="I76" s="1007">
        <f>Input!J268</f>
        <v>0.45</v>
      </c>
      <c r="J76" s="1007">
        <f>Input!K268</f>
        <v>0.45</v>
      </c>
    </row>
    <row r="77" spans="1:12" x14ac:dyDescent="0.35">
      <c r="B77" s="758"/>
    </row>
    <row r="78" spans="1:12" x14ac:dyDescent="0.35">
      <c r="A78" s="1008"/>
      <c r="B78" s="1009" t="s">
        <v>1100</v>
      </c>
      <c r="C78" s="1010"/>
      <c r="D78" s="1008"/>
      <c r="E78" s="1011"/>
      <c r="F78" s="1011"/>
      <c r="G78" s="1011"/>
      <c r="H78" s="1011"/>
      <c r="I78" s="1011"/>
      <c r="J78" s="1011"/>
      <c r="K78" s="1011"/>
      <c r="L78" s="1011"/>
    </row>
    <row r="79" spans="1:12" x14ac:dyDescent="0.35">
      <c r="A79" s="1012">
        <f>IDC_Q!A48</f>
        <v>1</v>
      </c>
      <c r="B79" s="981" t="str">
        <f>IDC_Q!B48</f>
        <v>Capital Expenditure - Generation &amp; Transmission</v>
      </c>
      <c r="C79" s="981" t="str">
        <f>IDC_Q!C48</f>
        <v>Rs Cr</v>
      </c>
      <c r="D79" s="981"/>
      <c r="E79" s="981">
        <f>IDC_Q!E48</f>
        <v>0</v>
      </c>
      <c r="F79" s="981">
        <f>IDC_Q!F48</f>
        <v>38.075281232387098</v>
      </c>
      <c r="G79" s="981">
        <f>IDC_Q!G48</f>
        <v>113.58546080290753</v>
      </c>
      <c r="H79" s="981">
        <f>IDC_Q!H48</f>
        <v>408.27251706251417</v>
      </c>
      <c r="I79" s="981">
        <f>IDC_Q!I48</f>
        <v>436.38309802897402</v>
      </c>
      <c r="J79" s="981">
        <f>IDC_Q!J48</f>
        <v>87.674951203115654</v>
      </c>
      <c r="K79" s="981">
        <f>IDC_Q!K48</f>
        <v>0</v>
      </c>
      <c r="L79" s="981">
        <f>IDC_Q!L48</f>
        <v>0</v>
      </c>
    </row>
    <row r="80" spans="1:12" x14ac:dyDescent="0.35">
      <c r="A80" s="1012">
        <f>IDC_Q!A49</f>
        <v>2</v>
      </c>
      <c r="B80" s="981" t="str">
        <f>IDC_Q!B49</f>
        <v>Capital Expenditure - Infrastructure</v>
      </c>
      <c r="C80" s="981">
        <f>IDC_Q!C49</f>
        <v>0</v>
      </c>
      <c r="D80" s="981"/>
      <c r="E80" s="981">
        <f>IDC_Q!E49</f>
        <v>0</v>
      </c>
      <c r="F80" s="981">
        <f>IDC_Q!F49</f>
        <v>0</v>
      </c>
      <c r="G80" s="981">
        <f>IDC_Q!G49</f>
        <v>2.7887235000000001</v>
      </c>
      <c r="H80" s="981">
        <f>IDC_Q!H49</f>
        <v>2.7887235000000001</v>
      </c>
      <c r="I80" s="981">
        <f>IDC_Q!I49</f>
        <v>6.5070214999999996</v>
      </c>
      <c r="J80" s="981">
        <f>IDC_Q!J49</f>
        <v>6.5070214999999996</v>
      </c>
      <c r="K80" s="981">
        <f>IDC_Q!K49</f>
        <v>0</v>
      </c>
      <c r="L80" s="981">
        <f>IDC_Q!L49</f>
        <v>0</v>
      </c>
    </row>
    <row r="81" spans="1:12" x14ac:dyDescent="0.35">
      <c r="A81" s="1012">
        <f>IDC_Q!A50</f>
        <v>3</v>
      </c>
      <c r="B81" s="981" t="str">
        <f>IDC_Q!B50</f>
        <v>Capital Expenditure - Other Costs</v>
      </c>
      <c r="C81" s="981" t="str">
        <f>IDC_Q!C50</f>
        <v>Rs Cr</v>
      </c>
      <c r="D81" s="981"/>
      <c r="E81" s="981">
        <f>IDC_Q!E50</f>
        <v>0</v>
      </c>
      <c r="F81" s="981">
        <f>IDC_Q!F50</f>
        <v>0</v>
      </c>
      <c r="G81" s="981">
        <f>IDC_Q!G50</f>
        <v>5.6928022202786979</v>
      </c>
      <c r="H81" s="981">
        <f>IDC_Q!H50</f>
        <v>5.6928022202786979</v>
      </c>
      <c r="I81" s="981">
        <f>IDC_Q!I50</f>
        <v>51.235219982508283</v>
      </c>
      <c r="J81" s="981">
        <f>IDC_Q!J50</f>
        <v>51.235219982508283</v>
      </c>
      <c r="K81" s="981">
        <f>IDC_Q!K50</f>
        <v>0</v>
      </c>
      <c r="L81" s="981">
        <f>IDC_Q!L50</f>
        <v>0</v>
      </c>
    </row>
    <row r="82" spans="1:12" x14ac:dyDescent="0.35">
      <c r="A82" s="1012"/>
      <c r="B82" s="760" t="str">
        <f>IDC_Q!B51</f>
        <v>Phasing - Capex</v>
      </c>
      <c r="C82" s="760" t="str">
        <f>IDC_Q!C51</f>
        <v>Rs Cr</v>
      </c>
      <c r="D82" s="760"/>
      <c r="E82" s="760">
        <f>IDC_Q!E51</f>
        <v>0</v>
      </c>
      <c r="F82" s="760">
        <f>IDC_Q!F51</f>
        <v>38.075281232387098</v>
      </c>
      <c r="G82" s="760">
        <f>IDC_Q!G51</f>
        <v>122.06698652318623</v>
      </c>
      <c r="H82" s="760">
        <f>IDC_Q!H51</f>
        <v>416.75404278279285</v>
      </c>
      <c r="I82" s="760">
        <f>IDC_Q!I51</f>
        <v>494.12533951148231</v>
      </c>
      <c r="J82" s="760">
        <f>IDC_Q!J51</f>
        <v>145.41719268562395</v>
      </c>
      <c r="K82" s="760">
        <f>IDC_Q!K51</f>
        <v>0</v>
      </c>
      <c r="L82" s="760">
        <f>IDC_Q!L51</f>
        <v>0</v>
      </c>
    </row>
    <row r="83" spans="1:12" x14ac:dyDescent="0.35">
      <c r="A83" s="1012">
        <v>4</v>
      </c>
      <c r="B83" s="981" t="str">
        <f>IDC_Q!B52</f>
        <v>IDC</v>
      </c>
      <c r="C83" s="981" t="str">
        <f>IDC_Q!C52</f>
        <v>Rs Cr</v>
      </c>
      <c r="D83" s="981"/>
      <c r="E83" s="981">
        <f ca="1">IDC_Q!E52</f>
        <v>0</v>
      </c>
      <c r="F83" s="981">
        <f ca="1">IDC_Q!F52</f>
        <v>0.20095021509930358</v>
      </c>
      <c r="G83" s="981">
        <f ca="1">IDC_Q!G52</f>
        <v>1.0482554505607788</v>
      </c>
      <c r="H83" s="981">
        <f ca="1">IDC_Q!H52</f>
        <v>3.9030602619076276</v>
      </c>
      <c r="I83" s="981">
        <f ca="1">IDC_Q!I52</f>
        <v>8.7516140591380616</v>
      </c>
      <c r="J83" s="981">
        <f ca="1">IDC_Q!J52</f>
        <v>12.219309702923693</v>
      </c>
      <c r="K83" s="981">
        <f ca="1">IDC_Q!K52</f>
        <v>0</v>
      </c>
      <c r="L83" s="981">
        <f ca="1">IDC_Q!L52</f>
        <v>0</v>
      </c>
    </row>
    <row r="84" spans="1:12" ht="15" thickBot="1" x14ac:dyDescent="0.4">
      <c r="A84" s="981"/>
      <c r="B84" s="985" t="str">
        <f>IDC_Q!B53</f>
        <v>Capex incl. IDC</v>
      </c>
      <c r="C84" s="985" t="str">
        <f>IDC_Q!C53</f>
        <v>Rs Cr</v>
      </c>
      <c r="D84" s="985"/>
      <c r="E84" s="985">
        <f ca="1">IDC_Q!E53</f>
        <v>0</v>
      </c>
      <c r="F84" s="985">
        <f ca="1">IDC_Q!F53</f>
        <v>38.276231447486403</v>
      </c>
      <c r="G84" s="985">
        <f ca="1">IDC_Q!G53</f>
        <v>123.115241973747</v>
      </c>
      <c r="H84" s="985">
        <f ca="1">IDC_Q!H53</f>
        <v>420.65710304470048</v>
      </c>
      <c r="I84" s="985">
        <f ca="1">IDC_Q!I53</f>
        <v>502.87695357062034</v>
      </c>
      <c r="J84" s="985">
        <f ca="1">IDC_Q!J53</f>
        <v>157.63650238854763</v>
      </c>
      <c r="K84" s="985">
        <f ca="1">IDC_Q!K53</f>
        <v>0</v>
      </c>
      <c r="L84" s="985">
        <f ca="1">IDC_Q!L53</f>
        <v>0</v>
      </c>
    </row>
    <row r="85" spans="1:12" ht="15" thickTop="1" x14ac:dyDescent="0.35">
      <c r="A85" s="981"/>
      <c r="B85" s="981">
        <f>IDC_Q!B54</f>
        <v>0</v>
      </c>
      <c r="C85" s="981">
        <f>IDC_Q!C54</f>
        <v>0</v>
      </c>
      <c r="D85" s="981"/>
      <c r="E85" s="981"/>
      <c r="F85" s="981"/>
      <c r="G85" s="981"/>
      <c r="H85" s="981"/>
      <c r="I85" s="981"/>
      <c r="J85" s="981"/>
      <c r="K85" s="981"/>
      <c r="L85" s="981"/>
    </row>
    <row r="86" spans="1:12" x14ac:dyDescent="0.35">
      <c r="A86" s="981"/>
      <c r="B86" s="981" t="str">
        <f>IDC_Q!B55</f>
        <v>Commerical Loan 1</v>
      </c>
      <c r="C86" s="981" t="str">
        <f>IDC_Q!C55</f>
        <v>%</v>
      </c>
      <c r="D86" s="967"/>
      <c r="E86" s="967">
        <f>IDC_Q!E55</f>
        <v>0.7</v>
      </c>
      <c r="F86" s="967">
        <f>IDC_Q!F55</f>
        <v>0.7</v>
      </c>
      <c r="G86" s="967">
        <f>IDC_Q!G55</f>
        <v>0.7</v>
      </c>
      <c r="H86" s="967">
        <f>IDC_Q!H55</f>
        <v>0.7</v>
      </c>
      <c r="I86" s="967">
        <f>IDC_Q!I55</f>
        <v>0.7</v>
      </c>
      <c r="J86" s="967">
        <f>IDC_Q!J55</f>
        <v>0.7</v>
      </c>
      <c r="K86" s="967">
        <f>IDC_Q!K55</f>
        <v>0.7</v>
      </c>
      <c r="L86" s="967">
        <f>IDC_Q!L55</f>
        <v>0.7</v>
      </c>
    </row>
    <row r="87" spans="1:12" x14ac:dyDescent="0.35">
      <c r="A87" s="981"/>
      <c r="B87" s="981" t="str">
        <f>IDC_Q!B57</f>
        <v>Grant</v>
      </c>
      <c r="C87" s="981" t="str">
        <f>IDC_Q!C57</f>
        <v>%</v>
      </c>
      <c r="D87" s="981"/>
      <c r="E87" s="981">
        <f>IDC_Q!E57</f>
        <v>0</v>
      </c>
      <c r="F87" s="981">
        <f>IDC_Q!F57</f>
        <v>0</v>
      </c>
      <c r="G87" s="981">
        <f>IDC_Q!G57</f>
        <v>0</v>
      </c>
      <c r="H87" s="981">
        <f>IDC_Q!H57</f>
        <v>0</v>
      </c>
      <c r="I87" s="981">
        <f>IDC_Q!I57</f>
        <v>0</v>
      </c>
      <c r="J87" s="981">
        <f>IDC_Q!J57</f>
        <v>0</v>
      </c>
      <c r="K87" s="981">
        <f>IDC_Q!K57</f>
        <v>0</v>
      </c>
      <c r="L87" s="981">
        <f>IDC_Q!L57</f>
        <v>0</v>
      </c>
    </row>
    <row r="88" spans="1:12" x14ac:dyDescent="0.35">
      <c r="A88" s="981"/>
      <c r="B88" s="981" t="str">
        <f>IDC_Q!B58</f>
        <v>Equity</v>
      </c>
      <c r="C88" s="981" t="str">
        <f>IDC_Q!C58</f>
        <v>%</v>
      </c>
      <c r="D88" s="967"/>
      <c r="E88" s="967">
        <f>IDC_Q!E58</f>
        <v>0.30000000000000004</v>
      </c>
      <c r="F88" s="967">
        <f>IDC_Q!F58</f>
        <v>0.30000000000000004</v>
      </c>
      <c r="G88" s="967">
        <f>IDC_Q!G58</f>
        <v>0.30000000000000004</v>
      </c>
      <c r="H88" s="967">
        <f>IDC_Q!H58</f>
        <v>0.30000000000000004</v>
      </c>
      <c r="I88" s="967">
        <f>IDC_Q!I58</f>
        <v>0.30000000000000004</v>
      </c>
      <c r="J88" s="967">
        <f>IDC_Q!J58</f>
        <v>0.30000000000000004</v>
      </c>
      <c r="K88" s="967">
        <f>IDC_Q!K58</f>
        <v>0.30000000000000004</v>
      </c>
      <c r="L88" s="967">
        <f>IDC_Q!L58</f>
        <v>0.30000000000000004</v>
      </c>
    </row>
    <row r="89" spans="1:12" x14ac:dyDescent="0.35">
      <c r="A89" s="981"/>
      <c r="B89" s="981"/>
      <c r="C89" s="981"/>
      <c r="D89" s="981"/>
      <c r="E89" s="981"/>
      <c r="F89" s="981"/>
      <c r="G89" s="981"/>
      <c r="H89" s="981"/>
      <c r="I89" s="981"/>
      <c r="J89" s="981"/>
      <c r="K89" s="981"/>
      <c r="L89" s="981"/>
    </row>
    <row r="90" spans="1:12" x14ac:dyDescent="0.35">
      <c r="A90" s="981"/>
      <c r="B90" s="981" t="str">
        <f>IDC_Q!B60</f>
        <v>Commerical Loan 1</v>
      </c>
      <c r="C90" s="981" t="str">
        <f>IDC_Q!C60</f>
        <v>Rs Cr</v>
      </c>
      <c r="D90" s="981"/>
      <c r="E90" s="981">
        <f ca="1">IDC_Q!E60</f>
        <v>0</v>
      </c>
      <c r="F90" s="981">
        <f ca="1">IDC_Q!F60</f>
        <v>26.793362013240479</v>
      </c>
      <c r="G90" s="981">
        <f ca="1">IDC_Q!G60</f>
        <v>86.180669381622891</v>
      </c>
      <c r="H90" s="981">
        <f ca="1">IDC_Q!H60</f>
        <v>294.45997213129033</v>
      </c>
      <c r="I90" s="981">
        <f ca="1">IDC_Q!I60</f>
        <v>352.01386749943424</v>
      </c>
      <c r="J90" s="981">
        <f ca="1">IDC_Q!J60</f>
        <v>110.34555167198333</v>
      </c>
      <c r="K90" s="981">
        <f ca="1">IDC_Q!K60</f>
        <v>0</v>
      </c>
      <c r="L90" s="981">
        <f ca="1">IDC_Q!L60</f>
        <v>0</v>
      </c>
    </row>
    <row r="91" spans="1:12" x14ac:dyDescent="0.35">
      <c r="A91" s="981"/>
      <c r="B91" s="981" t="str">
        <f>IDC_Q!B62</f>
        <v>Grant</v>
      </c>
      <c r="C91" s="981" t="str">
        <f>IDC_Q!C62</f>
        <v>Rs Cr</v>
      </c>
      <c r="D91" s="981"/>
      <c r="E91" s="981">
        <f ca="1">IDC_Q!E62</f>
        <v>0</v>
      </c>
      <c r="F91" s="981">
        <f ca="1">IDC_Q!F62</f>
        <v>0</v>
      </c>
      <c r="G91" s="981">
        <f ca="1">IDC_Q!G62</f>
        <v>0</v>
      </c>
      <c r="H91" s="981">
        <f ca="1">IDC_Q!H62</f>
        <v>0</v>
      </c>
      <c r="I91" s="981">
        <f ca="1">IDC_Q!I62</f>
        <v>0</v>
      </c>
      <c r="J91" s="981">
        <f ca="1">IDC_Q!J62</f>
        <v>0</v>
      </c>
      <c r="K91" s="981">
        <f ca="1">IDC_Q!K62</f>
        <v>0</v>
      </c>
      <c r="L91" s="981">
        <f ca="1">IDC_Q!L62</f>
        <v>0</v>
      </c>
    </row>
    <row r="92" spans="1:12" x14ac:dyDescent="0.35">
      <c r="A92" s="981"/>
      <c r="B92" s="981" t="str">
        <f>IDC_Q!B63</f>
        <v>Equity</v>
      </c>
      <c r="C92" s="981" t="str">
        <f>IDC_Q!C63</f>
        <v>Rs Cr</v>
      </c>
      <c r="D92" s="981"/>
      <c r="E92" s="981">
        <f ca="1">IDC_Q!E63</f>
        <v>0</v>
      </c>
      <c r="F92" s="981">
        <f ca="1">IDC_Q!F63</f>
        <v>11.482869434245922</v>
      </c>
      <c r="G92" s="981">
        <f ca="1">IDC_Q!G63</f>
        <v>36.934572592124105</v>
      </c>
      <c r="H92" s="981">
        <f ca="1">IDC_Q!H63</f>
        <v>126.19713091341016</v>
      </c>
      <c r="I92" s="981">
        <f ca="1">IDC_Q!I63</f>
        <v>150.86308607118613</v>
      </c>
      <c r="J92" s="981">
        <f ca="1">IDC_Q!J63</f>
        <v>47.290950716564296</v>
      </c>
      <c r="K92" s="981">
        <f ca="1">IDC_Q!K63</f>
        <v>0</v>
      </c>
      <c r="L92" s="981">
        <f ca="1">IDC_Q!L63</f>
        <v>0</v>
      </c>
    </row>
    <row r="93" spans="1:12" x14ac:dyDescent="0.35">
      <c r="A93" s="981"/>
      <c r="B93" s="981">
        <f>IDC_Q!B64</f>
        <v>0</v>
      </c>
      <c r="C93" s="981">
        <f>IDC_Q!C64</f>
        <v>0</v>
      </c>
      <c r="D93" s="981"/>
      <c r="E93" s="981"/>
      <c r="F93" s="981"/>
      <c r="G93" s="981"/>
      <c r="H93" s="981"/>
      <c r="I93" s="981"/>
      <c r="J93" s="981"/>
      <c r="K93" s="981"/>
      <c r="L93" s="981"/>
    </row>
    <row r="94" spans="1:12" x14ac:dyDescent="0.35">
      <c r="B94" s="760" t="s">
        <v>1099</v>
      </c>
      <c r="C94" s="981">
        <f>IDC_Q!C73</f>
        <v>0</v>
      </c>
      <c r="D94" s="981"/>
      <c r="E94" s="981"/>
      <c r="F94" s="981"/>
      <c r="G94" s="981"/>
      <c r="H94" s="981"/>
      <c r="I94" s="981"/>
      <c r="J94" s="981"/>
      <c r="K94" s="981"/>
      <c r="L94" s="981"/>
    </row>
    <row r="95" spans="1:12" x14ac:dyDescent="0.35">
      <c r="A95" s="981"/>
      <c r="B95" s="981" t="str">
        <f>IDC_Q!B74</f>
        <v>Opening</v>
      </c>
      <c r="C95" s="981" t="str">
        <f>IDC_Q!C74</f>
        <v>Rs Cr</v>
      </c>
      <c r="D95" s="981"/>
      <c r="E95" s="981">
        <f>IDC_Q!E74</f>
        <v>0</v>
      </c>
      <c r="F95" s="981">
        <f ca="1">IDC_Q!F74</f>
        <v>0</v>
      </c>
      <c r="G95" s="981">
        <f ca="1">IDC_Q!G74</f>
        <v>26.793362013240479</v>
      </c>
      <c r="H95" s="981">
        <f ca="1">IDC_Q!H74</f>
        <v>112.97403139486337</v>
      </c>
      <c r="I95" s="981">
        <f ca="1">IDC_Q!I74</f>
        <v>407.43400352615367</v>
      </c>
      <c r="J95" s="981">
        <f ca="1">IDC_Q!J74</f>
        <v>759.44787102558792</v>
      </c>
      <c r="K95" s="981">
        <f ca="1">IDC_Q!K74</f>
        <v>869.79342269757126</v>
      </c>
      <c r="L95" s="981">
        <f ca="1">IDC_Q!L74</f>
        <v>855.2968656526117</v>
      </c>
    </row>
    <row r="96" spans="1:12" x14ac:dyDescent="0.35">
      <c r="A96" s="981"/>
      <c r="B96" s="981" t="str">
        <f>IDC_Q!B75</f>
        <v>Drawdown</v>
      </c>
      <c r="C96" s="981" t="str">
        <f>IDC_Q!C75</f>
        <v>Rs Cr</v>
      </c>
      <c r="D96" s="981"/>
      <c r="E96" s="981">
        <f ca="1">IDC_Q!E75</f>
        <v>0</v>
      </c>
      <c r="F96" s="981">
        <f ca="1">IDC_Q!F75</f>
        <v>26.793362013240479</v>
      </c>
      <c r="G96" s="981">
        <f ca="1">IDC_Q!G75</f>
        <v>86.180669381622891</v>
      </c>
      <c r="H96" s="981">
        <f ca="1">IDC_Q!H75</f>
        <v>294.45997213129033</v>
      </c>
      <c r="I96" s="981">
        <f ca="1">IDC_Q!I75</f>
        <v>352.01386749943424</v>
      </c>
      <c r="J96" s="981">
        <f ca="1">IDC_Q!J75</f>
        <v>110.34555167198333</v>
      </c>
      <c r="K96" s="981">
        <f ca="1">IDC_Q!K75</f>
        <v>0</v>
      </c>
      <c r="L96" s="981">
        <f ca="1">IDC_Q!L75</f>
        <v>0</v>
      </c>
    </row>
    <row r="97" spans="1:12" x14ac:dyDescent="0.35">
      <c r="A97" s="981"/>
      <c r="B97" s="981" t="str">
        <f>IDC_Q!B76</f>
        <v>Repayments</v>
      </c>
      <c r="C97" s="981" t="str">
        <f>IDC_Q!C76</f>
        <v>Rs Cr</v>
      </c>
      <c r="D97" s="981"/>
      <c r="E97" s="981">
        <f>IDC_Q!E76</f>
        <v>0</v>
      </c>
      <c r="F97" s="981">
        <f>IDC_Q!F76</f>
        <v>0</v>
      </c>
      <c r="G97" s="981">
        <f>IDC_Q!G76</f>
        <v>0</v>
      </c>
      <c r="H97" s="981">
        <f>IDC_Q!H76</f>
        <v>0</v>
      </c>
      <c r="I97" s="981">
        <f>IDC_Q!I76</f>
        <v>0</v>
      </c>
      <c r="J97" s="981">
        <f>IDC_Q!J76</f>
        <v>0</v>
      </c>
      <c r="K97" s="981">
        <f ca="1">IDC_Q!K76</f>
        <v>14.496557044959522</v>
      </c>
      <c r="L97" s="981">
        <f ca="1">IDC_Q!L76</f>
        <v>14.496557044959522</v>
      </c>
    </row>
    <row r="98" spans="1:12" ht="15" thickBot="1" x14ac:dyDescent="0.4">
      <c r="A98" s="981"/>
      <c r="B98" s="985" t="str">
        <f>IDC_Q!B77</f>
        <v>Closing</v>
      </c>
      <c r="C98" s="985" t="str">
        <f>IDC_Q!C77</f>
        <v>Rs Cr</v>
      </c>
      <c r="D98" s="985"/>
      <c r="E98" s="985">
        <f ca="1">IDC_Q!E77</f>
        <v>0</v>
      </c>
      <c r="F98" s="985">
        <f ca="1">IDC_Q!F77</f>
        <v>26.793362013240479</v>
      </c>
      <c r="G98" s="985">
        <f ca="1">IDC_Q!G77</f>
        <v>112.97403139486337</v>
      </c>
      <c r="H98" s="985">
        <f ca="1">IDC_Q!H77</f>
        <v>407.43400352615367</v>
      </c>
      <c r="I98" s="985">
        <f ca="1">IDC_Q!I77</f>
        <v>759.44787102558792</v>
      </c>
      <c r="J98" s="985">
        <f ca="1">IDC_Q!J77</f>
        <v>869.79342269757126</v>
      </c>
      <c r="K98" s="985">
        <f ca="1">IDC_Q!K77</f>
        <v>855.2968656526117</v>
      </c>
      <c r="L98" s="985">
        <f ca="1">IDC_Q!L77</f>
        <v>840.80030860765214</v>
      </c>
    </row>
    <row r="99" spans="1:12" ht="15" thickTop="1" x14ac:dyDescent="0.35">
      <c r="A99" s="981"/>
      <c r="B99" s="981">
        <f>IDC_Q!B78</f>
        <v>0</v>
      </c>
      <c r="C99" s="981">
        <f>IDC_Q!C78</f>
        <v>0</v>
      </c>
      <c r="D99" s="981"/>
      <c r="E99" s="981"/>
      <c r="F99" s="981"/>
      <c r="G99" s="981"/>
      <c r="H99" s="981"/>
      <c r="I99" s="981"/>
      <c r="J99" s="981"/>
      <c r="K99" s="981"/>
      <c r="L99" s="981"/>
    </row>
    <row r="100" spans="1:12" x14ac:dyDescent="0.35">
      <c r="A100" s="981"/>
      <c r="B100" s="981" t="str">
        <f>IDC_Q!B79</f>
        <v>Interest Rate</v>
      </c>
      <c r="C100" s="981" t="str">
        <f>IDC_Q!C79</f>
        <v>%</v>
      </c>
      <c r="D100" s="968"/>
      <c r="E100" s="968">
        <f>IDC_Q!E79</f>
        <v>0.06</v>
      </c>
      <c r="F100" s="968">
        <f>IDC_Q!F79</f>
        <v>0.06</v>
      </c>
      <c r="G100" s="968">
        <f>IDC_Q!G79</f>
        <v>0.06</v>
      </c>
      <c r="H100" s="968">
        <f>IDC_Q!H79</f>
        <v>0.06</v>
      </c>
      <c r="I100" s="968">
        <f>IDC_Q!I79</f>
        <v>0.06</v>
      </c>
      <c r="J100" s="968">
        <f>IDC_Q!J79</f>
        <v>0.06</v>
      </c>
      <c r="K100" s="968">
        <f>IDC_Q!K79</f>
        <v>0.06</v>
      </c>
      <c r="L100" s="968">
        <f>IDC_Q!L79</f>
        <v>0.06</v>
      </c>
    </row>
    <row r="101" spans="1:12" x14ac:dyDescent="0.35">
      <c r="A101" s="981"/>
      <c r="B101" s="760" t="str">
        <f>IDC_Q!B80</f>
        <v>IDC</v>
      </c>
      <c r="C101" s="760" t="str">
        <f>IDC_Q!C80</f>
        <v>Rs Cr</v>
      </c>
      <c r="D101" s="760"/>
      <c r="E101" s="760">
        <f ca="1">IDC_Q!E80</f>
        <v>0</v>
      </c>
      <c r="F101" s="760">
        <f ca="1">IDC_Q!F80</f>
        <v>0.20095021509930358</v>
      </c>
      <c r="G101" s="760">
        <f ca="1">IDC_Q!G80</f>
        <v>1.0482554505607788</v>
      </c>
      <c r="H101" s="760">
        <f ca="1">IDC_Q!H80</f>
        <v>3.9030602619076276</v>
      </c>
      <c r="I101" s="760">
        <f ca="1">IDC_Q!I80</f>
        <v>8.7516140591380616</v>
      </c>
      <c r="J101" s="760">
        <f ca="1">IDC_Q!J80</f>
        <v>12.219309702923693</v>
      </c>
      <c r="K101" s="760">
        <f ca="1">IDC_Q!K80</f>
        <v>0</v>
      </c>
      <c r="L101" s="760">
        <f ca="1">IDC_Q!L80</f>
        <v>0</v>
      </c>
    </row>
    <row r="102" spans="1:12" x14ac:dyDescent="0.35">
      <c r="A102" s="981"/>
      <c r="B102" s="981" t="str">
        <f>IDC_Q!B81</f>
        <v>Interest Charge</v>
      </c>
      <c r="C102" s="981" t="str">
        <f>IDC_Q!C81</f>
        <v>Rs Cr</v>
      </c>
      <c r="D102" s="760"/>
      <c r="E102" s="981">
        <f ca="1">IDC_Q!E81</f>
        <v>0</v>
      </c>
      <c r="F102" s="981">
        <f ca="1">IDC_Q!F81</f>
        <v>0</v>
      </c>
      <c r="G102" s="981">
        <f ca="1">IDC_Q!G81</f>
        <v>0</v>
      </c>
      <c r="H102" s="981">
        <f ca="1">IDC_Q!H81</f>
        <v>0</v>
      </c>
      <c r="I102" s="981">
        <f ca="1">IDC_Q!I81</f>
        <v>0</v>
      </c>
      <c r="J102" s="981">
        <f ca="1">IDC_Q!J81</f>
        <v>0</v>
      </c>
      <c r="K102" s="981">
        <f ca="1">IDC_Q!K81</f>
        <v>51.75270865050549</v>
      </c>
      <c r="L102" s="981">
        <f ca="1">IDC_Q!L81</f>
        <v>50.882915227807906</v>
      </c>
    </row>
    <row r="103" spans="1:12" x14ac:dyDescent="0.35">
      <c r="A103" s="981"/>
      <c r="B103" s="981"/>
      <c r="C103" s="981">
        <f>IDC_Q!C82</f>
        <v>0</v>
      </c>
      <c r="D103" s="981"/>
      <c r="E103" s="981"/>
      <c r="F103" s="981"/>
      <c r="G103" s="981"/>
      <c r="H103" s="981"/>
      <c r="I103" s="981"/>
      <c r="J103" s="981"/>
      <c r="K103" s="981"/>
      <c r="L103" s="981"/>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A1B61-AE73-4D49-9809-1B461F021023}">
  <sheetPr>
    <tabColor rgb="FFFFC000"/>
  </sheetPr>
  <dimension ref="A1:AE72"/>
  <sheetViews>
    <sheetView showGridLines="0" zoomScale="73" zoomScaleNormal="25" workbookViewId="0">
      <selection activeCell="G81" sqref="G81"/>
    </sheetView>
  </sheetViews>
  <sheetFormatPr defaultRowHeight="14.5" x14ac:dyDescent="0.35"/>
  <cols>
    <col min="1" max="1" width="23.1796875" bestFit="1" customWidth="1"/>
    <col min="2" max="2" width="43.26953125" bestFit="1" customWidth="1"/>
    <col min="3" max="3" width="6.26953125" bestFit="1" customWidth="1"/>
    <col min="4" max="4" width="9.08984375" bestFit="1" customWidth="1"/>
    <col min="5" max="5" width="8.08984375" bestFit="1" customWidth="1"/>
    <col min="6" max="31" width="9.54296875" bestFit="1" customWidth="1"/>
  </cols>
  <sheetData>
    <row r="1" spans="1:31" x14ac:dyDescent="0.35">
      <c r="A1" s="165"/>
      <c r="B1" s="166" t="s">
        <v>15</v>
      </c>
      <c r="C1" s="167" t="s">
        <v>14</v>
      </c>
      <c r="D1" s="168" t="s">
        <v>13</v>
      </c>
      <c r="E1" s="169">
        <f>YEAR(E2)</f>
        <v>2026</v>
      </c>
      <c r="F1" s="169">
        <f t="shared" ref="F1:AE1" si="0">E1+1</f>
        <v>2027</v>
      </c>
      <c r="G1" s="170">
        <f t="shared" si="0"/>
        <v>2028</v>
      </c>
      <c r="H1" s="170">
        <f t="shared" si="0"/>
        <v>2029</v>
      </c>
      <c r="I1" s="170">
        <f t="shared" si="0"/>
        <v>2030</v>
      </c>
      <c r="J1" s="170">
        <f t="shared" si="0"/>
        <v>2031</v>
      </c>
      <c r="K1" s="170">
        <f t="shared" si="0"/>
        <v>2032</v>
      </c>
      <c r="L1" s="170">
        <f t="shared" si="0"/>
        <v>2033</v>
      </c>
      <c r="M1" s="170">
        <f t="shared" si="0"/>
        <v>2034</v>
      </c>
      <c r="N1" s="170">
        <f t="shared" si="0"/>
        <v>2035</v>
      </c>
      <c r="O1" s="170">
        <f t="shared" si="0"/>
        <v>2036</v>
      </c>
      <c r="P1" s="170">
        <f t="shared" si="0"/>
        <v>2037</v>
      </c>
      <c r="Q1" s="170">
        <f t="shared" si="0"/>
        <v>2038</v>
      </c>
      <c r="R1" s="170">
        <f t="shared" si="0"/>
        <v>2039</v>
      </c>
      <c r="S1" s="170">
        <f t="shared" si="0"/>
        <v>2040</v>
      </c>
      <c r="T1" s="170">
        <f t="shared" si="0"/>
        <v>2041</v>
      </c>
      <c r="U1" s="170">
        <f t="shared" si="0"/>
        <v>2042</v>
      </c>
      <c r="V1" s="170">
        <f t="shared" si="0"/>
        <v>2043</v>
      </c>
      <c r="W1" s="170">
        <f t="shared" si="0"/>
        <v>2044</v>
      </c>
      <c r="X1" s="170">
        <f t="shared" si="0"/>
        <v>2045</v>
      </c>
      <c r="Y1" s="170">
        <f t="shared" si="0"/>
        <v>2046</v>
      </c>
      <c r="Z1" s="170">
        <f t="shared" si="0"/>
        <v>2047</v>
      </c>
      <c r="AA1" s="170">
        <f t="shared" si="0"/>
        <v>2048</v>
      </c>
      <c r="AB1" s="170">
        <f t="shared" si="0"/>
        <v>2049</v>
      </c>
      <c r="AC1" s="170">
        <f t="shared" si="0"/>
        <v>2050</v>
      </c>
      <c r="AD1" s="170">
        <f t="shared" si="0"/>
        <v>2051</v>
      </c>
      <c r="AE1" s="170">
        <f t="shared" si="0"/>
        <v>2052</v>
      </c>
    </row>
    <row r="2" spans="1:31" x14ac:dyDescent="0.35">
      <c r="A2" s="166"/>
      <c r="B2" s="166"/>
      <c r="C2" s="167"/>
      <c r="D2" s="171">
        <f>Input!D238</f>
        <v>45747</v>
      </c>
      <c r="E2" s="172">
        <f t="shared" ref="E2:AE2" si="1">EOMONTH(D2,12)</f>
        <v>46112</v>
      </c>
      <c r="F2" s="172">
        <f t="shared" si="1"/>
        <v>46477</v>
      </c>
      <c r="G2" s="173">
        <f t="shared" si="1"/>
        <v>46843</v>
      </c>
      <c r="H2" s="173">
        <f t="shared" si="1"/>
        <v>47208</v>
      </c>
      <c r="I2" s="173">
        <f t="shared" si="1"/>
        <v>47573</v>
      </c>
      <c r="J2" s="173">
        <f t="shared" si="1"/>
        <v>47938</v>
      </c>
      <c r="K2" s="173">
        <f t="shared" si="1"/>
        <v>48304</v>
      </c>
      <c r="L2" s="173">
        <f t="shared" si="1"/>
        <v>48669</v>
      </c>
      <c r="M2" s="173">
        <f t="shared" si="1"/>
        <v>49034</v>
      </c>
      <c r="N2" s="173">
        <f t="shared" si="1"/>
        <v>49399</v>
      </c>
      <c r="O2" s="173">
        <f t="shared" si="1"/>
        <v>49765</v>
      </c>
      <c r="P2" s="173">
        <f t="shared" si="1"/>
        <v>50130</v>
      </c>
      <c r="Q2" s="173">
        <f t="shared" si="1"/>
        <v>50495</v>
      </c>
      <c r="R2" s="173">
        <f t="shared" si="1"/>
        <v>50860</v>
      </c>
      <c r="S2" s="173">
        <f t="shared" si="1"/>
        <v>51226</v>
      </c>
      <c r="T2" s="173">
        <f t="shared" si="1"/>
        <v>51591</v>
      </c>
      <c r="U2" s="173">
        <f t="shared" si="1"/>
        <v>51956</v>
      </c>
      <c r="V2" s="173">
        <f t="shared" si="1"/>
        <v>52321</v>
      </c>
      <c r="W2" s="173">
        <f t="shared" si="1"/>
        <v>52687</v>
      </c>
      <c r="X2" s="173">
        <f t="shared" si="1"/>
        <v>53052</v>
      </c>
      <c r="Y2" s="173">
        <f t="shared" si="1"/>
        <v>53417</v>
      </c>
      <c r="Z2" s="173">
        <f t="shared" si="1"/>
        <v>53782</v>
      </c>
      <c r="AA2" s="173">
        <f t="shared" si="1"/>
        <v>54148</v>
      </c>
      <c r="AB2" s="173">
        <f t="shared" si="1"/>
        <v>54513</v>
      </c>
      <c r="AC2" s="173">
        <f t="shared" si="1"/>
        <v>54878</v>
      </c>
      <c r="AD2" s="173">
        <f t="shared" si="1"/>
        <v>55243</v>
      </c>
      <c r="AE2" s="173">
        <f t="shared" si="1"/>
        <v>55609</v>
      </c>
    </row>
    <row r="3" spans="1:31" x14ac:dyDescent="0.35">
      <c r="A3" s="792"/>
      <c r="B3" s="622" t="s">
        <v>983</v>
      </c>
      <c r="C3" s="793"/>
      <c r="D3" s="794">
        <v>0</v>
      </c>
      <c r="E3" s="795">
        <f>D3+1</f>
        <v>1</v>
      </c>
      <c r="F3" s="795">
        <f t="shared" ref="F3:AE3" si="2">E3+1</f>
        <v>2</v>
      </c>
      <c r="G3" s="795">
        <f t="shared" si="2"/>
        <v>3</v>
      </c>
      <c r="H3" s="795">
        <f t="shared" si="2"/>
        <v>4</v>
      </c>
      <c r="I3" s="795">
        <f t="shared" si="2"/>
        <v>5</v>
      </c>
      <c r="J3" s="795">
        <f t="shared" si="2"/>
        <v>6</v>
      </c>
      <c r="K3" s="795">
        <f t="shared" si="2"/>
        <v>7</v>
      </c>
      <c r="L3" s="795">
        <f t="shared" si="2"/>
        <v>8</v>
      </c>
      <c r="M3" s="795">
        <f t="shared" si="2"/>
        <v>9</v>
      </c>
      <c r="N3" s="795">
        <f t="shared" si="2"/>
        <v>10</v>
      </c>
      <c r="O3" s="795">
        <f t="shared" si="2"/>
        <v>11</v>
      </c>
      <c r="P3" s="795">
        <f t="shared" si="2"/>
        <v>12</v>
      </c>
      <c r="Q3" s="795">
        <f t="shared" si="2"/>
        <v>13</v>
      </c>
      <c r="R3" s="795">
        <f t="shared" si="2"/>
        <v>14</v>
      </c>
      <c r="S3" s="795">
        <f t="shared" si="2"/>
        <v>15</v>
      </c>
      <c r="T3" s="795">
        <f t="shared" si="2"/>
        <v>16</v>
      </c>
      <c r="U3" s="795">
        <f t="shared" si="2"/>
        <v>17</v>
      </c>
      <c r="V3" s="795">
        <f t="shared" si="2"/>
        <v>18</v>
      </c>
      <c r="W3" s="795">
        <f t="shared" si="2"/>
        <v>19</v>
      </c>
      <c r="X3" s="795">
        <f t="shared" si="2"/>
        <v>20</v>
      </c>
      <c r="Y3" s="795">
        <f t="shared" si="2"/>
        <v>21</v>
      </c>
      <c r="Z3" s="795">
        <f t="shared" si="2"/>
        <v>22</v>
      </c>
      <c r="AA3" s="795">
        <f t="shared" si="2"/>
        <v>23</v>
      </c>
      <c r="AB3" s="795">
        <f t="shared" si="2"/>
        <v>24</v>
      </c>
      <c r="AC3" s="795">
        <f t="shared" si="2"/>
        <v>25</v>
      </c>
      <c r="AD3" s="795">
        <f t="shared" si="2"/>
        <v>26</v>
      </c>
      <c r="AE3" s="795">
        <f t="shared" si="2"/>
        <v>27</v>
      </c>
    </row>
    <row r="4" spans="1:31" x14ac:dyDescent="0.35">
      <c r="A4" s="661"/>
      <c r="B4" s="661" t="s">
        <v>186</v>
      </c>
      <c r="C4" s="662">
        <f>SUM(E4:AE4)</f>
        <v>26</v>
      </c>
      <c r="D4" s="663"/>
      <c r="E4" s="664">
        <f>IF(AND(E2&gt;=Input!$E$180,E2&lt;=Input!$E$182),1,0)</f>
        <v>0</v>
      </c>
      <c r="F4" s="664">
        <f>IF(AND(F2&gt;=Input!$E$180,F2&lt;=Input!$E$182),1,0)</f>
        <v>1</v>
      </c>
      <c r="G4" s="664">
        <f>IF(AND(G2&gt;=Input!$E$180,G2&lt;=Input!$E$182),1,0)</f>
        <v>1</v>
      </c>
      <c r="H4" s="664">
        <f>IF(AND(H2&gt;=Input!$E$180,H2&lt;=Input!$E$182),1,0)</f>
        <v>1</v>
      </c>
      <c r="I4" s="664">
        <f>IF(AND(I2&gt;=Input!$E$180,I2&lt;=Input!$E$182),1,0)</f>
        <v>1</v>
      </c>
      <c r="J4" s="664">
        <f>IF(AND(J2&gt;=Input!$E$180,J2&lt;=Input!$E$182),1,0)</f>
        <v>1</v>
      </c>
      <c r="K4" s="664">
        <f>IF(AND(K2&gt;=Input!$E$180,K2&lt;=Input!$E$182),1,0)</f>
        <v>1</v>
      </c>
      <c r="L4" s="664">
        <f>IF(AND(L2&gt;=Input!$E$180,L2&lt;=Input!$E$182),1,0)</f>
        <v>1</v>
      </c>
      <c r="M4" s="664">
        <f>IF(AND(M2&gt;=Input!$E$180,M2&lt;=Input!$E$182),1,0)</f>
        <v>1</v>
      </c>
      <c r="N4" s="664">
        <f>IF(AND(N2&gt;=Input!$E$180,N2&lt;=Input!$E$182),1,0)</f>
        <v>1</v>
      </c>
      <c r="O4" s="664">
        <f>IF(AND(O2&gt;=Input!$E$180,O2&lt;=Input!$E$182),1,0)</f>
        <v>1</v>
      </c>
      <c r="P4" s="664">
        <f>IF(AND(P2&gt;=Input!$E$180,P2&lt;=Input!$E$182),1,0)</f>
        <v>1</v>
      </c>
      <c r="Q4" s="664">
        <f>IF(AND(Q2&gt;=Input!$E$180,Q2&lt;=Input!$E$182),1,0)</f>
        <v>1</v>
      </c>
      <c r="R4" s="664">
        <f>IF(AND(R2&gt;=Input!$E$180,R2&lt;=Input!$E$182),1,0)</f>
        <v>1</v>
      </c>
      <c r="S4" s="664">
        <f>IF(AND(S2&gt;=Input!$E$180,S2&lt;=Input!$E$182),1,0)</f>
        <v>1</v>
      </c>
      <c r="T4" s="664">
        <f>IF(AND(T2&gt;=Input!$E$180,T2&lt;=Input!$E$182),1,0)</f>
        <v>1</v>
      </c>
      <c r="U4" s="664">
        <f>IF(AND(U2&gt;=Input!$E$180,U2&lt;=Input!$E$182),1,0)</f>
        <v>1</v>
      </c>
      <c r="V4" s="664">
        <f>IF(AND(V2&gt;=Input!$E$180,V2&lt;=Input!$E$182),1,0)</f>
        <v>1</v>
      </c>
      <c r="W4" s="664">
        <f>IF(AND(W2&gt;=Input!$E$180,W2&lt;=Input!$E$182),1,0)</f>
        <v>1</v>
      </c>
      <c r="X4" s="664">
        <f>IF(AND(X2&gt;=Input!$E$180,X2&lt;=Input!$E$182),1,0)</f>
        <v>1</v>
      </c>
      <c r="Y4" s="664">
        <f>IF(AND(Y2&gt;=Input!$E$180,Y2&lt;=Input!$E$182),1,0)</f>
        <v>1</v>
      </c>
      <c r="Z4" s="664">
        <f>IF(AND(Z2&gt;=Input!$E$180,Z2&lt;=Input!$E$182),1,0)</f>
        <v>1</v>
      </c>
      <c r="AA4" s="664">
        <f>IF(AND(AA2&gt;=Input!$E$180,AA2&lt;=Input!$E$182),1,0)</f>
        <v>1</v>
      </c>
      <c r="AB4" s="664">
        <f>IF(AND(AB2&gt;=Input!$E$180,AB2&lt;=Input!$E$182),1,0)</f>
        <v>1</v>
      </c>
      <c r="AC4" s="664">
        <f>IF(AND(AC2&gt;=Input!$E$180,AC2&lt;=Input!$E$182),1,0)</f>
        <v>1</v>
      </c>
      <c r="AD4" s="664">
        <f>IF(AND(AD2&gt;=Input!$E$180,AD2&lt;=Input!$E$182),1,0)</f>
        <v>1</v>
      </c>
      <c r="AE4" s="664">
        <f>IF(AND(AE2&gt;=Input!$E$180,AE2&lt;=Input!$E$182),1,0)</f>
        <v>1</v>
      </c>
    </row>
    <row r="5" spans="1:31" x14ac:dyDescent="0.35">
      <c r="A5" s="661"/>
      <c r="B5" s="661" t="s">
        <v>185</v>
      </c>
      <c r="C5" s="665"/>
      <c r="D5" s="663"/>
      <c r="E5" s="664">
        <f>SUM($E4:E$4)</f>
        <v>0</v>
      </c>
      <c r="F5" s="664">
        <f>SUM($E4:F$4)</f>
        <v>1</v>
      </c>
      <c r="G5" s="664">
        <f>SUM($E4:G$4)</f>
        <v>2</v>
      </c>
      <c r="H5" s="664">
        <f>SUM($E4:H$4)</f>
        <v>3</v>
      </c>
      <c r="I5" s="664">
        <f>SUM($E4:I$4)</f>
        <v>4</v>
      </c>
      <c r="J5" s="664">
        <f>SUM($E4:J$4)</f>
        <v>5</v>
      </c>
      <c r="K5" s="664">
        <f>SUM($E4:K$4)</f>
        <v>6</v>
      </c>
      <c r="L5" s="664">
        <f>SUM($E4:L$4)</f>
        <v>7</v>
      </c>
      <c r="M5" s="664">
        <f>SUM($E4:M$4)</f>
        <v>8</v>
      </c>
      <c r="N5" s="664">
        <f>SUM($E4:N$4)</f>
        <v>9</v>
      </c>
      <c r="O5" s="664">
        <f>SUM($E4:O$4)</f>
        <v>10</v>
      </c>
      <c r="P5" s="664">
        <f>SUM($E4:P$4)</f>
        <v>11</v>
      </c>
      <c r="Q5" s="664">
        <f>SUM($E4:Q$4)</f>
        <v>12</v>
      </c>
      <c r="R5" s="664">
        <f>SUM($E4:R$4)</f>
        <v>13</v>
      </c>
      <c r="S5" s="664">
        <f>SUM($E4:S$4)</f>
        <v>14</v>
      </c>
      <c r="T5" s="664">
        <f>SUM($E4:T$4)</f>
        <v>15</v>
      </c>
      <c r="U5" s="664">
        <f>SUM($E4:U$4)</f>
        <v>16</v>
      </c>
      <c r="V5" s="664">
        <f>SUM($E4:V$4)</f>
        <v>17</v>
      </c>
      <c r="W5" s="664">
        <f>SUM($E4:W$4)</f>
        <v>18</v>
      </c>
      <c r="X5" s="664">
        <f>SUM($E4:X$4)</f>
        <v>19</v>
      </c>
      <c r="Y5" s="664">
        <f>SUM($E4:Y$4)</f>
        <v>20</v>
      </c>
      <c r="Z5" s="664">
        <f>SUM($E4:Z$4)</f>
        <v>21</v>
      </c>
      <c r="AA5" s="664">
        <f>SUM($E4:AA$4)</f>
        <v>22</v>
      </c>
      <c r="AB5" s="664">
        <f>SUM($E4:AB$4)</f>
        <v>23</v>
      </c>
      <c r="AC5" s="664">
        <f>SUM($E4:AC$4)</f>
        <v>24</v>
      </c>
      <c r="AD5" s="664">
        <f>SUM($E4:AD$4)</f>
        <v>25</v>
      </c>
      <c r="AE5" s="664">
        <f>SUM($E4:AE$4)</f>
        <v>26</v>
      </c>
    </row>
    <row r="6" spans="1:31" x14ac:dyDescent="0.35">
      <c r="A6" s="661"/>
      <c r="B6" s="661" t="s">
        <v>184</v>
      </c>
      <c r="C6" s="665"/>
      <c r="D6" s="663"/>
      <c r="E6" s="664">
        <f t="shared" ref="E6:AE6" si="3">E2-D2</f>
        <v>365</v>
      </c>
      <c r="F6" s="664">
        <f t="shared" si="3"/>
        <v>365</v>
      </c>
      <c r="G6" s="664">
        <f t="shared" si="3"/>
        <v>366</v>
      </c>
      <c r="H6" s="664">
        <f t="shared" si="3"/>
        <v>365</v>
      </c>
      <c r="I6" s="664">
        <f t="shared" si="3"/>
        <v>365</v>
      </c>
      <c r="J6" s="664">
        <f t="shared" si="3"/>
        <v>365</v>
      </c>
      <c r="K6" s="664">
        <f t="shared" si="3"/>
        <v>366</v>
      </c>
      <c r="L6" s="664">
        <f t="shared" si="3"/>
        <v>365</v>
      </c>
      <c r="M6" s="664">
        <f t="shared" si="3"/>
        <v>365</v>
      </c>
      <c r="N6" s="664">
        <f t="shared" si="3"/>
        <v>365</v>
      </c>
      <c r="O6" s="664">
        <f t="shared" si="3"/>
        <v>366</v>
      </c>
      <c r="P6" s="664">
        <f t="shared" si="3"/>
        <v>365</v>
      </c>
      <c r="Q6" s="664">
        <f t="shared" si="3"/>
        <v>365</v>
      </c>
      <c r="R6" s="664">
        <f t="shared" si="3"/>
        <v>365</v>
      </c>
      <c r="S6" s="664">
        <f t="shared" si="3"/>
        <v>366</v>
      </c>
      <c r="T6" s="664">
        <f t="shared" si="3"/>
        <v>365</v>
      </c>
      <c r="U6" s="664">
        <f t="shared" si="3"/>
        <v>365</v>
      </c>
      <c r="V6" s="664">
        <f t="shared" si="3"/>
        <v>365</v>
      </c>
      <c r="W6" s="664">
        <f t="shared" si="3"/>
        <v>366</v>
      </c>
      <c r="X6" s="664">
        <f t="shared" si="3"/>
        <v>365</v>
      </c>
      <c r="Y6" s="664">
        <f t="shared" si="3"/>
        <v>365</v>
      </c>
      <c r="Z6" s="664">
        <f t="shared" si="3"/>
        <v>365</v>
      </c>
      <c r="AA6" s="664">
        <f t="shared" si="3"/>
        <v>366</v>
      </c>
      <c r="AB6" s="664">
        <f t="shared" si="3"/>
        <v>365</v>
      </c>
      <c r="AC6" s="664">
        <f t="shared" si="3"/>
        <v>365</v>
      </c>
      <c r="AD6" s="664">
        <f t="shared" si="3"/>
        <v>365</v>
      </c>
      <c r="AE6" s="664">
        <f t="shared" si="3"/>
        <v>366</v>
      </c>
    </row>
    <row r="7" spans="1:31" x14ac:dyDescent="0.35">
      <c r="A7" s="661"/>
      <c r="B7" s="661" t="s">
        <v>981</v>
      </c>
      <c r="C7" s="665"/>
      <c r="D7" s="663"/>
      <c r="E7" s="664">
        <f>E6-E8</f>
        <v>365</v>
      </c>
      <c r="F7" s="664">
        <f>F6-F8</f>
        <v>183</v>
      </c>
      <c r="G7" s="664">
        <f t="shared" ref="G7:L7" si="4">G6-G8</f>
        <v>0</v>
      </c>
      <c r="H7" s="664">
        <f t="shared" si="4"/>
        <v>0</v>
      </c>
      <c r="I7" s="664">
        <f t="shared" si="4"/>
        <v>0</v>
      </c>
      <c r="J7" s="664">
        <f t="shared" si="4"/>
        <v>0</v>
      </c>
      <c r="K7" s="664">
        <f t="shared" si="4"/>
        <v>0</v>
      </c>
      <c r="L7" s="664">
        <f t="shared" si="4"/>
        <v>0</v>
      </c>
      <c r="M7" s="664"/>
      <c r="N7" s="664"/>
      <c r="O7" s="664"/>
      <c r="P7" s="664"/>
      <c r="Q7" s="664"/>
      <c r="R7" s="664"/>
      <c r="S7" s="664"/>
      <c r="T7" s="664"/>
      <c r="U7" s="664"/>
      <c r="V7" s="664"/>
      <c r="W7" s="664"/>
      <c r="X7" s="664"/>
      <c r="Y7" s="664"/>
      <c r="Z7" s="664"/>
      <c r="AA7" s="664"/>
      <c r="AB7" s="664"/>
      <c r="AC7" s="664"/>
      <c r="AD7" s="664"/>
      <c r="AE7" s="664"/>
    </row>
    <row r="8" spans="1:31" x14ac:dyDescent="0.35">
      <c r="A8" s="661"/>
      <c r="B8" s="661" t="s">
        <v>183</v>
      </c>
      <c r="C8" s="665"/>
      <c r="D8" s="663"/>
      <c r="E8" s="664">
        <f>IF(E2=Input!$E$182,Input!$E$181-D2,IF(E2-Input!$E$178+1&gt;=365,E2-D2,E2-Input!$E$178+1))*E4</f>
        <v>0</v>
      </c>
      <c r="F8" s="664">
        <f>IF(F2=Input!$E$182,Input!$E$181-E2,IF(F2-Input!$E$178+1&gt;=365,F2-E2,F2-Input!$E$178+1))*F4</f>
        <v>182</v>
      </c>
      <c r="G8" s="664">
        <f>IF(G2=Input!$E$182,Input!$E$181-F2,IF(G2-Input!$E$178+1&gt;=365,G2-F2,G2-Input!$E$178+1))*G4</f>
        <v>366</v>
      </c>
      <c r="H8" s="664">
        <f>IF(H2=Input!$E$182,Input!$E$181-G2,IF(H2-Input!$E$178+1&gt;=365,H2-G2,H2-Input!$E$178+1))*H4</f>
        <v>365</v>
      </c>
      <c r="I8" s="664">
        <f>IF(I2=Input!$E$182,Input!$E$181-H2,IF(I2-Input!$E$178+1&gt;=365,I2-H2,I2-Input!$E$178+1))*I4</f>
        <v>365</v>
      </c>
      <c r="J8" s="664">
        <f>IF(J2=Input!$E$182,Input!$E$181-I2,IF(J2-Input!$E$178+1&gt;=365,J2-I2,J2-Input!$E$178+1))*J4</f>
        <v>365</v>
      </c>
      <c r="K8" s="664">
        <f>IF(K2=Input!$E$182,Input!$E$181-J2,IF(K2-Input!$E$178+1&gt;=365,K2-J2,K2-Input!$E$178+1))*K4</f>
        <v>366</v>
      </c>
      <c r="L8" s="664">
        <f>IF(L2=Input!$E$182,Input!$E$181-K2,IF(L2-Input!$E$178+1&gt;=365,L2-K2,L2-Input!$E$178+1))*L4</f>
        <v>365</v>
      </c>
      <c r="M8" s="664">
        <f>IF(M2=Input!$E$182,Input!$E$181-L2,IF(M2-Input!$E$178+1&gt;=365,M2-L2,M2-Input!$E$178+1))*M4</f>
        <v>365</v>
      </c>
      <c r="N8" s="664">
        <f>IF(N2=Input!$E$182,Input!$E$181-M2,IF(N2-Input!$E$178+1&gt;=365,N2-M2,N2-Input!$E$178+1))*N4</f>
        <v>365</v>
      </c>
      <c r="O8" s="664">
        <f>IF(O2=Input!$E$182,Input!$E$181-N2,IF(O2-Input!$E$178+1&gt;=365,O2-N2,O2-Input!$E$178+1))*O4</f>
        <v>366</v>
      </c>
      <c r="P8" s="664">
        <f>IF(P2=Input!$E$182,Input!$E$181-O2,IF(P2-Input!$E$178+1&gt;=365,P2-O2,P2-Input!$E$178+1))*P4</f>
        <v>365</v>
      </c>
      <c r="Q8" s="664">
        <f>IF(Q2=Input!$E$182,Input!$E$181-P2,IF(Q2-Input!$E$178+1&gt;=365,Q2-P2,Q2-Input!$E$178+1))*Q4</f>
        <v>365</v>
      </c>
      <c r="R8" s="664">
        <f>IF(R2=Input!$E$182,Input!$E$181-Q2,IF(R2-Input!$E$178+1&gt;=365,R2-Q2,R2-Input!$E$178+1))*R4</f>
        <v>365</v>
      </c>
      <c r="S8" s="664">
        <f>IF(S2=Input!$E$182,Input!$E$181-R2,IF(S2-Input!$E$178+1&gt;=365,S2-R2,S2-Input!$E$178+1))*S4</f>
        <v>366</v>
      </c>
      <c r="T8" s="664">
        <f>IF(T2=Input!$E$182,Input!$E$181-S2,IF(T2-Input!$E$178+1&gt;=365,T2-S2,T2-Input!$E$178+1))*T4</f>
        <v>365</v>
      </c>
      <c r="U8" s="664">
        <f>IF(U2=Input!$E$182,Input!$E$181-T2,IF(U2-Input!$E$178+1&gt;=365,U2-T2,U2-Input!$E$178+1))*U4</f>
        <v>365</v>
      </c>
      <c r="V8" s="664">
        <f>IF(V2=Input!$E$182,Input!$E$181-U2,IF(V2-Input!$E$178+1&gt;=365,V2-U2,V2-Input!$E$178+1))*V4</f>
        <v>365</v>
      </c>
      <c r="W8" s="664">
        <f>IF(W2=Input!$E$182,Input!$E$181-V2,IF(W2-Input!$E$178+1&gt;=365,W2-V2,W2-Input!$E$178+1))*W4</f>
        <v>366</v>
      </c>
      <c r="X8" s="664">
        <f>IF(X2=Input!$E$182,Input!$E$181-W2,IF(X2-Input!$E$178+1&gt;=365,X2-W2,X2-Input!$E$178+1))*X4</f>
        <v>365</v>
      </c>
      <c r="Y8" s="664">
        <f>IF(Y2=Input!$E$182,Input!$E$181-X2,IF(Y2-Input!$E$178+1&gt;=365,Y2-X2,Y2-Input!$E$178+1))*Y4</f>
        <v>365</v>
      </c>
      <c r="Z8" s="664">
        <f>IF(Z2=Input!$E$182,Input!$E$181-Y2,IF(Z2-Input!$E$178+1&gt;=365,Z2-Y2,Z2-Input!$E$178+1))*Z4</f>
        <v>365</v>
      </c>
      <c r="AA8" s="664">
        <f>IF(AA2=Input!$E$182,Input!$E$181-Z2,IF(AA2-Input!$E$178+1&gt;=365,AA2-Z2,AA2-Input!$E$178+1))*AA4</f>
        <v>366</v>
      </c>
      <c r="AB8" s="664">
        <f>IF(AB2=Input!$E$182,Input!$E$181-AA2,IF(AB2-Input!$E$178+1&gt;=365,AB2-AA2,AB2-Input!$E$178+1))*AB4</f>
        <v>365</v>
      </c>
      <c r="AC8" s="664">
        <f>IF(AC2=Input!$E$182,Input!$E$181-AB2,IF(AC2-Input!$E$178+1&gt;=365,AC2-AB2,AC2-Input!$E$178+1))*AC4</f>
        <v>365</v>
      </c>
      <c r="AD8" s="664">
        <f>IF(AD2=Input!$E$182,Input!$E$181-AC2,IF(AD2-Input!$E$178+1&gt;=365,AD2-AC2,AD2-Input!$E$178+1))*AD4</f>
        <v>365</v>
      </c>
      <c r="AE8" s="664">
        <f>IF(AE2=Input!$E$182,Input!$E$181-AD2,IF(AE2-Input!$E$178+1&gt;=365,AE2-AD2,AE2-Input!$E$178+1))*AE4</f>
        <v>183</v>
      </c>
    </row>
    <row r="10" spans="1:31" x14ac:dyDescent="0.35">
      <c r="A10" s="1011" t="s">
        <v>1107</v>
      </c>
      <c r="B10" s="1011"/>
      <c r="C10" s="1011"/>
      <c r="D10" s="1011"/>
      <c r="E10" s="1011"/>
      <c r="F10" s="1011"/>
      <c r="G10" s="1011"/>
      <c r="H10" s="1011"/>
      <c r="I10" s="1011"/>
      <c r="J10" s="1011"/>
      <c r="K10" s="1011"/>
      <c r="L10" s="1011"/>
      <c r="M10" s="1011"/>
      <c r="N10" s="1011"/>
      <c r="O10" s="1011"/>
      <c r="P10" s="1011"/>
      <c r="Q10" s="1011"/>
      <c r="R10" s="1011"/>
      <c r="S10" s="1011"/>
      <c r="T10" s="1011"/>
      <c r="U10" s="1011"/>
      <c r="V10" s="1011"/>
      <c r="W10" s="1011"/>
      <c r="X10" s="1011"/>
      <c r="Y10" s="1011"/>
      <c r="Z10" s="1011"/>
      <c r="AA10" s="1011"/>
      <c r="AB10" s="1011"/>
      <c r="AC10" s="1011"/>
      <c r="AD10" s="1011"/>
      <c r="AE10" s="1011"/>
    </row>
    <row r="11" spans="1:31" x14ac:dyDescent="0.35">
      <c r="A11" s="1014" t="s">
        <v>1106</v>
      </c>
      <c r="B11" s="1014"/>
      <c r="C11" s="1014"/>
      <c r="D11" s="1014"/>
      <c r="E11" s="1014"/>
      <c r="F11" s="1014"/>
      <c r="G11" s="1014"/>
      <c r="H11" s="1014"/>
      <c r="I11" s="1014"/>
      <c r="J11" s="1014"/>
      <c r="K11" s="1014"/>
      <c r="L11" s="1014"/>
      <c r="M11" s="1014"/>
      <c r="N11" s="1014"/>
      <c r="O11" s="1014"/>
      <c r="P11" s="1014"/>
      <c r="Q11" s="1014"/>
      <c r="R11" s="1014"/>
      <c r="S11" s="1014"/>
      <c r="T11" s="1014"/>
      <c r="U11" s="1014"/>
      <c r="V11" s="1014"/>
      <c r="W11" s="1014"/>
      <c r="X11" s="1014"/>
      <c r="Y11" s="1014"/>
      <c r="Z11" s="1014"/>
      <c r="AA11" s="1014"/>
      <c r="AB11" s="1014"/>
      <c r="AC11" s="1014"/>
      <c r="AD11" s="1014"/>
      <c r="AE11" s="1014"/>
    </row>
    <row r="12" spans="1:31" x14ac:dyDescent="0.35">
      <c r="A12" s="759"/>
      <c r="B12" s="759" t="str">
        <f>Working!B48</f>
        <v>Capital Expenditure - Generation &amp; Transmission</v>
      </c>
      <c r="C12" s="759" t="str">
        <f>Working!C48</f>
        <v>Rs Cr</v>
      </c>
      <c r="D12" s="759"/>
      <c r="E12" s="759">
        <f>Working!E48</f>
        <v>559.93325909780879</v>
      </c>
      <c r="F12" s="759">
        <f>Working!F48</f>
        <v>524.05804923208962</v>
      </c>
      <c r="G12" s="759">
        <f>Working!G48</f>
        <v>0</v>
      </c>
      <c r="H12" s="759">
        <f>Working!H48</f>
        <v>0</v>
      </c>
      <c r="I12" s="759">
        <f>Working!I48</f>
        <v>0</v>
      </c>
      <c r="J12" s="759">
        <f>Working!J48</f>
        <v>0</v>
      </c>
      <c r="K12" s="759">
        <f>Working!K48</f>
        <v>0</v>
      </c>
      <c r="L12" s="759">
        <f>Working!L48</f>
        <v>0</v>
      </c>
      <c r="M12" s="759">
        <f>Working!M48</f>
        <v>0</v>
      </c>
      <c r="N12" s="759">
        <f>Working!N48</f>
        <v>0</v>
      </c>
      <c r="O12" s="759">
        <f>Working!O48</f>
        <v>0</v>
      </c>
      <c r="P12" s="759">
        <f>Working!P48</f>
        <v>0</v>
      </c>
      <c r="Q12" s="759">
        <f>Working!Q48</f>
        <v>0</v>
      </c>
      <c r="R12" s="759">
        <f>Working!R48</f>
        <v>0</v>
      </c>
      <c r="S12" s="759">
        <f>Working!S48</f>
        <v>0</v>
      </c>
      <c r="T12" s="759">
        <f>Working!T48</f>
        <v>0</v>
      </c>
      <c r="U12" s="759">
        <f>Working!U48</f>
        <v>0</v>
      </c>
      <c r="V12" s="759">
        <f>Working!V48</f>
        <v>0</v>
      </c>
      <c r="W12" s="759">
        <f>Working!W48</f>
        <v>0</v>
      </c>
      <c r="X12" s="759">
        <f>Working!X48</f>
        <v>0</v>
      </c>
      <c r="Y12" s="759">
        <f>Working!Y48</f>
        <v>0</v>
      </c>
      <c r="Z12" s="759">
        <f>Working!Z48</f>
        <v>0</v>
      </c>
      <c r="AA12" s="759">
        <f>Working!AA48</f>
        <v>0</v>
      </c>
      <c r="AB12" s="759">
        <f>Working!AB48</f>
        <v>0</v>
      </c>
      <c r="AC12" s="759">
        <f>Working!AC48</f>
        <v>0</v>
      </c>
      <c r="AD12" s="759">
        <f>Working!AD48</f>
        <v>0</v>
      </c>
      <c r="AE12" s="759">
        <f>Working!AE48</f>
        <v>0</v>
      </c>
    </row>
    <row r="13" spans="1:31" x14ac:dyDescent="0.35">
      <c r="A13" s="759"/>
      <c r="B13" s="759" t="str">
        <f>Working!B49</f>
        <v>Capital Expenditure - Infrastructure</v>
      </c>
      <c r="C13" s="759" t="str">
        <f>Working!C49</f>
        <v>Rs Cr</v>
      </c>
      <c r="D13" s="759"/>
      <c r="E13" s="759">
        <f>Working!E49</f>
        <v>5.5774470000000003</v>
      </c>
      <c r="F13" s="759">
        <f>Working!F49</f>
        <v>13.014042999999999</v>
      </c>
      <c r="G13" s="759">
        <f>Working!G49</f>
        <v>0</v>
      </c>
      <c r="H13" s="759">
        <f>Working!H49</f>
        <v>0</v>
      </c>
      <c r="I13" s="759">
        <f>Working!I49</f>
        <v>0</v>
      </c>
      <c r="J13" s="759">
        <f>Working!J49</f>
        <v>0</v>
      </c>
      <c r="K13" s="759">
        <f>Working!K49</f>
        <v>0</v>
      </c>
      <c r="L13" s="759">
        <f>Working!L49</f>
        <v>0</v>
      </c>
      <c r="M13" s="759">
        <f>Working!M49</f>
        <v>0</v>
      </c>
      <c r="N13" s="759">
        <f>Working!N49</f>
        <v>0</v>
      </c>
      <c r="O13" s="759">
        <f>Working!O49</f>
        <v>0</v>
      </c>
      <c r="P13" s="759">
        <f>Working!P49</f>
        <v>0</v>
      </c>
      <c r="Q13" s="759">
        <f>Working!Q49</f>
        <v>0</v>
      </c>
      <c r="R13" s="759">
        <f>Working!R49</f>
        <v>0</v>
      </c>
      <c r="S13" s="759">
        <f>Working!S49</f>
        <v>0</v>
      </c>
      <c r="T13" s="759">
        <f>Working!T49</f>
        <v>0</v>
      </c>
      <c r="U13" s="759">
        <f>Working!U49</f>
        <v>0</v>
      </c>
      <c r="V13" s="759">
        <f>Working!V49</f>
        <v>0</v>
      </c>
      <c r="W13" s="759">
        <f>Working!W49</f>
        <v>0</v>
      </c>
      <c r="X13" s="759">
        <f>Working!X49</f>
        <v>0</v>
      </c>
      <c r="Y13" s="759">
        <f>Working!Y49</f>
        <v>0</v>
      </c>
      <c r="Z13" s="759">
        <f>Working!Z49</f>
        <v>0</v>
      </c>
      <c r="AA13" s="759">
        <f>Working!AA49</f>
        <v>0</v>
      </c>
      <c r="AB13" s="759">
        <f>Working!AB49</f>
        <v>0</v>
      </c>
      <c r="AC13" s="759">
        <f>Working!AC49</f>
        <v>0</v>
      </c>
      <c r="AD13" s="759">
        <f>Working!AD49</f>
        <v>0</v>
      </c>
      <c r="AE13" s="759">
        <f>Working!AE49</f>
        <v>0</v>
      </c>
    </row>
    <row r="14" spans="1:31" x14ac:dyDescent="0.35">
      <c r="A14" s="759"/>
      <c r="B14" s="759" t="str">
        <f>Working!B50</f>
        <v>Capital Expenditure - Other Costs</v>
      </c>
      <c r="C14" s="759" t="str">
        <f>Working!C50</f>
        <v>Rs Cr</v>
      </c>
      <c r="D14" s="759"/>
      <c r="E14" s="759">
        <f>Working!E50</f>
        <v>11.385604440557396</v>
      </c>
      <c r="F14" s="759">
        <f>Working!F50</f>
        <v>102.47043996501657</v>
      </c>
      <c r="G14" s="759">
        <f>Working!G50</f>
        <v>0</v>
      </c>
      <c r="H14" s="759">
        <f>Working!H50</f>
        <v>0</v>
      </c>
      <c r="I14" s="759">
        <f>Working!I50</f>
        <v>0</v>
      </c>
      <c r="J14" s="759">
        <f>Working!J50</f>
        <v>0</v>
      </c>
      <c r="K14" s="759">
        <f>Working!K50</f>
        <v>0</v>
      </c>
      <c r="L14" s="759">
        <f>Working!L50</f>
        <v>0</v>
      </c>
      <c r="M14" s="759">
        <f>Working!M50</f>
        <v>0</v>
      </c>
      <c r="N14" s="759">
        <f>Working!N50</f>
        <v>0</v>
      </c>
      <c r="O14" s="759">
        <f>Working!O50</f>
        <v>0</v>
      </c>
      <c r="P14" s="759">
        <f>Working!P50</f>
        <v>0</v>
      </c>
      <c r="Q14" s="759">
        <f>Working!Q50</f>
        <v>0</v>
      </c>
      <c r="R14" s="759">
        <f>Working!R50</f>
        <v>0</v>
      </c>
      <c r="S14" s="759">
        <f>Working!S50</f>
        <v>0</v>
      </c>
      <c r="T14" s="759">
        <f>Working!T50</f>
        <v>0</v>
      </c>
      <c r="U14" s="759">
        <f>Working!U50</f>
        <v>0</v>
      </c>
      <c r="V14" s="759">
        <f>Working!V50</f>
        <v>0</v>
      </c>
      <c r="W14" s="759">
        <f>Working!W50</f>
        <v>0</v>
      </c>
      <c r="X14" s="759">
        <f>Working!X50</f>
        <v>0</v>
      </c>
      <c r="Y14" s="759">
        <f>Working!Y50</f>
        <v>0</v>
      </c>
      <c r="Z14" s="759">
        <f>Working!Z50</f>
        <v>0</v>
      </c>
      <c r="AA14" s="759">
        <f>Working!AA50</f>
        <v>0</v>
      </c>
      <c r="AB14" s="759">
        <f>Working!AB50</f>
        <v>0</v>
      </c>
      <c r="AC14" s="759">
        <f>Working!AC50</f>
        <v>0</v>
      </c>
      <c r="AD14" s="759">
        <f>Working!AD50</f>
        <v>0</v>
      </c>
      <c r="AE14" s="759">
        <f>Working!AE50</f>
        <v>0</v>
      </c>
    </row>
    <row r="15" spans="1:31" x14ac:dyDescent="0.35">
      <c r="A15" s="759"/>
      <c r="B15" s="760" t="str">
        <f>Working!B51</f>
        <v>Phasing - Capex</v>
      </c>
      <c r="C15" s="760" t="str">
        <f>Working!C51</f>
        <v>Rs Cr</v>
      </c>
      <c r="D15" s="760"/>
      <c r="E15" s="760">
        <f>Working!E51</f>
        <v>576.89631053836615</v>
      </c>
      <c r="F15" s="760">
        <f>Working!F51</f>
        <v>639.5425321971062</v>
      </c>
      <c r="G15" s="760">
        <f>Working!G51</f>
        <v>0</v>
      </c>
      <c r="H15" s="760">
        <f>Working!H51</f>
        <v>0</v>
      </c>
      <c r="I15" s="760">
        <f>Working!I51</f>
        <v>0</v>
      </c>
      <c r="J15" s="760">
        <f>Working!J51</f>
        <v>0</v>
      </c>
      <c r="K15" s="760">
        <f>Working!K51</f>
        <v>0</v>
      </c>
      <c r="L15" s="760">
        <f>Working!L51</f>
        <v>0</v>
      </c>
      <c r="M15" s="760">
        <f>Working!M51</f>
        <v>0</v>
      </c>
      <c r="N15" s="760">
        <f>Working!N51</f>
        <v>0</v>
      </c>
      <c r="O15" s="760">
        <f>Working!O51</f>
        <v>0</v>
      </c>
      <c r="P15" s="760">
        <f>Working!P51</f>
        <v>0</v>
      </c>
      <c r="Q15" s="760">
        <f>Working!Q51</f>
        <v>0</v>
      </c>
      <c r="R15" s="760">
        <f>Working!R51</f>
        <v>0</v>
      </c>
      <c r="S15" s="760">
        <f>Working!S51</f>
        <v>0</v>
      </c>
      <c r="T15" s="760">
        <f>Working!T51</f>
        <v>0</v>
      </c>
      <c r="U15" s="760">
        <f>Working!U51</f>
        <v>0</v>
      </c>
      <c r="V15" s="760">
        <f>Working!V51</f>
        <v>0</v>
      </c>
      <c r="W15" s="760">
        <f>Working!W51</f>
        <v>0</v>
      </c>
      <c r="X15" s="760">
        <f>Working!X51</f>
        <v>0</v>
      </c>
      <c r="Y15" s="760">
        <f>Working!Y51</f>
        <v>0</v>
      </c>
      <c r="Z15" s="760">
        <f>Working!Z51</f>
        <v>0</v>
      </c>
      <c r="AA15" s="760">
        <f>Working!AA51</f>
        <v>0</v>
      </c>
      <c r="AB15" s="760">
        <f>Working!AB51</f>
        <v>0</v>
      </c>
      <c r="AC15" s="760">
        <f>Working!AC51</f>
        <v>0</v>
      </c>
      <c r="AD15" s="760">
        <f>Working!AD51</f>
        <v>0</v>
      </c>
      <c r="AE15" s="760">
        <f>Working!AE51</f>
        <v>0</v>
      </c>
    </row>
    <row r="16" spans="1:31" x14ac:dyDescent="0.35">
      <c r="B16" s="760" t="str">
        <f>Working!B52</f>
        <v>IDC</v>
      </c>
      <c r="C16" s="760" t="str">
        <f>Working!C52</f>
        <v>Rs Cr</v>
      </c>
      <c r="D16" s="760"/>
      <c r="E16" s="760">
        <f ca="1">Working!E52</f>
        <v>5.1522659275677096</v>
      </c>
      <c r="F16" s="760">
        <f ca="1">Working!F52</f>
        <v>20.970923762061755</v>
      </c>
      <c r="G16" s="760">
        <f ca="1">Working!G52</f>
        <v>0</v>
      </c>
      <c r="H16" s="760">
        <f ca="1">Working!H52</f>
        <v>0</v>
      </c>
      <c r="I16" s="760">
        <f ca="1">Working!I52</f>
        <v>0</v>
      </c>
      <c r="J16" s="760">
        <f ca="1">Working!J52</f>
        <v>0</v>
      </c>
      <c r="K16" s="760">
        <f ca="1">Working!K52</f>
        <v>0</v>
      </c>
      <c r="L16" s="760">
        <f ca="1">Working!L52</f>
        <v>0</v>
      </c>
      <c r="M16" s="760">
        <f ca="1">Working!M52</f>
        <v>0</v>
      </c>
      <c r="N16" s="760">
        <f ca="1">Working!N52</f>
        <v>0</v>
      </c>
      <c r="O16" s="760">
        <f ca="1">Working!O52</f>
        <v>0</v>
      </c>
      <c r="P16" s="760">
        <f ca="1">Working!P52</f>
        <v>0</v>
      </c>
      <c r="Q16" s="760">
        <f ca="1">Working!Q52</f>
        <v>0</v>
      </c>
      <c r="R16" s="760">
        <f ca="1">Working!R52</f>
        <v>0</v>
      </c>
      <c r="S16" s="760">
        <f ca="1">Working!S52</f>
        <v>0</v>
      </c>
      <c r="T16" s="760">
        <f ca="1">Working!T52</f>
        <v>0</v>
      </c>
      <c r="U16" s="760">
        <f ca="1">Working!U52</f>
        <v>0</v>
      </c>
      <c r="V16" s="760">
        <f ca="1">Working!V52</f>
        <v>0</v>
      </c>
      <c r="W16" s="760">
        <f ca="1">Working!W52</f>
        <v>0</v>
      </c>
      <c r="X16" s="760">
        <f ca="1">Working!X52</f>
        <v>0</v>
      </c>
      <c r="Y16" s="760">
        <f ca="1">Working!Y52</f>
        <v>0</v>
      </c>
      <c r="Z16" s="760">
        <f ca="1">Working!Z52</f>
        <v>0</v>
      </c>
      <c r="AA16" s="760">
        <f ca="1">Working!AA52</f>
        <v>0</v>
      </c>
      <c r="AB16" s="760">
        <f ca="1">Working!AB52</f>
        <v>0</v>
      </c>
      <c r="AC16" s="760">
        <f ca="1">Working!AC52</f>
        <v>0</v>
      </c>
      <c r="AD16" s="760">
        <f ca="1">Working!AD52</f>
        <v>0</v>
      </c>
      <c r="AE16" s="760">
        <f ca="1">Working!AE52</f>
        <v>0</v>
      </c>
    </row>
    <row r="17" spans="1:31" x14ac:dyDescent="0.35">
      <c r="B17" s="760" t="str">
        <f>Working!B53</f>
        <v>Capex incl. IDC</v>
      </c>
      <c r="C17" s="760" t="str">
        <f>Working!C53</f>
        <v>Rs Cr</v>
      </c>
      <c r="D17" s="760"/>
      <c r="E17" s="760">
        <f ca="1">Working!E53</f>
        <v>582.04857646593382</v>
      </c>
      <c r="F17" s="760">
        <f ca="1">Working!F53</f>
        <v>660.51345595916791</v>
      </c>
      <c r="G17" s="760">
        <f ca="1">Working!G53</f>
        <v>0</v>
      </c>
      <c r="H17" s="760">
        <f ca="1">Working!H53</f>
        <v>0</v>
      </c>
      <c r="I17" s="760">
        <f ca="1">Working!I53</f>
        <v>0</v>
      </c>
      <c r="J17" s="760">
        <f ca="1">Working!J53</f>
        <v>0</v>
      </c>
      <c r="K17" s="760">
        <f ca="1">Working!K53</f>
        <v>0</v>
      </c>
      <c r="L17" s="760">
        <f ca="1">Working!L53</f>
        <v>0</v>
      </c>
      <c r="M17" s="760">
        <f ca="1">Working!M53</f>
        <v>0</v>
      </c>
      <c r="N17" s="760">
        <f ca="1">Working!N53</f>
        <v>0</v>
      </c>
      <c r="O17" s="760">
        <f ca="1">Working!O53</f>
        <v>0</v>
      </c>
      <c r="P17" s="760">
        <f ca="1">Working!P53</f>
        <v>0</v>
      </c>
      <c r="Q17" s="760">
        <f ca="1">Working!Q53</f>
        <v>0</v>
      </c>
      <c r="R17" s="760">
        <f ca="1">Working!R53</f>
        <v>0</v>
      </c>
      <c r="S17" s="760">
        <f ca="1">Working!S53</f>
        <v>0</v>
      </c>
      <c r="T17" s="760">
        <f ca="1">Working!T53</f>
        <v>0</v>
      </c>
      <c r="U17" s="760">
        <f ca="1">Working!U53</f>
        <v>0</v>
      </c>
      <c r="V17" s="760">
        <f ca="1">Working!V53</f>
        <v>0</v>
      </c>
      <c r="W17" s="760">
        <f ca="1">Working!W53</f>
        <v>0</v>
      </c>
      <c r="X17" s="760">
        <f ca="1">Working!X53</f>
        <v>0</v>
      </c>
      <c r="Y17" s="760">
        <f ca="1">Working!Y53</f>
        <v>0</v>
      </c>
      <c r="Z17" s="760">
        <f ca="1">Working!Z53</f>
        <v>0</v>
      </c>
      <c r="AA17" s="760">
        <f ca="1">Working!AA53</f>
        <v>0</v>
      </c>
      <c r="AB17" s="760">
        <f ca="1">Working!AB53</f>
        <v>0</v>
      </c>
      <c r="AC17" s="760">
        <f ca="1">Working!AC53</f>
        <v>0</v>
      </c>
      <c r="AD17" s="760">
        <f ca="1">Working!AD53</f>
        <v>0</v>
      </c>
      <c r="AE17" s="760">
        <f ca="1">Working!AE53</f>
        <v>0</v>
      </c>
    </row>
    <row r="18" spans="1:31" x14ac:dyDescent="0.35">
      <c r="B18" s="760"/>
      <c r="C18" s="760"/>
      <c r="D18" s="760"/>
      <c r="E18" s="760"/>
      <c r="F18" s="760"/>
      <c r="G18" s="760"/>
      <c r="H18" s="760"/>
      <c r="I18" s="760"/>
      <c r="J18" s="760"/>
      <c r="K18" s="760"/>
      <c r="L18" s="760"/>
      <c r="M18" s="760"/>
      <c r="N18" s="760"/>
      <c r="O18" s="760"/>
      <c r="P18" s="760"/>
      <c r="Q18" s="760"/>
      <c r="R18" s="760"/>
      <c r="S18" s="760"/>
      <c r="T18" s="760"/>
      <c r="U18" s="760"/>
      <c r="V18" s="760"/>
      <c r="W18" s="760"/>
      <c r="X18" s="760"/>
      <c r="Y18" s="760"/>
      <c r="Z18" s="760"/>
      <c r="AA18" s="760"/>
      <c r="AB18" s="760"/>
      <c r="AC18" s="760"/>
      <c r="AD18" s="760"/>
      <c r="AE18" s="760"/>
    </row>
    <row r="19" spans="1:31" x14ac:dyDescent="0.35">
      <c r="B19" s="760" t="s">
        <v>1104</v>
      </c>
      <c r="C19" s="760" t="str">
        <f>Working!C55</f>
        <v>%</v>
      </c>
      <c r="D19" s="1006"/>
      <c r="E19" s="1006">
        <f>Working!E55</f>
        <v>0.7</v>
      </c>
      <c r="F19" s="1006">
        <f>Working!F55</f>
        <v>0.7</v>
      </c>
      <c r="G19" s="1006">
        <f>Working!G55</f>
        <v>0.7</v>
      </c>
      <c r="H19" s="1006">
        <f>Working!H55</f>
        <v>0.7</v>
      </c>
      <c r="I19" s="1006">
        <f>Working!I55</f>
        <v>0.7</v>
      </c>
      <c r="J19" s="1006">
        <f>Working!J55</f>
        <v>0.7</v>
      </c>
      <c r="K19" s="1006">
        <f>Working!K55</f>
        <v>0.7</v>
      </c>
      <c r="L19" s="1006">
        <f>Working!L55</f>
        <v>0.7</v>
      </c>
      <c r="M19" s="1006">
        <f>Working!M55</f>
        <v>0.7</v>
      </c>
      <c r="N19" s="1006">
        <f>Working!N55</f>
        <v>0.7</v>
      </c>
      <c r="O19" s="1006">
        <f>Working!O55</f>
        <v>0.7</v>
      </c>
      <c r="P19" s="1006">
        <f>Working!P55</f>
        <v>0.7</v>
      </c>
      <c r="Q19" s="1006">
        <f>Working!Q55</f>
        <v>0.7</v>
      </c>
      <c r="R19" s="1006">
        <f>Working!R55</f>
        <v>0.7</v>
      </c>
      <c r="S19" s="1006">
        <f>Working!S55</f>
        <v>0.7</v>
      </c>
      <c r="T19" s="1006">
        <f>Working!T55</f>
        <v>0.7</v>
      </c>
      <c r="U19" s="1006">
        <f>Working!U55</f>
        <v>0.7</v>
      </c>
      <c r="V19" s="1006">
        <f>Working!V55</f>
        <v>0.7</v>
      </c>
      <c r="W19" s="1006">
        <f>Working!W55</f>
        <v>0.7</v>
      </c>
      <c r="X19" s="1006">
        <f>Working!X55</f>
        <v>0.7</v>
      </c>
      <c r="Y19" s="1006">
        <f>Working!Y55</f>
        <v>0.7</v>
      </c>
      <c r="Z19" s="1006">
        <f>Working!Z55</f>
        <v>0.7</v>
      </c>
      <c r="AA19" s="1006">
        <f>Working!AA55</f>
        <v>0.7</v>
      </c>
      <c r="AB19" s="1006">
        <f>Working!AB55</f>
        <v>0.7</v>
      </c>
      <c r="AC19" s="1006">
        <f>Working!AC55</f>
        <v>0.7</v>
      </c>
      <c r="AD19" s="1006">
        <f>Working!AD55</f>
        <v>0.7</v>
      </c>
      <c r="AE19" s="1006">
        <f>Working!AE55</f>
        <v>0.7</v>
      </c>
    </row>
    <row r="20" spans="1:31" x14ac:dyDescent="0.35">
      <c r="B20" s="760"/>
      <c r="C20" s="760"/>
      <c r="D20" s="760"/>
      <c r="E20" s="760"/>
      <c r="F20" s="760"/>
      <c r="G20" s="760"/>
      <c r="H20" s="760"/>
      <c r="I20" s="760"/>
      <c r="J20" s="760"/>
      <c r="K20" s="760"/>
      <c r="L20" s="760"/>
      <c r="M20" s="760"/>
      <c r="N20" s="760"/>
      <c r="O20" s="760"/>
      <c r="P20" s="760"/>
      <c r="Q20" s="760"/>
      <c r="R20" s="760"/>
      <c r="S20" s="760"/>
      <c r="T20" s="760"/>
      <c r="U20" s="760"/>
      <c r="V20" s="760"/>
      <c r="W20" s="760"/>
      <c r="X20" s="760"/>
      <c r="Y20" s="760"/>
      <c r="Z20" s="760"/>
      <c r="AA20" s="760"/>
      <c r="AB20" s="760"/>
      <c r="AC20" s="760"/>
      <c r="AD20" s="760"/>
      <c r="AE20" s="760"/>
    </row>
    <row r="21" spans="1:31" x14ac:dyDescent="0.35">
      <c r="A21" s="1014" t="s">
        <v>1105</v>
      </c>
      <c r="B21" s="1014"/>
      <c r="C21" s="1014"/>
      <c r="D21" s="1014"/>
      <c r="E21" s="1014"/>
      <c r="F21" s="1014"/>
      <c r="G21" s="1014"/>
      <c r="H21" s="1014"/>
      <c r="I21" s="1014"/>
      <c r="J21" s="1014"/>
      <c r="K21" s="1014"/>
      <c r="L21" s="1014"/>
      <c r="M21" s="1014"/>
      <c r="N21" s="1014"/>
      <c r="O21" s="1014"/>
      <c r="P21" s="1014"/>
      <c r="Q21" s="1014"/>
      <c r="R21" s="1014"/>
      <c r="S21" s="1014"/>
      <c r="T21" s="1014"/>
      <c r="U21" s="1014"/>
      <c r="V21" s="1014"/>
      <c r="W21" s="1014"/>
      <c r="X21" s="1014"/>
      <c r="Y21" s="1014"/>
      <c r="Z21" s="1014"/>
      <c r="AA21" s="1014"/>
      <c r="AB21" s="1014"/>
      <c r="AC21" s="1014"/>
      <c r="AD21" s="1014"/>
      <c r="AE21" s="1014"/>
    </row>
    <row r="22" spans="1:31" x14ac:dyDescent="0.35">
      <c r="B22" s="981" t="str">
        <f>Working!B74</f>
        <v>Opening</v>
      </c>
      <c r="C22" s="981" t="str">
        <f>Working!C74</f>
        <v>Rs Cr</v>
      </c>
      <c r="D22" s="981"/>
      <c r="E22" s="981">
        <f>Working!E74</f>
        <v>0</v>
      </c>
      <c r="F22" s="981">
        <f ca="1">Working!F74</f>
        <v>407.43400352615367</v>
      </c>
      <c r="G22" s="981">
        <f ca="1">Working!G74</f>
        <v>840.80030860765225</v>
      </c>
      <c r="H22" s="981">
        <f ca="1">Working!H74</f>
        <v>782.81408042781413</v>
      </c>
      <c r="I22" s="981">
        <f ca="1">Working!I74</f>
        <v>724.82785224797601</v>
      </c>
      <c r="J22" s="981">
        <f ca="1">Working!J74</f>
        <v>666.84162406813789</v>
      </c>
      <c r="K22" s="981">
        <f ca="1">Working!K74</f>
        <v>608.85539588829977</v>
      </c>
      <c r="L22" s="981">
        <f ca="1">Working!L74</f>
        <v>550.86916770846165</v>
      </c>
      <c r="M22" s="981">
        <f ca="1">Working!M74</f>
        <v>492.88293952862358</v>
      </c>
      <c r="N22" s="981">
        <f ca="1">Working!N74</f>
        <v>434.89671134878552</v>
      </c>
      <c r="O22" s="981">
        <f ca="1">Working!O74</f>
        <v>376.91048316894745</v>
      </c>
      <c r="P22" s="981">
        <f ca="1">Working!P74</f>
        <v>318.92425498910939</v>
      </c>
      <c r="Q22" s="981">
        <f ca="1">Working!Q74</f>
        <v>260.93802680927132</v>
      </c>
      <c r="R22" s="981">
        <f ca="1">Working!R74</f>
        <v>202.95179862943323</v>
      </c>
      <c r="S22" s="981">
        <f ca="1">Working!S74</f>
        <v>144.96557044959513</v>
      </c>
      <c r="T22" s="981">
        <f ca="1">Working!T74</f>
        <v>86.979342269757041</v>
      </c>
      <c r="U22" s="981">
        <f ca="1">Working!U74</f>
        <v>28.993114089918954</v>
      </c>
      <c r="V22" s="981">
        <f ca="1">Working!V74</f>
        <v>0</v>
      </c>
      <c r="W22" s="981">
        <f ca="1">Working!W74</f>
        <v>0</v>
      </c>
      <c r="X22" s="981">
        <f ca="1">Working!X74</f>
        <v>0</v>
      </c>
      <c r="Y22" s="981">
        <f ca="1">Working!Y74</f>
        <v>0</v>
      </c>
      <c r="Z22" s="981">
        <f ca="1">Working!Z74</f>
        <v>0</v>
      </c>
      <c r="AA22" s="981">
        <f ca="1">Working!AA74</f>
        <v>0</v>
      </c>
      <c r="AB22" s="981">
        <f ca="1">Working!AB74</f>
        <v>0</v>
      </c>
      <c r="AC22" s="981">
        <f ca="1">Working!AC74</f>
        <v>0</v>
      </c>
      <c r="AD22" s="981">
        <f ca="1">Working!AD74</f>
        <v>0</v>
      </c>
      <c r="AE22" s="981">
        <f ca="1">Working!AE74</f>
        <v>0</v>
      </c>
    </row>
    <row r="23" spans="1:31" x14ac:dyDescent="0.35">
      <c r="B23" s="981" t="str">
        <f>Working!B75</f>
        <v>Addition</v>
      </c>
      <c r="C23" s="981" t="str">
        <f>Working!C75</f>
        <v>Rs Cr</v>
      </c>
      <c r="D23" s="981"/>
      <c r="E23" s="981">
        <f ca="1">Working!E75</f>
        <v>407.43400352615367</v>
      </c>
      <c r="F23" s="981">
        <f ca="1">Working!F75</f>
        <v>462.35941917141758</v>
      </c>
      <c r="G23" s="981">
        <f ca="1">Working!G75</f>
        <v>0</v>
      </c>
      <c r="H23" s="981">
        <f ca="1">Working!H75</f>
        <v>0</v>
      </c>
      <c r="I23" s="981">
        <f ca="1">Working!I75</f>
        <v>0</v>
      </c>
      <c r="J23" s="981">
        <f ca="1">Working!J75</f>
        <v>0</v>
      </c>
      <c r="K23" s="981">
        <f ca="1">Working!K75</f>
        <v>0</v>
      </c>
      <c r="L23" s="981">
        <f ca="1">Working!L75</f>
        <v>0</v>
      </c>
      <c r="M23" s="981">
        <f ca="1">Working!M75</f>
        <v>0</v>
      </c>
      <c r="N23" s="981">
        <f ca="1">Working!N75</f>
        <v>0</v>
      </c>
      <c r="O23" s="981">
        <f ca="1">Working!O75</f>
        <v>0</v>
      </c>
      <c r="P23" s="981">
        <f ca="1">Working!P75</f>
        <v>0</v>
      </c>
      <c r="Q23" s="981">
        <f ca="1">Working!Q75</f>
        <v>0</v>
      </c>
      <c r="R23" s="981">
        <f ca="1">Working!R75</f>
        <v>0</v>
      </c>
      <c r="S23" s="981">
        <f ca="1">Working!S75</f>
        <v>0</v>
      </c>
      <c r="T23" s="981">
        <f ca="1">Working!T75</f>
        <v>0</v>
      </c>
      <c r="U23" s="981">
        <f ca="1">Working!U75</f>
        <v>0</v>
      </c>
      <c r="V23" s="981">
        <f ca="1">Working!V75</f>
        <v>0</v>
      </c>
      <c r="W23" s="981">
        <f ca="1">Working!W75</f>
        <v>0</v>
      </c>
      <c r="X23" s="981">
        <f ca="1">Working!X75</f>
        <v>0</v>
      </c>
      <c r="Y23" s="981">
        <f ca="1">Working!Y75</f>
        <v>0</v>
      </c>
      <c r="Z23" s="981">
        <f ca="1">Working!Z75</f>
        <v>0</v>
      </c>
      <c r="AA23" s="981">
        <f ca="1">Working!AA75</f>
        <v>0</v>
      </c>
      <c r="AB23" s="981">
        <f ca="1">Working!AB75</f>
        <v>0</v>
      </c>
      <c r="AC23" s="981">
        <f ca="1">Working!AC75</f>
        <v>0</v>
      </c>
      <c r="AD23" s="981">
        <f ca="1">Working!AD75</f>
        <v>0</v>
      </c>
      <c r="AE23" s="981">
        <f ca="1">Working!AE75</f>
        <v>0</v>
      </c>
    </row>
    <row r="24" spans="1:31" x14ac:dyDescent="0.35">
      <c r="B24" s="981" t="str">
        <f>Working!B76</f>
        <v>Repayments</v>
      </c>
      <c r="C24" s="981" t="str">
        <f>Working!C76</f>
        <v>Rs Cr</v>
      </c>
      <c r="D24" s="981"/>
      <c r="E24" s="981">
        <f>Working!E76</f>
        <v>0</v>
      </c>
      <c r="F24" s="981">
        <f ca="1">Working!F76</f>
        <v>28.993114089919043</v>
      </c>
      <c r="G24" s="981">
        <f ca="1">Working!G76</f>
        <v>57.986228179838086</v>
      </c>
      <c r="H24" s="981">
        <f ca="1">Working!H76</f>
        <v>57.986228179838086</v>
      </c>
      <c r="I24" s="981">
        <f ca="1">Working!I76</f>
        <v>57.986228179838086</v>
      </c>
      <c r="J24" s="981">
        <f ca="1">Working!J76</f>
        <v>57.986228179838086</v>
      </c>
      <c r="K24" s="981">
        <f ca="1">Working!K76</f>
        <v>57.986228179838086</v>
      </c>
      <c r="L24" s="981">
        <f ca="1">Working!L76</f>
        <v>57.986228179838086</v>
      </c>
      <c r="M24" s="981">
        <f ca="1">Working!M76</f>
        <v>57.986228179838086</v>
      </c>
      <c r="N24" s="981">
        <f ca="1">Working!N76</f>
        <v>57.986228179838086</v>
      </c>
      <c r="O24" s="981">
        <f ca="1">Working!O76</f>
        <v>57.986228179838086</v>
      </c>
      <c r="P24" s="981">
        <f ca="1">Working!P76</f>
        <v>57.986228179838086</v>
      </c>
      <c r="Q24" s="981">
        <f ca="1">Working!Q76</f>
        <v>57.986228179838086</v>
      </c>
      <c r="R24" s="981">
        <f ca="1">Working!R76</f>
        <v>57.986228179838086</v>
      </c>
      <c r="S24" s="981">
        <f ca="1">Working!S76</f>
        <v>57.986228179838086</v>
      </c>
      <c r="T24" s="981">
        <f ca="1">Working!T76</f>
        <v>57.986228179838086</v>
      </c>
      <c r="U24" s="981">
        <f ca="1">Working!U76</f>
        <v>28.993114089918954</v>
      </c>
      <c r="V24" s="981">
        <f ca="1">Working!V76</f>
        <v>0</v>
      </c>
      <c r="W24" s="981">
        <f ca="1">Working!W76</f>
        <v>0</v>
      </c>
      <c r="X24" s="981">
        <f ca="1">Working!X76</f>
        <v>0</v>
      </c>
      <c r="Y24" s="981">
        <f ca="1">Working!Y76</f>
        <v>0</v>
      </c>
      <c r="Z24" s="981">
        <f ca="1">Working!Z76</f>
        <v>0</v>
      </c>
      <c r="AA24" s="981">
        <f ca="1">Working!AA76</f>
        <v>0</v>
      </c>
      <c r="AB24" s="981">
        <f ca="1">Working!AB76</f>
        <v>0</v>
      </c>
      <c r="AC24" s="981">
        <f ca="1">Working!AC76</f>
        <v>0</v>
      </c>
      <c r="AD24" s="981">
        <f ca="1">Working!AD76</f>
        <v>0</v>
      </c>
      <c r="AE24" s="981">
        <f ca="1">Working!AE76</f>
        <v>0</v>
      </c>
    </row>
    <row r="25" spans="1:31" x14ac:dyDescent="0.35">
      <c r="B25" s="760" t="str">
        <f>Working!B77</f>
        <v>Closing</v>
      </c>
      <c r="C25" s="760" t="str">
        <f>Working!C77</f>
        <v>Rs Cr</v>
      </c>
      <c r="D25" s="760"/>
      <c r="E25" s="760">
        <f ca="1">Working!E77</f>
        <v>407.43400352615367</v>
      </c>
      <c r="F25" s="760">
        <f ca="1">Working!F77</f>
        <v>840.80030860765225</v>
      </c>
      <c r="G25" s="760">
        <f ca="1">Working!G77</f>
        <v>782.81408042781413</v>
      </c>
      <c r="H25" s="760">
        <f ca="1">Working!H77</f>
        <v>724.82785224797601</v>
      </c>
      <c r="I25" s="760">
        <f ca="1">Working!I77</f>
        <v>666.84162406813789</v>
      </c>
      <c r="J25" s="760">
        <f ca="1">Working!J77</f>
        <v>608.85539588829977</v>
      </c>
      <c r="K25" s="760">
        <f ca="1">Working!K77</f>
        <v>550.86916770846165</v>
      </c>
      <c r="L25" s="760">
        <f ca="1">Working!L77</f>
        <v>492.88293952862358</v>
      </c>
      <c r="M25" s="760">
        <f ca="1">Working!M77</f>
        <v>434.89671134878552</v>
      </c>
      <c r="N25" s="760">
        <f ca="1">Working!N77</f>
        <v>376.91048316894745</v>
      </c>
      <c r="O25" s="760">
        <f ca="1">Working!O77</f>
        <v>318.92425498910939</v>
      </c>
      <c r="P25" s="760">
        <f ca="1">Working!P77</f>
        <v>260.93802680927132</v>
      </c>
      <c r="Q25" s="760">
        <f ca="1">Working!Q77</f>
        <v>202.95179862943323</v>
      </c>
      <c r="R25" s="760">
        <f ca="1">Working!R77</f>
        <v>144.96557044959513</v>
      </c>
      <c r="S25" s="760">
        <f ca="1">Working!S77</f>
        <v>86.979342269757041</v>
      </c>
      <c r="T25" s="760">
        <f ca="1">Working!T77</f>
        <v>28.993114089918954</v>
      </c>
      <c r="U25" s="760">
        <f ca="1">Working!U77</f>
        <v>0</v>
      </c>
      <c r="V25" s="760">
        <f ca="1">Working!V77</f>
        <v>0</v>
      </c>
      <c r="W25" s="760">
        <f ca="1">Working!W77</f>
        <v>0</v>
      </c>
      <c r="X25" s="760">
        <f ca="1">Working!X77</f>
        <v>0</v>
      </c>
      <c r="Y25" s="760">
        <f ca="1">Working!Y77</f>
        <v>0</v>
      </c>
      <c r="Z25" s="760">
        <f ca="1">Working!Z77</f>
        <v>0</v>
      </c>
      <c r="AA25" s="760">
        <f ca="1">Working!AA77</f>
        <v>0</v>
      </c>
      <c r="AB25" s="760">
        <f ca="1">Working!AB77</f>
        <v>0</v>
      </c>
      <c r="AC25" s="760">
        <f ca="1">Working!AC77</f>
        <v>0</v>
      </c>
      <c r="AD25" s="760">
        <f ca="1">Working!AD77</f>
        <v>0</v>
      </c>
      <c r="AE25" s="760">
        <f ca="1">Working!AE77</f>
        <v>0</v>
      </c>
    </row>
    <row r="26" spans="1:31" x14ac:dyDescent="0.35">
      <c r="B26" s="981"/>
      <c r="C26" s="981"/>
      <c r="D26" s="981"/>
      <c r="E26" s="981"/>
      <c r="F26" s="981"/>
      <c r="G26" s="981"/>
      <c r="H26" s="981"/>
      <c r="I26" s="981"/>
      <c r="J26" s="981"/>
      <c r="K26" s="981"/>
      <c r="L26" s="981"/>
      <c r="M26" s="981"/>
      <c r="N26" s="981"/>
      <c r="O26" s="981"/>
      <c r="P26" s="981"/>
      <c r="Q26" s="981"/>
      <c r="R26" s="981"/>
      <c r="S26" s="981"/>
      <c r="T26" s="981"/>
      <c r="U26" s="981"/>
      <c r="V26" s="981"/>
      <c r="W26" s="981"/>
      <c r="X26" s="981"/>
      <c r="Y26" s="981"/>
      <c r="Z26" s="981"/>
      <c r="AA26" s="981"/>
      <c r="AB26" s="981"/>
      <c r="AC26" s="981"/>
      <c r="AD26" s="981"/>
      <c r="AE26" s="981"/>
    </row>
    <row r="27" spans="1:31" x14ac:dyDescent="0.35">
      <c r="B27" s="981" t="str">
        <f>Working!B79</f>
        <v>Interest Rate</v>
      </c>
      <c r="C27" s="981" t="str">
        <f>Working!C79</f>
        <v>%</v>
      </c>
      <c r="D27" s="1015"/>
      <c r="E27" s="1015">
        <f>Working!E79</f>
        <v>0.06</v>
      </c>
      <c r="F27" s="1015">
        <f>Working!F79</f>
        <v>0.06</v>
      </c>
      <c r="G27" s="1015">
        <f>Working!G79</f>
        <v>0.06</v>
      </c>
      <c r="H27" s="1015">
        <f>Working!H79</f>
        <v>0.06</v>
      </c>
      <c r="I27" s="1015">
        <f>Working!I79</f>
        <v>0.06</v>
      </c>
      <c r="J27" s="1015">
        <f>Working!J79</f>
        <v>0.06</v>
      </c>
      <c r="K27" s="1015">
        <f>Working!K79</f>
        <v>0.06</v>
      </c>
      <c r="L27" s="1015">
        <f>Working!L79</f>
        <v>0.06</v>
      </c>
      <c r="M27" s="1015">
        <f>Working!M79</f>
        <v>0.06</v>
      </c>
      <c r="N27" s="1015">
        <f>Working!N79</f>
        <v>0.06</v>
      </c>
      <c r="O27" s="1015">
        <f>Working!O79</f>
        <v>0.06</v>
      </c>
      <c r="P27" s="1015">
        <f>Working!P79</f>
        <v>0.06</v>
      </c>
      <c r="Q27" s="1015">
        <f>Working!Q79</f>
        <v>0.06</v>
      </c>
      <c r="R27" s="1015">
        <f>Working!R79</f>
        <v>0.06</v>
      </c>
      <c r="S27" s="1015">
        <f>Working!S79</f>
        <v>0.06</v>
      </c>
      <c r="T27" s="1015">
        <f>Working!T79</f>
        <v>0.06</v>
      </c>
      <c r="U27" s="1015">
        <f>Working!U79</f>
        <v>0.06</v>
      </c>
      <c r="V27" s="1015">
        <f>Working!V79</f>
        <v>0.06</v>
      </c>
      <c r="W27" s="1015">
        <f>Working!W79</f>
        <v>0.06</v>
      </c>
      <c r="X27" s="1015">
        <f>Working!X79</f>
        <v>0.06</v>
      </c>
      <c r="Y27" s="1015">
        <f>Working!Y79</f>
        <v>0.06</v>
      </c>
      <c r="Z27" s="1015">
        <f>Working!Z79</f>
        <v>0.06</v>
      </c>
      <c r="AA27" s="1015">
        <f>Working!AA79</f>
        <v>0.06</v>
      </c>
      <c r="AB27" s="1015">
        <f>Working!AB79</f>
        <v>0.06</v>
      </c>
      <c r="AC27" s="1015">
        <f>Working!AC79</f>
        <v>0.06</v>
      </c>
      <c r="AD27" s="1015">
        <f>Working!AD79</f>
        <v>0.06</v>
      </c>
      <c r="AE27" s="1015">
        <f>Working!AE79</f>
        <v>0.06</v>
      </c>
    </row>
    <row r="28" spans="1:31" x14ac:dyDescent="0.35">
      <c r="B28" s="981" t="str">
        <f>Working!B80</f>
        <v>IDC</v>
      </c>
      <c r="C28" s="981" t="str">
        <f>Working!C80</f>
        <v>Rs Cr</v>
      </c>
      <c r="D28" s="981"/>
      <c r="E28" s="760">
        <f ca="1">Working!E80</f>
        <v>5.1522659275677096</v>
      </c>
      <c r="F28" s="760">
        <f ca="1">Working!F80</f>
        <v>20.970923762061755</v>
      </c>
      <c r="G28" s="760">
        <f ca="1">Working!G80</f>
        <v>0</v>
      </c>
      <c r="H28" s="760">
        <f ca="1">Working!H80</f>
        <v>0</v>
      </c>
      <c r="I28" s="760">
        <f ca="1">Working!I80</f>
        <v>0</v>
      </c>
      <c r="J28" s="760">
        <f ca="1">Working!J80</f>
        <v>0</v>
      </c>
      <c r="K28" s="760">
        <f ca="1">Working!K80</f>
        <v>0</v>
      </c>
      <c r="L28" s="760">
        <f ca="1">Working!L80</f>
        <v>0</v>
      </c>
      <c r="M28" s="760">
        <f ca="1">Working!M80</f>
        <v>0</v>
      </c>
      <c r="N28" s="760">
        <f ca="1">Working!N80</f>
        <v>0</v>
      </c>
      <c r="O28" s="760">
        <f ca="1">Working!O80</f>
        <v>0</v>
      </c>
      <c r="P28" s="760">
        <f ca="1">Working!P80</f>
        <v>0</v>
      </c>
      <c r="Q28" s="760">
        <f ca="1">Working!Q80</f>
        <v>0</v>
      </c>
      <c r="R28" s="760">
        <f ca="1">Working!R80</f>
        <v>0</v>
      </c>
      <c r="S28" s="760">
        <f ca="1">Working!S80</f>
        <v>0</v>
      </c>
      <c r="T28" s="760">
        <f ca="1">Working!T80</f>
        <v>0</v>
      </c>
      <c r="U28" s="760">
        <f ca="1">Working!U80</f>
        <v>0</v>
      </c>
      <c r="V28" s="760">
        <f ca="1">Working!V80</f>
        <v>0</v>
      </c>
      <c r="W28" s="760">
        <f ca="1">Working!W80</f>
        <v>0</v>
      </c>
      <c r="X28" s="760">
        <f ca="1">Working!X80</f>
        <v>0</v>
      </c>
      <c r="Y28" s="760">
        <f ca="1">Working!Y80</f>
        <v>0</v>
      </c>
      <c r="Z28" s="760">
        <f ca="1">Working!Z80</f>
        <v>0</v>
      </c>
      <c r="AA28" s="760">
        <f ca="1">Working!AA80</f>
        <v>0</v>
      </c>
      <c r="AB28" s="760">
        <f ca="1">Working!AB80</f>
        <v>0</v>
      </c>
      <c r="AC28" s="760">
        <f ca="1">Working!AC80</f>
        <v>0</v>
      </c>
      <c r="AD28" s="760">
        <f ca="1">Working!AD80</f>
        <v>0</v>
      </c>
      <c r="AE28" s="760">
        <f ca="1">Working!AE80</f>
        <v>0</v>
      </c>
    </row>
    <row r="29" spans="1:31" x14ac:dyDescent="0.35">
      <c r="B29" s="760" t="str">
        <f>Working!B81</f>
        <v>Interest Charge</v>
      </c>
      <c r="C29" s="760" t="str">
        <f>Working!C81</f>
        <v>Rs Cr</v>
      </c>
      <c r="D29" s="760"/>
      <c r="E29" s="760">
        <f ca="1">Working!E81</f>
        <v>0</v>
      </c>
      <c r="F29" s="760">
        <f ca="1">Working!F81</f>
        <v>18.672217381508435</v>
      </c>
      <c r="G29" s="760">
        <f ca="1">Working!G81</f>
        <v>48.708431671063991</v>
      </c>
      <c r="H29" s="760">
        <f ca="1">Working!H81</f>
        <v>45.229257980273701</v>
      </c>
      <c r="I29" s="760">
        <f ca="1">Working!I81</f>
        <v>41.750084289483418</v>
      </c>
      <c r="J29" s="760">
        <f ca="1">Working!J81</f>
        <v>38.270910598693128</v>
      </c>
      <c r="K29" s="760">
        <f ca="1">Working!K81</f>
        <v>34.791736907902845</v>
      </c>
      <c r="L29" s="760">
        <f ca="1">Working!L81</f>
        <v>31.312563217112558</v>
      </c>
      <c r="M29" s="760">
        <f ca="1">Working!M81</f>
        <v>27.833389526322271</v>
      </c>
      <c r="N29" s="760">
        <f ca="1">Working!N81</f>
        <v>24.354215835531988</v>
      </c>
      <c r="O29" s="760">
        <f ca="1">Working!O81</f>
        <v>20.875042144741702</v>
      </c>
      <c r="P29" s="760">
        <f ca="1">Working!P81</f>
        <v>17.395868453951422</v>
      </c>
      <c r="Q29" s="760">
        <f ca="1">Working!Q81</f>
        <v>13.916694763161136</v>
      </c>
      <c r="R29" s="760">
        <f ca="1">Working!R81</f>
        <v>10.437521072370851</v>
      </c>
      <c r="S29" s="760">
        <f ca="1">Working!S81</f>
        <v>6.9583473815805652</v>
      </c>
      <c r="T29" s="760">
        <f ca="1">Working!T81</f>
        <v>3.4791736907902795</v>
      </c>
      <c r="U29" s="760">
        <f ca="1">Working!U81</f>
        <v>0.86979342269756865</v>
      </c>
      <c r="V29" s="760">
        <f ca="1">Working!V81</f>
        <v>0</v>
      </c>
      <c r="W29" s="760">
        <f ca="1">Working!W81</f>
        <v>0</v>
      </c>
      <c r="X29" s="760">
        <f ca="1">Working!X81</f>
        <v>0</v>
      </c>
      <c r="Y29" s="760">
        <f ca="1">Working!Y81</f>
        <v>0</v>
      </c>
      <c r="Z29" s="760">
        <f ca="1">Working!Z81</f>
        <v>0</v>
      </c>
      <c r="AA29" s="760">
        <f ca="1">Working!AA81</f>
        <v>0</v>
      </c>
      <c r="AB29" s="760">
        <f ca="1">Working!AB81</f>
        <v>0</v>
      </c>
      <c r="AC29" s="760">
        <f ca="1">Working!AC81</f>
        <v>0</v>
      </c>
      <c r="AD29" s="760">
        <f ca="1">Working!AD81</f>
        <v>0</v>
      </c>
      <c r="AE29" s="760">
        <f ca="1">Working!AE81</f>
        <v>0</v>
      </c>
    </row>
    <row r="31" spans="1:31" x14ac:dyDescent="0.35">
      <c r="A31" s="1011" t="s">
        <v>1108</v>
      </c>
      <c r="B31" s="1011"/>
      <c r="C31" s="1011"/>
      <c r="D31" s="1011"/>
      <c r="E31" s="1011"/>
      <c r="F31" s="1011"/>
      <c r="G31" s="1011"/>
      <c r="H31" s="1011"/>
      <c r="I31" s="1011"/>
      <c r="J31" s="1011"/>
      <c r="K31" s="1011"/>
      <c r="L31" s="1011"/>
      <c r="M31" s="1011"/>
      <c r="N31" s="1011"/>
      <c r="O31" s="1011"/>
      <c r="P31" s="1011"/>
      <c r="Q31" s="1011"/>
      <c r="R31" s="1011"/>
      <c r="S31" s="1011"/>
      <c r="T31" s="1011"/>
      <c r="U31" s="1011"/>
      <c r="V31" s="1011"/>
      <c r="W31" s="1011"/>
      <c r="X31" s="1011"/>
      <c r="Y31" s="1011"/>
      <c r="Z31" s="1011"/>
      <c r="AA31" s="1011"/>
      <c r="AB31" s="1011"/>
      <c r="AC31" s="1011"/>
      <c r="AD31" s="1011"/>
      <c r="AE31" s="1011"/>
    </row>
    <row r="32" spans="1:31" x14ac:dyDescent="0.35">
      <c r="A32" s="759" t="str">
        <f>Working!A94</f>
        <v>CWIP Schedule</v>
      </c>
      <c r="B32" s="759">
        <f>Working!B94</f>
        <v>0</v>
      </c>
      <c r="C32" s="759">
        <f>Working!C94</f>
        <v>0</v>
      </c>
      <c r="D32" s="759"/>
      <c r="E32" s="759">
        <f>Working!E94</f>
        <v>0</v>
      </c>
      <c r="F32" s="759">
        <f>Working!F94</f>
        <v>0</v>
      </c>
      <c r="G32" s="759">
        <f>Working!G94</f>
        <v>0</v>
      </c>
      <c r="H32" s="759">
        <f>Working!H94</f>
        <v>0</v>
      </c>
      <c r="I32" s="759">
        <f>Working!I94</f>
        <v>0</v>
      </c>
      <c r="J32" s="759">
        <f>Working!J94</f>
        <v>0</v>
      </c>
      <c r="K32" s="759">
        <f>Working!K94</f>
        <v>0</v>
      </c>
      <c r="L32" s="759">
        <f>Working!L94</f>
        <v>0</v>
      </c>
      <c r="M32" s="759">
        <f>Working!M94</f>
        <v>0</v>
      </c>
      <c r="N32" s="759">
        <f>Working!N94</f>
        <v>0</v>
      </c>
      <c r="O32" s="759">
        <f>Working!O94</f>
        <v>0</v>
      </c>
      <c r="P32" s="759">
        <f>Working!P94</f>
        <v>0</v>
      </c>
      <c r="Q32" s="759">
        <f>Working!Q94</f>
        <v>0</v>
      </c>
      <c r="R32" s="759">
        <f>Working!R94</f>
        <v>0</v>
      </c>
      <c r="S32" s="759">
        <f>Working!S94</f>
        <v>0</v>
      </c>
      <c r="T32" s="759">
        <f>Working!T94</f>
        <v>0</v>
      </c>
      <c r="U32" s="759">
        <f>Working!U94</f>
        <v>0</v>
      </c>
      <c r="V32" s="759">
        <f>Working!V94</f>
        <v>0</v>
      </c>
      <c r="W32" s="759">
        <f>Working!W94</f>
        <v>0</v>
      </c>
      <c r="X32" s="759">
        <f>Working!X94</f>
        <v>0</v>
      </c>
      <c r="Y32" s="759">
        <f>Working!Y94</f>
        <v>0</v>
      </c>
      <c r="Z32" s="759">
        <f>Working!Z94</f>
        <v>0</v>
      </c>
      <c r="AA32" s="759">
        <f>Working!AA94</f>
        <v>0</v>
      </c>
      <c r="AB32" s="759">
        <f>Working!AB94</f>
        <v>0</v>
      </c>
      <c r="AC32" s="759">
        <f>Working!AC94</f>
        <v>0</v>
      </c>
      <c r="AD32" s="759">
        <f>Working!AD94</f>
        <v>0</v>
      </c>
      <c r="AE32" s="759">
        <f>Working!AE94</f>
        <v>0</v>
      </c>
    </row>
    <row r="33" spans="1:31" x14ac:dyDescent="0.35">
      <c r="A33" s="759"/>
      <c r="B33" s="759" t="str">
        <f>Working!B95</f>
        <v>Opening</v>
      </c>
      <c r="C33" s="759" t="str">
        <f>Working!C95</f>
        <v>Rs Cr</v>
      </c>
      <c r="D33" s="759"/>
      <c r="E33" s="759">
        <f>Working!E95</f>
        <v>0</v>
      </c>
      <c r="F33" s="759">
        <f ca="1">Working!F95</f>
        <v>582.04857646593382</v>
      </c>
      <c r="G33" s="759">
        <f ca="1">Working!G95</f>
        <v>0</v>
      </c>
      <c r="H33" s="759">
        <f ca="1">Working!H95</f>
        <v>0</v>
      </c>
      <c r="I33" s="759">
        <f ca="1">Working!I95</f>
        <v>0</v>
      </c>
      <c r="J33" s="759">
        <f ca="1">Working!J95</f>
        <v>0</v>
      </c>
      <c r="K33" s="759">
        <f ca="1">Working!K95</f>
        <v>0</v>
      </c>
      <c r="L33" s="759">
        <f ca="1">Working!L95</f>
        <v>0</v>
      </c>
      <c r="M33" s="759">
        <f ca="1">Working!M95</f>
        <v>0</v>
      </c>
      <c r="N33" s="759">
        <f ca="1">Working!N95</f>
        <v>0</v>
      </c>
      <c r="O33" s="759">
        <f ca="1">Working!O95</f>
        <v>0</v>
      </c>
      <c r="P33" s="759">
        <f ca="1">Working!P95</f>
        <v>0</v>
      </c>
      <c r="Q33" s="759">
        <f ca="1">Working!Q95</f>
        <v>0</v>
      </c>
      <c r="R33" s="759">
        <f ca="1">Working!R95</f>
        <v>0</v>
      </c>
      <c r="S33" s="759">
        <f ca="1">Working!S95</f>
        <v>0</v>
      </c>
      <c r="T33" s="759">
        <f ca="1">Working!T95</f>
        <v>0</v>
      </c>
      <c r="U33" s="759">
        <f ca="1">Working!U95</f>
        <v>0</v>
      </c>
      <c r="V33" s="759">
        <f ca="1">Working!V95</f>
        <v>0</v>
      </c>
      <c r="W33" s="759">
        <f ca="1">Working!W95</f>
        <v>0</v>
      </c>
      <c r="X33" s="759">
        <f ca="1">Working!X95</f>
        <v>0</v>
      </c>
      <c r="Y33" s="759">
        <f ca="1">Working!Y95</f>
        <v>0</v>
      </c>
      <c r="Z33" s="759">
        <f ca="1">Working!Z95</f>
        <v>0</v>
      </c>
      <c r="AA33" s="759">
        <f ca="1">Working!AA95</f>
        <v>0</v>
      </c>
      <c r="AB33" s="759">
        <f ca="1">Working!AB95</f>
        <v>0</v>
      </c>
      <c r="AC33" s="759">
        <f ca="1">Working!AC95</f>
        <v>0</v>
      </c>
      <c r="AD33" s="759">
        <f ca="1">Working!AD95</f>
        <v>0</v>
      </c>
      <c r="AE33" s="759">
        <f ca="1">Working!AE95</f>
        <v>0</v>
      </c>
    </row>
    <row r="34" spans="1:31" x14ac:dyDescent="0.35">
      <c r="A34" s="759"/>
      <c r="B34" s="759" t="str">
        <f>Working!B96</f>
        <v>Addition</v>
      </c>
      <c r="C34" s="759" t="str">
        <f>Working!C96</f>
        <v>Rs Cr</v>
      </c>
      <c r="D34" s="759"/>
      <c r="E34" s="759">
        <f ca="1">Working!E96</f>
        <v>582.04857646593382</v>
      </c>
      <c r="F34" s="759">
        <f ca="1">Working!F96</f>
        <v>660.51345595916791</v>
      </c>
      <c r="G34" s="759">
        <f ca="1">Working!G96</f>
        <v>0</v>
      </c>
      <c r="H34" s="759">
        <f ca="1">Working!H96</f>
        <v>0</v>
      </c>
      <c r="I34" s="759">
        <f ca="1">Working!I96</f>
        <v>0</v>
      </c>
      <c r="J34" s="759">
        <f ca="1">Working!J96</f>
        <v>0</v>
      </c>
      <c r="K34" s="759">
        <f ca="1">Working!K96</f>
        <v>0</v>
      </c>
      <c r="L34" s="759">
        <f ca="1">Working!L96</f>
        <v>0</v>
      </c>
      <c r="M34" s="759">
        <f ca="1">Working!M96</f>
        <v>0</v>
      </c>
      <c r="N34" s="759">
        <f ca="1">Working!N96</f>
        <v>0</v>
      </c>
      <c r="O34" s="759">
        <f ca="1">Working!O96</f>
        <v>0</v>
      </c>
      <c r="P34" s="759">
        <f ca="1">Working!P96</f>
        <v>0</v>
      </c>
      <c r="Q34" s="759">
        <f ca="1">Working!Q96</f>
        <v>0</v>
      </c>
      <c r="R34" s="759">
        <f ca="1">Working!R96</f>
        <v>0</v>
      </c>
      <c r="S34" s="759">
        <f ca="1">Working!S96</f>
        <v>0</v>
      </c>
      <c r="T34" s="759">
        <f ca="1">Working!T96</f>
        <v>0</v>
      </c>
      <c r="U34" s="759">
        <f ca="1">Working!U96</f>
        <v>0</v>
      </c>
      <c r="V34" s="759">
        <f ca="1">Working!V96</f>
        <v>0</v>
      </c>
      <c r="W34" s="759">
        <f ca="1">Working!W96</f>
        <v>0</v>
      </c>
      <c r="X34" s="759">
        <f ca="1">Working!X96</f>
        <v>0</v>
      </c>
      <c r="Y34" s="759">
        <f ca="1">Working!Y96</f>
        <v>0</v>
      </c>
      <c r="Z34" s="759">
        <f ca="1">Working!Z96</f>
        <v>0</v>
      </c>
      <c r="AA34" s="759">
        <f ca="1">Working!AA96</f>
        <v>0</v>
      </c>
      <c r="AB34" s="759">
        <f ca="1">Working!AB96</f>
        <v>0</v>
      </c>
      <c r="AC34" s="759">
        <f ca="1">Working!AC96</f>
        <v>0</v>
      </c>
      <c r="AD34" s="759">
        <f ca="1">Working!AD96</f>
        <v>0</v>
      </c>
      <c r="AE34" s="759">
        <f ca="1">Working!AE96</f>
        <v>0</v>
      </c>
    </row>
    <row r="35" spans="1:31" x14ac:dyDescent="0.35">
      <c r="A35" s="759"/>
      <c r="B35" s="759" t="str">
        <f>Working!B97</f>
        <v>Capitalised</v>
      </c>
      <c r="C35" s="759" t="str">
        <f>Working!C97</f>
        <v>Rs Cr</v>
      </c>
      <c r="D35" s="759"/>
      <c r="E35" s="759">
        <f>Working!E97</f>
        <v>0</v>
      </c>
      <c r="F35" s="759">
        <f ca="1">Working!F97</f>
        <v>1242.5620324251017</v>
      </c>
      <c r="G35" s="759">
        <f>Working!G97</f>
        <v>0</v>
      </c>
      <c r="H35" s="759">
        <f>Working!H97</f>
        <v>0</v>
      </c>
      <c r="I35" s="759">
        <f>Working!I97</f>
        <v>0</v>
      </c>
      <c r="J35" s="759">
        <f>Working!J97</f>
        <v>0</v>
      </c>
      <c r="K35" s="759">
        <f>Working!K97</f>
        <v>0</v>
      </c>
      <c r="L35" s="759">
        <f>Working!L97</f>
        <v>0</v>
      </c>
      <c r="M35" s="759">
        <f>Working!M97</f>
        <v>0</v>
      </c>
      <c r="N35" s="759">
        <f>Working!N97</f>
        <v>0</v>
      </c>
      <c r="O35" s="759">
        <f>Working!O97</f>
        <v>0</v>
      </c>
      <c r="P35" s="759">
        <f>Working!P97</f>
        <v>0</v>
      </c>
      <c r="Q35" s="759">
        <f>Working!Q97</f>
        <v>0</v>
      </c>
      <c r="R35" s="759">
        <f>Working!R97</f>
        <v>0</v>
      </c>
      <c r="S35" s="759">
        <f>Working!S97</f>
        <v>0</v>
      </c>
      <c r="T35" s="759">
        <f>Working!T97</f>
        <v>0</v>
      </c>
      <c r="U35" s="759">
        <f>Working!U97</f>
        <v>0</v>
      </c>
      <c r="V35" s="759">
        <f>Working!V97</f>
        <v>0</v>
      </c>
      <c r="W35" s="759">
        <f>Working!W97</f>
        <v>0</v>
      </c>
      <c r="X35" s="759">
        <f>Working!X97</f>
        <v>0</v>
      </c>
      <c r="Y35" s="759">
        <f>Working!Y97</f>
        <v>0</v>
      </c>
      <c r="Z35" s="759">
        <f>Working!Z97</f>
        <v>0</v>
      </c>
      <c r="AA35" s="759">
        <f>Working!AA97</f>
        <v>0</v>
      </c>
      <c r="AB35" s="759">
        <f>Working!AB97</f>
        <v>0</v>
      </c>
      <c r="AC35" s="759">
        <f>Working!AC97</f>
        <v>0</v>
      </c>
      <c r="AD35" s="759">
        <f>Working!AD97</f>
        <v>0</v>
      </c>
      <c r="AE35" s="759">
        <f>Working!AE97</f>
        <v>0</v>
      </c>
    </row>
    <row r="36" spans="1:31" x14ac:dyDescent="0.35">
      <c r="A36" s="759"/>
      <c r="B36" s="759" t="str">
        <f>Working!B98</f>
        <v>Closing</v>
      </c>
      <c r="C36" s="759" t="str">
        <f>Working!C98</f>
        <v>Rs Cr</v>
      </c>
      <c r="D36" s="759"/>
      <c r="E36" s="759">
        <f ca="1">Working!E98</f>
        <v>582.04857646593382</v>
      </c>
      <c r="F36" s="759">
        <f ca="1">Working!F98</f>
        <v>0</v>
      </c>
      <c r="G36" s="759">
        <f ca="1">Working!G98</f>
        <v>0</v>
      </c>
      <c r="H36" s="759">
        <f ca="1">Working!H98</f>
        <v>0</v>
      </c>
      <c r="I36" s="759">
        <f ca="1">Working!I98</f>
        <v>0</v>
      </c>
      <c r="J36" s="759">
        <f ca="1">Working!J98</f>
        <v>0</v>
      </c>
      <c r="K36" s="759">
        <f ca="1">Working!K98</f>
        <v>0</v>
      </c>
      <c r="L36" s="759">
        <f ca="1">Working!L98</f>
        <v>0</v>
      </c>
      <c r="M36" s="759">
        <f ca="1">Working!M98</f>
        <v>0</v>
      </c>
      <c r="N36" s="759">
        <f ca="1">Working!N98</f>
        <v>0</v>
      </c>
      <c r="O36" s="759">
        <f ca="1">Working!O98</f>
        <v>0</v>
      </c>
      <c r="P36" s="759">
        <f ca="1">Working!P98</f>
        <v>0</v>
      </c>
      <c r="Q36" s="759">
        <f ca="1">Working!Q98</f>
        <v>0</v>
      </c>
      <c r="R36" s="759">
        <f ca="1">Working!R98</f>
        <v>0</v>
      </c>
      <c r="S36" s="759">
        <f ca="1">Working!S98</f>
        <v>0</v>
      </c>
      <c r="T36" s="759">
        <f ca="1">Working!T98</f>
        <v>0</v>
      </c>
      <c r="U36" s="759">
        <f ca="1">Working!U98</f>
        <v>0</v>
      </c>
      <c r="V36" s="759">
        <f ca="1">Working!V98</f>
        <v>0</v>
      </c>
      <c r="W36" s="759">
        <f ca="1">Working!W98</f>
        <v>0</v>
      </c>
      <c r="X36" s="759">
        <f ca="1">Working!X98</f>
        <v>0</v>
      </c>
      <c r="Y36" s="759">
        <f ca="1">Working!Y98</f>
        <v>0</v>
      </c>
      <c r="Z36" s="759">
        <f ca="1">Working!Z98</f>
        <v>0</v>
      </c>
      <c r="AA36" s="759">
        <f ca="1">Working!AA98</f>
        <v>0</v>
      </c>
      <c r="AB36" s="759">
        <f ca="1">Working!AB98</f>
        <v>0</v>
      </c>
      <c r="AC36" s="759">
        <f ca="1">Working!AC98</f>
        <v>0</v>
      </c>
      <c r="AD36" s="759">
        <f ca="1">Working!AD98</f>
        <v>0</v>
      </c>
      <c r="AE36" s="759">
        <f ca="1">Working!AE98</f>
        <v>0</v>
      </c>
    </row>
    <row r="37" spans="1:31" x14ac:dyDescent="0.35">
      <c r="A37" s="759"/>
      <c r="B37" s="759"/>
      <c r="C37" s="759"/>
      <c r="D37" s="759"/>
      <c r="E37" s="759"/>
      <c r="F37" s="759"/>
      <c r="G37" s="759"/>
      <c r="H37" s="759"/>
      <c r="I37" s="759"/>
      <c r="J37" s="759"/>
      <c r="K37" s="759"/>
      <c r="L37" s="759"/>
      <c r="M37" s="759"/>
      <c r="N37" s="759"/>
      <c r="O37" s="759"/>
      <c r="P37" s="759"/>
      <c r="Q37" s="759"/>
      <c r="R37" s="759"/>
      <c r="S37" s="759"/>
      <c r="T37" s="759"/>
      <c r="U37" s="759"/>
      <c r="V37" s="759"/>
      <c r="W37" s="759"/>
      <c r="X37" s="759"/>
      <c r="Y37" s="759"/>
      <c r="Z37" s="759"/>
      <c r="AA37" s="759"/>
      <c r="AB37" s="759"/>
      <c r="AC37" s="759"/>
      <c r="AD37" s="759"/>
      <c r="AE37" s="759"/>
    </row>
    <row r="38" spans="1:31" x14ac:dyDescent="0.35">
      <c r="A38" s="759" t="str">
        <f>Working!A100</f>
        <v>Book Depreciation</v>
      </c>
      <c r="B38" s="759">
        <f>Working!B100</f>
        <v>0</v>
      </c>
      <c r="C38" s="759">
        <f>Working!C100</f>
        <v>0</v>
      </c>
      <c r="D38" s="759"/>
      <c r="E38" s="759"/>
      <c r="F38" s="759"/>
      <c r="G38" s="759"/>
      <c r="H38" s="759"/>
      <c r="I38" s="759"/>
      <c r="J38" s="759"/>
      <c r="K38" s="759"/>
      <c r="L38" s="759"/>
      <c r="M38" s="759"/>
      <c r="N38" s="759"/>
      <c r="O38" s="759"/>
      <c r="P38" s="759"/>
      <c r="Q38" s="759"/>
      <c r="R38" s="759"/>
      <c r="S38" s="759"/>
      <c r="T38" s="759"/>
      <c r="U38" s="759"/>
      <c r="V38" s="759"/>
      <c r="W38" s="759"/>
      <c r="X38" s="759"/>
      <c r="Y38" s="759"/>
      <c r="Z38" s="759"/>
      <c r="AA38" s="759"/>
      <c r="AB38" s="759"/>
      <c r="AC38" s="759"/>
      <c r="AD38" s="759"/>
      <c r="AE38" s="759"/>
    </row>
    <row r="39" spans="1:31" x14ac:dyDescent="0.35">
      <c r="A39" s="759"/>
      <c r="B39" s="759" t="str">
        <f>Working!B101</f>
        <v>GFA Schedule</v>
      </c>
      <c r="C39" s="759"/>
      <c r="D39" s="759"/>
      <c r="E39" s="759"/>
      <c r="F39" s="759"/>
      <c r="G39" s="759"/>
      <c r="H39" s="759"/>
      <c r="I39" s="759"/>
      <c r="J39" s="759"/>
      <c r="K39" s="759"/>
      <c r="L39" s="759"/>
      <c r="M39" s="759"/>
      <c r="N39" s="759"/>
      <c r="O39" s="759"/>
      <c r="P39" s="759"/>
      <c r="Q39" s="759"/>
      <c r="R39" s="759"/>
      <c r="S39" s="759"/>
      <c r="T39" s="759"/>
      <c r="U39" s="759"/>
      <c r="V39" s="759"/>
      <c r="W39" s="759"/>
      <c r="X39" s="759"/>
      <c r="Y39" s="759"/>
      <c r="Z39" s="759"/>
      <c r="AA39" s="759"/>
      <c r="AB39" s="759"/>
      <c r="AC39" s="759"/>
      <c r="AD39" s="759"/>
      <c r="AE39" s="759"/>
    </row>
    <row r="40" spans="1:31" x14ac:dyDescent="0.35">
      <c r="A40" s="759"/>
      <c r="B40" s="759" t="str">
        <f>Working!B102</f>
        <v>Opening GFA</v>
      </c>
      <c r="C40" s="759" t="str">
        <f>Working!C102</f>
        <v>Rs Cr</v>
      </c>
      <c r="D40" s="759"/>
      <c r="E40" s="759">
        <f>Working!E102</f>
        <v>0</v>
      </c>
      <c r="F40" s="759">
        <f>Working!F102</f>
        <v>0</v>
      </c>
      <c r="G40" s="759">
        <f ca="1">Working!G102</f>
        <v>1242.5620324251017</v>
      </c>
      <c r="H40" s="759">
        <f ca="1">Working!H102</f>
        <v>1242.5620324251017</v>
      </c>
      <c r="I40" s="759">
        <f ca="1">Working!I102</f>
        <v>1242.5620324251017</v>
      </c>
      <c r="J40" s="759">
        <f ca="1">Working!J102</f>
        <v>1242.5620324251017</v>
      </c>
      <c r="K40" s="759">
        <f ca="1">Working!K102</f>
        <v>1242.5620324251017</v>
      </c>
      <c r="L40" s="759">
        <f ca="1">Working!L102</f>
        <v>1242.5620324251017</v>
      </c>
      <c r="M40" s="759">
        <f ca="1">Working!M102</f>
        <v>1242.5620324251017</v>
      </c>
      <c r="N40" s="759">
        <f ca="1">Working!N102</f>
        <v>1242.5620324251017</v>
      </c>
      <c r="O40" s="759">
        <f ca="1">Working!O102</f>
        <v>1242.5620324251017</v>
      </c>
      <c r="P40" s="759">
        <f ca="1">Working!P102</f>
        <v>1242.5620324251017</v>
      </c>
      <c r="Q40" s="759">
        <f ca="1">Working!Q102</f>
        <v>1242.5620324251017</v>
      </c>
      <c r="R40" s="759">
        <f ca="1">Working!R102</f>
        <v>1242.5620324251017</v>
      </c>
      <c r="S40" s="759">
        <f ca="1">Working!S102</f>
        <v>1242.5620324251017</v>
      </c>
      <c r="T40" s="759">
        <f ca="1">Working!T102</f>
        <v>1242.5620324251017</v>
      </c>
      <c r="U40" s="759">
        <f ca="1">Working!U102</f>
        <v>1242.5620324251017</v>
      </c>
      <c r="V40" s="759">
        <f ca="1">Working!V102</f>
        <v>1242.5620324251017</v>
      </c>
      <c r="W40" s="759">
        <f ca="1">Working!W102</f>
        <v>1242.5620324251017</v>
      </c>
      <c r="X40" s="759">
        <f ca="1">Working!X102</f>
        <v>1242.5620324251017</v>
      </c>
      <c r="Y40" s="759">
        <f ca="1">Working!Y102</f>
        <v>1242.5620324251017</v>
      </c>
      <c r="Z40" s="759">
        <f ca="1">Working!Z102</f>
        <v>1242.5620324251017</v>
      </c>
      <c r="AA40" s="759">
        <f ca="1">Working!AA102</f>
        <v>1242.5620324251017</v>
      </c>
      <c r="AB40" s="759">
        <f ca="1">Working!AB102</f>
        <v>1242.5620324251017</v>
      </c>
      <c r="AC40" s="759">
        <f ca="1">Working!AC102</f>
        <v>1242.5620324251017</v>
      </c>
      <c r="AD40" s="759">
        <f ca="1">Working!AD102</f>
        <v>1242.5620324251017</v>
      </c>
      <c r="AE40" s="759">
        <f ca="1">Working!AE102</f>
        <v>1242.5620324251017</v>
      </c>
    </row>
    <row r="41" spans="1:31" x14ac:dyDescent="0.35">
      <c r="A41" s="759"/>
      <c r="B41" s="759" t="str">
        <f>Working!B103</f>
        <v>Additions</v>
      </c>
      <c r="C41" s="759" t="str">
        <f>Working!C103</f>
        <v>Rs Cr</v>
      </c>
      <c r="D41" s="759"/>
      <c r="E41" s="759">
        <f>Working!E103</f>
        <v>0</v>
      </c>
      <c r="F41" s="759">
        <f ca="1">Working!F103</f>
        <v>1242.5620324251017</v>
      </c>
      <c r="G41" s="759">
        <f>Working!G103</f>
        <v>0</v>
      </c>
      <c r="H41" s="759">
        <f>Working!H103</f>
        <v>0</v>
      </c>
      <c r="I41" s="759">
        <f>Working!I103</f>
        <v>0</v>
      </c>
      <c r="J41" s="759">
        <f>Working!J103</f>
        <v>0</v>
      </c>
      <c r="K41" s="759">
        <f>Working!K103</f>
        <v>0</v>
      </c>
      <c r="L41" s="759">
        <f>Working!L103</f>
        <v>0</v>
      </c>
      <c r="M41" s="759">
        <f>Working!M103</f>
        <v>0</v>
      </c>
      <c r="N41" s="759">
        <f>Working!N103</f>
        <v>0</v>
      </c>
      <c r="O41" s="759">
        <f>Working!O103</f>
        <v>0</v>
      </c>
      <c r="P41" s="759">
        <f>Working!P103</f>
        <v>0</v>
      </c>
      <c r="Q41" s="759">
        <f>Working!Q103</f>
        <v>0</v>
      </c>
      <c r="R41" s="759">
        <f>Working!R103</f>
        <v>0</v>
      </c>
      <c r="S41" s="759">
        <f>Working!S103</f>
        <v>0</v>
      </c>
      <c r="T41" s="759">
        <f>Working!T103</f>
        <v>0</v>
      </c>
      <c r="U41" s="759">
        <f>Working!U103</f>
        <v>0</v>
      </c>
      <c r="V41" s="759">
        <f>Working!V103</f>
        <v>0</v>
      </c>
      <c r="W41" s="759">
        <f>Working!W103</f>
        <v>0</v>
      </c>
      <c r="X41" s="759">
        <f>Working!X103</f>
        <v>0</v>
      </c>
      <c r="Y41" s="759">
        <f>Working!Y103</f>
        <v>0</v>
      </c>
      <c r="Z41" s="759">
        <f>Working!Z103</f>
        <v>0</v>
      </c>
      <c r="AA41" s="759">
        <f>Working!AA103</f>
        <v>0</v>
      </c>
      <c r="AB41" s="759">
        <f>Working!AB103</f>
        <v>0</v>
      </c>
      <c r="AC41" s="759">
        <f>Working!AC103</f>
        <v>0</v>
      </c>
      <c r="AD41" s="759">
        <f>Working!AD103</f>
        <v>0</v>
      </c>
      <c r="AE41" s="759">
        <f>Working!AE103</f>
        <v>0</v>
      </c>
    </row>
    <row r="42" spans="1:31" x14ac:dyDescent="0.35">
      <c r="A42" s="759"/>
      <c r="B42" s="759" t="str">
        <f>Working!B104</f>
        <v>Depreciation</v>
      </c>
      <c r="C42" s="759" t="str">
        <f>Working!C104</f>
        <v>Rs Cr</v>
      </c>
      <c r="D42" s="759"/>
      <c r="E42" s="759">
        <f>Working!E104</f>
        <v>0</v>
      </c>
      <c r="F42" s="759">
        <f ca="1">Working!F104</f>
        <v>28.934333529846327</v>
      </c>
      <c r="G42" s="759">
        <f ca="1">Working!G104</f>
        <v>58.027646914252252</v>
      </c>
      <c r="H42" s="759">
        <f ca="1">Working!H104</f>
        <v>58.027646914252252</v>
      </c>
      <c r="I42" s="759">
        <f ca="1">Working!I104</f>
        <v>58.027646914252252</v>
      </c>
      <c r="J42" s="759">
        <f ca="1">Working!J104</f>
        <v>58.027646914252252</v>
      </c>
      <c r="K42" s="759">
        <f ca="1">Working!K104</f>
        <v>58.027646914252252</v>
      </c>
      <c r="L42" s="759">
        <f ca="1">Working!L104</f>
        <v>58.027646914252252</v>
      </c>
      <c r="M42" s="759">
        <f ca="1">Working!M104</f>
        <v>58.027646914252252</v>
      </c>
      <c r="N42" s="759">
        <f ca="1">Working!N104</f>
        <v>58.027646914252252</v>
      </c>
      <c r="O42" s="759">
        <f ca="1">Working!O104</f>
        <v>58.027646914252252</v>
      </c>
      <c r="P42" s="759">
        <f ca="1">Working!P104</f>
        <v>58.027646914252252</v>
      </c>
      <c r="Q42" s="759">
        <f ca="1">Working!Q104</f>
        <v>58.027646914252252</v>
      </c>
      <c r="R42" s="759">
        <f ca="1">Working!R104</f>
        <v>58.027646914252252</v>
      </c>
      <c r="S42" s="759">
        <f ca="1">Working!S104</f>
        <v>58.027646914252252</v>
      </c>
      <c r="T42" s="759">
        <f ca="1">Working!T104</f>
        <v>58.027646914252252</v>
      </c>
      <c r="U42" s="759">
        <f ca="1">Working!U104</f>
        <v>24.851240648502035</v>
      </c>
      <c r="V42" s="759">
        <f ca="1">Working!V104</f>
        <v>24.851240648502035</v>
      </c>
      <c r="W42" s="759">
        <f ca="1">Working!W104</f>
        <v>24.851240648502035</v>
      </c>
      <c r="X42" s="759">
        <f ca="1">Working!X104</f>
        <v>24.851240648502035</v>
      </c>
      <c r="Y42" s="759">
        <f ca="1">Working!Y104</f>
        <v>24.851240648502035</v>
      </c>
      <c r="Z42" s="759">
        <f ca="1">Working!Z104</f>
        <v>24.851240648502035</v>
      </c>
      <c r="AA42" s="759">
        <f ca="1">Working!AA104</f>
        <v>24.851240648502035</v>
      </c>
      <c r="AB42" s="759">
        <f ca="1">Working!AB104</f>
        <v>24.851240648502035</v>
      </c>
      <c r="AC42" s="759">
        <f ca="1">Working!AC104</f>
        <v>24.851240648502035</v>
      </c>
      <c r="AD42" s="759">
        <f ca="1">Working!AD104</f>
        <v>24.851240648502035</v>
      </c>
      <c r="AE42" s="759">
        <f ca="1">Working!AE104</f>
        <v>12.425620324251017</v>
      </c>
    </row>
    <row r="43" spans="1:31" x14ac:dyDescent="0.35">
      <c r="A43" s="759"/>
      <c r="B43" s="759" t="str">
        <f>Working!B105</f>
        <v>Accumulated depreciation</v>
      </c>
      <c r="C43" s="759" t="str">
        <f>Working!C105</f>
        <v>Rs Cr</v>
      </c>
      <c r="D43" s="759"/>
      <c r="E43" s="759">
        <f>Working!E105</f>
        <v>0</v>
      </c>
      <c r="F43" s="759">
        <f ca="1">Working!F105</f>
        <v>28.934333529846327</v>
      </c>
      <c r="G43" s="759">
        <f ca="1">Working!G105</f>
        <v>86.961980444098572</v>
      </c>
      <c r="H43" s="759">
        <f ca="1">Working!H105</f>
        <v>144.98962735835082</v>
      </c>
      <c r="I43" s="759">
        <f ca="1">Working!I105</f>
        <v>203.01727427260306</v>
      </c>
      <c r="J43" s="759">
        <f ca="1">Working!J105</f>
        <v>261.04492118685533</v>
      </c>
      <c r="K43" s="759">
        <f ca="1">Working!K105</f>
        <v>319.07256810110761</v>
      </c>
      <c r="L43" s="759">
        <f ca="1">Working!L105</f>
        <v>377.10021501535988</v>
      </c>
      <c r="M43" s="759">
        <f ca="1">Working!M105</f>
        <v>435.12786192961215</v>
      </c>
      <c r="N43" s="759">
        <f ca="1">Working!N105</f>
        <v>493.15550884386442</v>
      </c>
      <c r="O43" s="759">
        <f ca="1">Working!O105</f>
        <v>551.18315575811664</v>
      </c>
      <c r="P43" s="759">
        <f ca="1">Working!P105</f>
        <v>609.21080267236891</v>
      </c>
      <c r="Q43" s="759">
        <f ca="1">Working!Q105</f>
        <v>667.23844958662119</v>
      </c>
      <c r="R43" s="759">
        <f ca="1">Working!R105</f>
        <v>725.26609650087346</v>
      </c>
      <c r="S43" s="759">
        <f ca="1">Working!S105</f>
        <v>783.29374341512573</v>
      </c>
      <c r="T43" s="759">
        <f ca="1">Working!T105</f>
        <v>841.321390329378</v>
      </c>
      <c r="U43" s="759">
        <f ca="1">Working!U105</f>
        <v>866.17263097788009</v>
      </c>
      <c r="V43" s="759">
        <f ca="1">Working!V105</f>
        <v>891.02387162638217</v>
      </c>
      <c r="W43" s="759">
        <f ca="1">Working!W105</f>
        <v>915.87511227488426</v>
      </c>
      <c r="X43" s="759">
        <f ca="1">Working!X105</f>
        <v>940.72635292338634</v>
      </c>
      <c r="Y43" s="759">
        <f ca="1">Working!Y105</f>
        <v>965.57759357188843</v>
      </c>
      <c r="Z43" s="759">
        <f ca="1">Working!Z105</f>
        <v>990.42883422039051</v>
      </c>
      <c r="AA43" s="759">
        <f ca="1">Working!AA105</f>
        <v>1015.2800748688926</v>
      </c>
      <c r="AB43" s="759">
        <f ca="1">Working!AB105</f>
        <v>1040.1313155173946</v>
      </c>
      <c r="AC43" s="759">
        <f ca="1">Working!AC105</f>
        <v>1064.9825561658965</v>
      </c>
      <c r="AD43" s="759">
        <f ca="1">Working!AD105</f>
        <v>1089.8337968143985</v>
      </c>
      <c r="AE43" s="759">
        <f ca="1">Working!AE105</f>
        <v>1102.2594171386495</v>
      </c>
    </row>
    <row r="44" spans="1:31" x14ac:dyDescent="0.35">
      <c r="A44" s="759"/>
      <c r="B44" s="759" t="str">
        <f>Working!B106</f>
        <v>Closing GFA</v>
      </c>
      <c r="C44" s="759" t="str">
        <f>Working!C106</f>
        <v>Rs Cr</v>
      </c>
      <c r="D44" s="759"/>
      <c r="E44" s="759">
        <f>Working!E106</f>
        <v>0</v>
      </c>
      <c r="F44" s="759">
        <f ca="1">Working!F106</f>
        <v>1242.5620324251017</v>
      </c>
      <c r="G44" s="759">
        <f ca="1">Working!G106</f>
        <v>1242.5620324251017</v>
      </c>
      <c r="H44" s="759">
        <f ca="1">Working!H106</f>
        <v>1242.5620324251017</v>
      </c>
      <c r="I44" s="759">
        <f ca="1">Working!I106</f>
        <v>1242.5620324251017</v>
      </c>
      <c r="J44" s="759">
        <f ca="1">Working!J106</f>
        <v>1242.5620324251017</v>
      </c>
      <c r="K44" s="759">
        <f ca="1">Working!K106</f>
        <v>1242.5620324251017</v>
      </c>
      <c r="L44" s="759">
        <f ca="1">Working!L106</f>
        <v>1242.5620324251017</v>
      </c>
      <c r="M44" s="759">
        <f ca="1">Working!M106</f>
        <v>1242.5620324251017</v>
      </c>
      <c r="N44" s="759">
        <f ca="1">Working!N106</f>
        <v>1242.5620324251017</v>
      </c>
      <c r="O44" s="759">
        <f ca="1">Working!O106</f>
        <v>1242.5620324251017</v>
      </c>
      <c r="P44" s="759">
        <f ca="1">Working!P106</f>
        <v>1242.5620324251017</v>
      </c>
      <c r="Q44" s="759">
        <f ca="1">Working!Q106</f>
        <v>1242.5620324251017</v>
      </c>
      <c r="R44" s="759">
        <f ca="1">Working!R106</f>
        <v>1242.5620324251017</v>
      </c>
      <c r="S44" s="759">
        <f ca="1">Working!S106</f>
        <v>1242.5620324251017</v>
      </c>
      <c r="T44" s="759">
        <f ca="1">Working!T106</f>
        <v>1242.5620324251017</v>
      </c>
      <c r="U44" s="759">
        <f ca="1">Working!U106</f>
        <v>1242.5620324251017</v>
      </c>
      <c r="V44" s="759">
        <f ca="1">Working!V106</f>
        <v>1242.5620324251017</v>
      </c>
      <c r="W44" s="759">
        <f ca="1">Working!W106</f>
        <v>1242.5620324251017</v>
      </c>
      <c r="X44" s="759">
        <f ca="1">Working!X106</f>
        <v>1242.5620324251017</v>
      </c>
      <c r="Y44" s="759">
        <f ca="1">Working!Y106</f>
        <v>1242.5620324251017</v>
      </c>
      <c r="Z44" s="759">
        <f ca="1">Working!Z106</f>
        <v>1242.5620324251017</v>
      </c>
      <c r="AA44" s="759">
        <f ca="1">Working!AA106</f>
        <v>1242.5620324251017</v>
      </c>
      <c r="AB44" s="759">
        <f ca="1">Working!AB106</f>
        <v>1242.5620324251017</v>
      </c>
      <c r="AC44" s="759">
        <f ca="1">Working!AC106</f>
        <v>1242.5620324251017</v>
      </c>
      <c r="AD44" s="759">
        <f ca="1">Working!AD106</f>
        <v>1242.5620324251017</v>
      </c>
      <c r="AE44" s="759">
        <f ca="1">Working!AE106</f>
        <v>1242.5620324251017</v>
      </c>
    </row>
    <row r="45" spans="1:31" x14ac:dyDescent="0.35">
      <c r="A45" s="759"/>
      <c r="B45" s="759" t="str">
        <f>Working!B107</f>
        <v>Max depreciation</v>
      </c>
      <c r="C45" s="759" t="str">
        <f>Working!C107</f>
        <v>Rs Cr</v>
      </c>
      <c r="D45" s="759"/>
      <c r="E45" s="759">
        <f>Working!E107</f>
        <v>0</v>
      </c>
      <c r="F45" s="759">
        <f ca="1">Working!F107</f>
        <v>1118.3058291825917</v>
      </c>
      <c r="G45" s="759">
        <f ca="1">Working!G107</f>
        <v>1118.3058291825917</v>
      </c>
      <c r="H45" s="759">
        <f ca="1">Working!H107</f>
        <v>1118.3058291825917</v>
      </c>
      <c r="I45" s="759">
        <f ca="1">Working!I107</f>
        <v>1118.3058291825917</v>
      </c>
      <c r="J45" s="759">
        <f ca="1">Working!J107</f>
        <v>1118.3058291825917</v>
      </c>
      <c r="K45" s="759">
        <f ca="1">Working!K107</f>
        <v>1118.3058291825917</v>
      </c>
      <c r="L45" s="759">
        <f ca="1">Working!L107</f>
        <v>1118.3058291825917</v>
      </c>
      <c r="M45" s="759">
        <f ca="1">Working!M107</f>
        <v>1118.3058291825917</v>
      </c>
      <c r="N45" s="759">
        <f ca="1">Working!N107</f>
        <v>1118.3058291825917</v>
      </c>
      <c r="O45" s="759">
        <f ca="1">Working!O107</f>
        <v>1118.3058291825917</v>
      </c>
      <c r="P45" s="759">
        <f ca="1">Working!P107</f>
        <v>1118.3058291825917</v>
      </c>
      <c r="Q45" s="759">
        <f ca="1">Working!Q107</f>
        <v>1118.3058291825917</v>
      </c>
      <c r="R45" s="759">
        <f ca="1">Working!R107</f>
        <v>1118.3058291825917</v>
      </c>
      <c r="S45" s="759">
        <f ca="1">Working!S107</f>
        <v>1118.3058291825917</v>
      </c>
      <c r="T45" s="759">
        <f ca="1">Working!T107</f>
        <v>1118.3058291825917</v>
      </c>
      <c r="U45" s="759">
        <f ca="1">Working!U107</f>
        <v>1118.3058291825917</v>
      </c>
      <c r="V45" s="759">
        <f ca="1">Working!V107</f>
        <v>1118.3058291825917</v>
      </c>
      <c r="W45" s="759">
        <f ca="1">Working!W107</f>
        <v>1118.3058291825917</v>
      </c>
      <c r="X45" s="759">
        <f ca="1">Working!X107</f>
        <v>1118.3058291825917</v>
      </c>
      <c r="Y45" s="759">
        <f ca="1">Working!Y107</f>
        <v>1118.3058291825917</v>
      </c>
      <c r="Z45" s="759">
        <f ca="1">Working!Z107</f>
        <v>1118.3058291825917</v>
      </c>
      <c r="AA45" s="759">
        <f ca="1">Working!AA107</f>
        <v>1118.3058291825917</v>
      </c>
      <c r="AB45" s="759">
        <f ca="1">Working!AB107</f>
        <v>1118.3058291825917</v>
      </c>
      <c r="AC45" s="759">
        <f ca="1">Working!AC107</f>
        <v>1118.3058291825917</v>
      </c>
      <c r="AD45" s="759">
        <f ca="1">Working!AD107</f>
        <v>1118.3058291825917</v>
      </c>
      <c r="AE45" s="759">
        <f ca="1">Working!AE107</f>
        <v>1118.3058291825917</v>
      </c>
    </row>
    <row r="46" spans="1:31" x14ac:dyDescent="0.35">
      <c r="A46" s="759"/>
      <c r="B46" s="759"/>
      <c r="C46" s="759"/>
      <c r="D46" s="759"/>
      <c r="E46" s="759"/>
      <c r="F46" s="759"/>
      <c r="G46" s="759"/>
      <c r="H46" s="759"/>
      <c r="I46" s="759"/>
      <c r="J46" s="759"/>
      <c r="K46" s="759"/>
      <c r="L46" s="759"/>
      <c r="M46" s="759"/>
      <c r="N46" s="759"/>
      <c r="O46" s="759"/>
      <c r="P46" s="759"/>
      <c r="Q46" s="759"/>
      <c r="R46" s="759"/>
      <c r="S46" s="759"/>
      <c r="T46" s="759"/>
      <c r="U46" s="759"/>
      <c r="V46" s="759"/>
      <c r="W46" s="759"/>
      <c r="X46" s="759"/>
      <c r="Y46" s="759"/>
      <c r="Z46" s="759"/>
      <c r="AA46" s="759"/>
      <c r="AB46" s="759"/>
      <c r="AC46" s="759"/>
      <c r="AD46" s="759"/>
      <c r="AE46" s="759"/>
    </row>
    <row r="47" spans="1:31" x14ac:dyDescent="0.35">
      <c r="A47" s="759"/>
      <c r="B47" s="759" t="str">
        <f>Working!B109</f>
        <v>Opening NFA</v>
      </c>
      <c r="C47" s="759" t="str">
        <f>Working!C109</f>
        <v>Rs Cr</v>
      </c>
      <c r="D47" s="759"/>
      <c r="E47" s="759">
        <f>Working!E109</f>
        <v>0</v>
      </c>
      <c r="F47" s="759">
        <f>Working!F109</f>
        <v>0</v>
      </c>
      <c r="G47" s="759">
        <f ca="1">Working!G109</f>
        <v>1213.6276988952554</v>
      </c>
      <c r="H47" s="759">
        <f ca="1">Working!H109</f>
        <v>1155.6000519810032</v>
      </c>
      <c r="I47" s="759">
        <f ca="1">Working!I109</f>
        <v>1097.5724050667509</v>
      </c>
      <c r="J47" s="759">
        <f ca="1">Working!J109</f>
        <v>1039.5447581524986</v>
      </c>
      <c r="K47" s="759">
        <f ca="1">Working!K109</f>
        <v>981.51711123824634</v>
      </c>
      <c r="L47" s="759">
        <f ca="1">Working!L109</f>
        <v>923.48946432399407</v>
      </c>
      <c r="M47" s="759">
        <f ca="1">Working!M109</f>
        <v>865.4618174097418</v>
      </c>
      <c r="N47" s="759">
        <f ca="1">Working!N109</f>
        <v>807.43417049548952</v>
      </c>
      <c r="O47" s="759">
        <f ca="1">Working!O109</f>
        <v>749.40652358123725</v>
      </c>
      <c r="P47" s="759">
        <f ca="1">Working!P109</f>
        <v>691.37887666698498</v>
      </c>
      <c r="Q47" s="759">
        <f ca="1">Working!Q109</f>
        <v>633.35122975273271</v>
      </c>
      <c r="R47" s="759">
        <f ca="1">Working!R109</f>
        <v>575.32358283848043</v>
      </c>
      <c r="S47" s="759">
        <f ca="1">Working!S109</f>
        <v>517.29593592422816</v>
      </c>
      <c r="T47" s="759">
        <f ca="1">Working!T109</f>
        <v>459.26828900997589</v>
      </c>
      <c r="U47" s="759">
        <f ca="1">Working!U109</f>
        <v>401.24064209572362</v>
      </c>
      <c r="V47" s="759">
        <f ca="1">Working!V109</f>
        <v>376.38940144722159</v>
      </c>
      <c r="W47" s="759">
        <f ca="1">Working!W109</f>
        <v>351.53816079871956</v>
      </c>
      <c r="X47" s="759">
        <f ca="1">Working!X109</f>
        <v>326.68692015021753</v>
      </c>
      <c r="Y47" s="759">
        <f ca="1">Working!Y109</f>
        <v>301.8356795017155</v>
      </c>
      <c r="Z47" s="759">
        <f ca="1">Working!Z109</f>
        <v>276.98443885321348</v>
      </c>
      <c r="AA47" s="759">
        <f ca="1">Working!AA109</f>
        <v>252.13319820471145</v>
      </c>
      <c r="AB47" s="759">
        <f ca="1">Working!AB109</f>
        <v>227.28195755620942</v>
      </c>
      <c r="AC47" s="759">
        <f ca="1">Working!AC109</f>
        <v>202.43071690770739</v>
      </c>
      <c r="AD47" s="759">
        <f ca="1">Working!AD109</f>
        <v>177.57947625920536</v>
      </c>
      <c r="AE47" s="759">
        <f ca="1">Working!AE109</f>
        <v>152.72823561070334</v>
      </c>
    </row>
    <row r="48" spans="1:31" x14ac:dyDescent="0.35">
      <c r="A48" s="759"/>
      <c r="B48" s="759" t="str">
        <f>Working!B110</f>
        <v>Addition - NFA</v>
      </c>
      <c r="C48" s="759" t="str">
        <f>Working!C110</f>
        <v>Rs Cr</v>
      </c>
      <c r="D48" s="759"/>
      <c r="E48" s="759">
        <f>Working!E110</f>
        <v>0</v>
      </c>
      <c r="F48" s="759">
        <f ca="1">Working!F110</f>
        <v>1242.5620324251017</v>
      </c>
      <c r="G48" s="759">
        <f>Working!G110</f>
        <v>0</v>
      </c>
      <c r="H48" s="759">
        <f>Working!H110</f>
        <v>0</v>
      </c>
      <c r="I48" s="759">
        <f>Working!I110</f>
        <v>0</v>
      </c>
      <c r="J48" s="759">
        <f>Working!J110</f>
        <v>0</v>
      </c>
      <c r="K48" s="759">
        <f>Working!K110</f>
        <v>0</v>
      </c>
      <c r="L48" s="759">
        <f>Working!L110</f>
        <v>0</v>
      </c>
      <c r="M48" s="759">
        <f>Working!M110</f>
        <v>0</v>
      </c>
      <c r="N48" s="759">
        <f>Working!N110</f>
        <v>0</v>
      </c>
      <c r="O48" s="759">
        <f>Working!O110</f>
        <v>0</v>
      </c>
      <c r="P48" s="759">
        <f>Working!P110</f>
        <v>0</v>
      </c>
      <c r="Q48" s="759">
        <f>Working!Q110</f>
        <v>0</v>
      </c>
      <c r="R48" s="759">
        <f>Working!R110</f>
        <v>0</v>
      </c>
      <c r="S48" s="759">
        <f>Working!S110</f>
        <v>0</v>
      </c>
      <c r="T48" s="759">
        <f>Working!T110</f>
        <v>0</v>
      </c>
      <c r="U48" s="759">
        <f>Working!U110</f>
        <v>0</v>
      </c>
      <c r="V48" s="759">
        <f>Working!V110</f>
        <v>0</v>
      </c>
      <c r="W48" s="759">
        <f>Working!W110</f>
        <v>0</v>
      </c>
      <c r="X48" s="759">
        <f>Working!X110</f>
        <v>0</v>
      </c>
      <c r="Y48" s="759">
        <f>Working!Y110</f>
        <v>0</v>
      </c>
      <c r="Z48" s="759">
        <f>Working!Z110</f>
        <v>0</v>
      </c>
      <c r="AA48" s="759">
        <f>Working!AA110</f>
        <v>0</v>
      </c>
      <c r="AB48" s="759">
        <f>Working!AB110</f>
        <v>0</v>
      </c>
      <c r="AC48" s="759">
        <f>Working!AC110</f>
        <v>0</v>
      </c>
      <c r="AD48" s="759">
        <f>Working!AD110</f>
        <v>0</v>
      </c>
      <c r="AE48" s="759">
        <f>Working!AE110</f>
        <v>0</v>
      </c>
    </row>
    <row r="49" spans="1:31" x14ac:dyDescent="0.35">
      <c r="A49" s="759"/>
      <c r="B49" s="759" t="str">
        <f>Working!B111</f>
        <v>Depreciation</v>
      </c>
      <c r="C49" s="759" t="str">
        <f>Working!C111</f>
        <v>Rs Cr</v>
      </c>
      <c r="D49" s="759"/>
      <c r="E49" s="759">
        <f>Working!E111</f>
        <v>0</v>
      </c>
      <c r="F49" s="759">
        <f ca="1">Working!F111</f>
        <v>28.934333529846327</v>
      </c>
      <c r="G49" s="759">
        <f ca="1">Working!G111</f>
        <v>58.027646914252252</v>
      </c>
      <c r="H49" s="759">
        <f ca="1">Working!H111</f>
        <v>58.027646914252252</v>
      </c>
      <c r="I49" s="759">
        <f ca="1">Working!I111</f>
        <v>58.027646914252252</v>
      </c>
      <c r="J49" s="759">
        <f ca="1">Working!J111</f>
        <v>58.027646914252252</v>
      </c>
      <c r="K49" s="759">
        <f ca="1">Working!K111</f>
        <v>58.027646914252252</v>
      </c>
      <c r="L49" s="759">
        <f ca="1">Working!L111</f>
        <v>58.027646914252252</v>
      </c>
      <c r="M49" s="759">
        <f ca="1">Working!M111</f>
        <v>58.027646914252252</v>
      </c>
      <c r="N49" s="759">
        <f ca="1">Working!N111</f>
        <v>58.027646914252252</v>
      </c>
      <c r="O49" s="759">
        <f ca="1">Working!O111</f>
        <v>58.027646914252252</v>
      </c>
      <c r="P49" s="759">
        <f ca="1">Working!P111</f>
        <v>58.027646914252252</v>
      </c>
      <c r="Q49" s="759">
        <f ca="1">Working!Q111</f>
        <v>58.027646914252252</v>
      </c>
      <c r="R49" s="759">
        <f ca="1">Working!R111</f>
        <v>58.027646914252252</v>
      </c>
      <c r="S49" s="759">
        <f ca="1">Working!S111</f>
        <v>58.027646914252252</v>
      </c>
      <c r="T49" s="759">
        <f ca="1">Working!T111</f>
        <v>58.027646914252252</v>
      </c>
      <c r="U49" s="759">
        <f ca="1">Working!U111</f>
        <v>24.851240648502035</v>
      </c>
      <c r="V49" s="759">
        <f ca="1">Working!V111</f>
        <v>24.851240648502035</v>
      </c>
      <c r="W49" s="759">
        <f ca="1">Working!W111</f>
        <v>24.851240648502035</v>
      </c>
      <c r="X49" s="759">
        <f ca="1">Working!X111</f>
        <v>24.851240648502035</v>
      </c>
      <c r="Y49" s="759">
        <f ca="1">Working!Y111</f>
        <v>24.851240648502035</v>
      </c>
      <c r="Z49" s="759">
        <f ca="1">Working!Z111</f>
        <v>24.851240648502035</v>
      </c>
      <c r="AA49" s="759">
        <f ca="1">Working!AA111</f>
        <v>24.851240648502035</v>
      </c>
      <c r="AB49" s="759">
        <f ca="1">Working!AB111</f>
        <v>24.851240648502035</v>
      </c>
      <c r="AC49" s="759">
        <f ca="1">Working!AC111</f>
        <v>24.851240648502035</v>
      </c>
      <c r="AD49" s="759">
        <f ca="1">Working!AD111</f>
        <v>24.851240648502035</v>
      </c>
      <c r="AE49" s="759">
        <f ca="1">Working!AE111</f>
        <v>12.425620324251017</v>
      </c>
    </row>
    <row r="50" spans="1:31" x14ac:dyDescent="0.35">
      <c r="A50" s="759"/>
      <c r="B50" s="759" t="str">
        <f>Working!B112</f>
        <v>Closing - NFA</v>
      </c>
      <c r="C50" s="759" t="str">
        <f>Working!C112</f>
        <v>Rs Cr</v>
      </c>
      <c r="D50" s="759"/>
      <c r="E50" s="759">
        <f>Working!E112</f>
        <v>0</v>
      </c>
      <c r="F50" s="759">
        <f ca="1">Working!F112</f>
        <v>1213.6276988952554</v>
      </c>
      <c r="G50" s="759">
        <f ca="1">Working!G112</f>
        <v>1155.6000519810032</v>
      </c>
      <c r="H50" s="759">
        <f ca="1">Working!H112</f>
        <v>1097.5724050667509</v>
      </c>
      <c r="I50" s="759">
        <f ca="1">Working!I112</f>
        <v>1039.5447581524986</v>
      </c>
      <c r="J50" s="759">
        <f ca="1">Working!J112</f>
        <v>981.51711123824634</v>
      </c>
      <c r="K50" s="759">
        <f ca="1">Working!K112</f>
        <v>923.48946432399407</v>
      </c>
      <c r="L50" s="759">
        <f ca="1">Working!L112</f>
        <v>865.4618174097418</v>
      </c>
      <c r="M50" s="759">
        <f ca="1">Working!M112</f>
        <v>807.43417049548952</v>
      </c>
      <c r="N50" s="759">
        <f ca="1">Working!N112</f>
        <v>749.40652358123725</v>
      </c>
      <c r="O50" s="759">
        <f ca="1">Working!O112</f>
        <v>691.37887666698498</v>
      </c>
      <c r="P50" s="759">
        <f ca="1">Working!P112</f>
        <v>633.35122975273271</v>
      </c>
      <c r="Q50" s="759">
        <f ca="1">Working!Q112</f>
        <v>575.32358283848043</v>
      </c>
      <c r="R50" s="759">
        <f ca="1">Working!R112</f>
        <v>517.29593592422816</v>
      </c>
      <c r="S50" s="759">
        <f ca="1">Working!S112</f>
        <v>459.26828900997589</v>
      </c>
      <c r="T50" s="759">
        <f ca="1">Working!T112</f>
        <v>401.24064209572362</v>
      </c>
      <c r="U50" s="759">
        <f ca="1">Working!U112</f>
        <v>376.38940144722159</v>
      </c>
      <c r="V50" s="759">
        <f ca="1">Working!V112</f>
        <v>351.53816079871956</v>
      </c>
      <c r="W50" s="759">
        <f ca="1">Working!W112</f>
        <v>326.68692015021753</v>
      </c>
      <c r="X50" s="759">
        <f ca="1">Working!X112</f>
        <v>301.8356795017155</v>
      </c>
      <c r="Y50" s="759">
        <f ca="1">Working!Y112</f>
        <v>276.98443885321348</v>
      </c>
      <c r="Z50" s="759">
        <f ca="1">Working!Z112</f>
        <v>252.13319820471145</v>
      </c>
      <c r="AA50" s="759">
        <f ca="1">Working!AA112</f>
        <v>227.28195755620942</v>
      </c>
      <c r="AB50" s="759">
        <f ca="1">Working!AB112</f>
        <v>202.43071690770739</v>
      </c>
      <c r="AC50" s="759">
        <f ca="1">Working!AC112</f>
        <v>177.57947625920536</v>
      </c>
      <c r="AD50" s="759">
        <f ca="1">Working!AD112</f>
        <v>152.72823561070334</v>
      </c>
      <c r="AE50" s="759">
        <f ca="1">Working!AE112</f>
        <v>140.30261528645232</v>
      </c>
    </row>
    <row r="51" spans="1:31" x14ac:dyDescent="0.35">
      <c r="A51" s="759"/>
      <c r="B51" s="759"/>
      <c r="C51" s="759"/>
      <c r="D51" s="759"/>
      <c r="E51" s="759"/>
      <c r="F51" s="759"/>
      <c r="G51" s="759"/>
      <c r="H51" s="759"/>
      <c r="I51" s="759"/>
      <c r="J51" s="759"/>
      <c r="K51" s="759"/>
      <c r="L51" s="759"/>
      <c r="M51" s="759"/>
      <c r="N51" s="759"/>
      <c r="O51" s="759"/>
      <c r="P51" s="759"/>
      <c r="Q51" s="759"/>
      <c r="R51" s="759"/>
      <c r="S51" s="759"/>
      <c r="T51" s="759"/>
      <c r="U51" s="759"/>
      <c r="V51" s="759"/>
      <c r="W51" s="759"/>
      <c r="X51" s="759"/>
      <c r="Y51" s="759"/>
      <c r="Z51" s="759"/>
      <c r="AA51" s="759"/>
      <c r="AB51" s="759"/>
      <c r="AC51" s="759"/>
      <c r="AD51" s="759"/>
      <c r="AE51" s="759"/>
    </row>
    <row r="52" spans="1:31" x14ac:dyDescent="0.35">
      <c r="A52" s="759"/>
      <c r="B52" s="759" t="str">
        <f>Working!B114</f>
        <v>Accumulated Depreciation</v>
      </c>
      <c r="C52" s="759"/>
      <c r="D52" s="759"/>
      <c r="E52" s="759"/>
      <c r="F52" s="759"/>
      <c r="G52" s="759"/>
      <c r="H52" s="759"/>
      <c r="I52" s="759"/>
      <c r="J52" s="759"/>
      <c r="K52" s="759"/>
      <c r="L52" s="759"/>
      <c r="M52" s="759"/>
      <c r="N52" s="759"/>
      <c r="O52" s="759"/>
      <c r="P52" s="759"/>
      <c r="Q52" s="759"/>
      <c r="R52" s="759"/>
      <c r="S52" s="759"/>
      <c r="T52" s="759"/>
      <c r="U52" s="759"/>
      <c r="V52" s="759"/>
      <c r="W52" s="759"/>
      <c r="X52" s="759"/>
      <c r="Y52" s="759"/>
      <c r="Z52" s="759"/>
      <c r="AA52" s="759"/>
      <c r="AB52" s="759"/>
      <c r="AC52" s="759"/>
      <c r="AD52" s="759"/>
      <c r="AE52" s="759"/>
    </row>
    <row r="53" spans="1:31" x14ac:dyDescent="0.35">
      <c r="A53" s="759"/>
      <c r="B53" s="759" t="str">
        <f>Working!B115</f>
        <v xml:space="preserve">Opening </v>
      </c>
      <c r="C53" s="759" t="str">
        <f>Working!C115</f>
        <v>Rs Cr</v>
      </c>
      <c r="D53" s="759"/>
      <c r="E53" s="759">
        <f>Working!E115</f>
        <v>0</v>
      </c>
      <c r="F53" s="759">
        <f>Working!F115</f>
        <v>0</v>
      </c>
      <c r="G53" s="759">
        <f ca="1">Working!G115</f>
        <v>28.934333529846327</v>
      </c>
      <c r="H53" s="759">
        <f ca="1">Working!H115</f>
        <v>86.961980444098572</v>
      </c>
      <c r="I53" s="759">
        <f ca="1">Working!I115</f>
        <v>144.98962735835082</v>
      </c>
      <c r="J53" s="759">
        <f ca="1">Working!J115</f>
        <v>203.01727427260306</v>
      </c>
      <c r="K53" s="759">
        <f ca="1">Working!K115</f>
        <v>261.04492118685533</v>
      </c>
      <c r="L53" s="759">
        <f ca="1">Working!L115</f>
        <v>319.07256810110761</v>
      </c>
      <c r="M53" s="759">
        <f ca="1">Working!M115</f>
        <v>377.10021501535988</v>
      </c>
      <c r="N53" s="759">
        <f ca="1">Working!N115</f>
        <v>435.12786192961215</v>
      </c>
      <c r="O53" s="759">
        <f ca="1">Working!O115</f>
        <v>493.15550884386442</v>
      </c>
      <c r="P53" s="759">
        <f ca="1">Working!P115</f>
        <v>551.18315575811664</v>
      </c>
      <c r="Q53" s="759">
        <f ca="1">Working!Q115</f>
        <v>609.21080267236891</v>
      </c>
      <c r="R53" s="759">
        <f ca="1">Working!R115</f>
        <v>667.23844958662119</v>
      </c>
      <c r="S53" s="759">
        <f ca="1">Working!S115</f>
        <v>725.26609650087346</v>
      </c>
      <c r="T53" s="759">
        <f ca="1">Working!T115</f>
        <v>783.29374341512573</v>
      </c>
      <c r="U53" s="759">
        <f ca="1">Working!U115</f>
        <v>841.321390329378</v>
      </c>
      <c r="V53" s="759">
        <f ca="1">Working!V115</f>
        <v>866.17263097788009</v>
      </c>
      <c r="W53" s="759">
        <f ca="1">Working!W115</f>
        <v>891.02387162638217</v>
      </c>
      <c r="X53" s="759">
        <f ca="1">Working!X115</f>
        <v>915.87511227488426</v>
      </c>
      <c r="Y53" s="759">
        <f ca="1">Working!Y115</f>
        <v>940.72635292338634</v>
      </c>
      <c r="Z53" s="759">
        <f ca="1">Working!Z115</f>
        <v>965.57759357188843</v>
      </c>
      <c r="AA53" s="759">
        <f ca="1">Working!AA115</f>
        <v>990.42883422039051</v>
      </c>
      <c r="AB53" s="759">
        <f ca="1">Working!AB115</f>
        <v>1015.2800748688926</v>
      </c>
      <c r="AC53" s="759">
        <f ca="1">Working!AC115</f>
        <v>1040.1313155173946</v>
      </c>
      <c r="AD53" s="759">
        <f ca="1">Working!AD115</f>
        <v>1064.9825561658965</v>
      </c>
      <c r="AE53" s="759">
        <f ca="1">Working!AE115</f>
        <v>1089.8337968143985</v>
      </c>
    </row>
    <row r="54" spans="1:31" x14ac:dyDescent="0.35">
      <c r="A54" s="759"/>
      <c r="B54" s="759" t="str">
        <f>Working!B116</f>
        <v>Depreciation during the year</v>
      </c>
      <c r="C54" s="759" t="str">
        <f>Working!C116</f>
        <v>Rs Cr</v>
      </c>
      <c r="D54" s="759"/>
      <c r="E54" s="759">
        <f>Working!E116</f>
        <v>0</v>
      </c>
      <c r="F54" s="759">
        <f ca="1">Working!F116</f>
        <v>28.934333529846327</v>
      </c>
      <c r="G54" s="759">
        <f ca="1">Working!G116</f>
        <v>58.027646914252252</v>
      </c>
      <c r="H54" s="759">
        <f ca="1">Working!H116</f>
        <v>58.027646914252252</v>
      </c>
      <c r="I54" s="759">
        <f ca="1">Working!I116</f>
        <v>58.027646914252252</v>
      </c>
      <c r="J54" s="759">
        <f ca="1">Working!J116</f>
        <v>58.027646914252252</v>
      </c>
      <c r="K54" s="759">
        <f ca="1">Working!K116</f>
        <v>58.027646914252252</v>
      </c>
      <c r="L54" s="759">
        <f ca="1">Working!L116</f>
        <v>58.027646914252252</v>
      </c>
      <c r="M54" s="759">
        <f ca="1">Working!M116</f>
        <v>58.027646914252252</v>
      </c>
      <c r="N54" s="759">
        <f ca="1">Working!N116</f>
        <v>58.027646914252252</v>
      </c>
      <c r="O54" s="759">
        <f ca="1">Working!O116</f>
        <v>58.027646914252252</v>
      </c>
      <c r="P54" s="759">
        <f ca="1">Working!P116</f>
        <v>58.027646914252252</v>
      </c>
      <c r="Q54" s="759">
        <f ca="1">Working!Q116</f>
        <v>58.027646914252252</v>
      </c>
      <c r="R54" s="759">
        <f ca="1">Working!R116</f>
        <v>58.027646914252252</v>
      </c>
      <c r="S54" s="759">
        <f ca="1">Working!S116</f>
        <v>58.027646914252252</v>
      </c>
      <c r="T54" s="759">
        <f ca="1">Working!T116</f>
        <v>58.027646914252252</v>
      </c>
      <c r="U54" s="759">
        <f ca="1">Working!U116</f>
        <v>24.851240648502035</v>
      </c>
      <c r="V54" s="759">
        <f ca="1">Working!V116</f>
        <v>24.851240648502035</v>
      </c>
      <c r="W54" s="759">
        <f ca="1">Working!W116</f>
        <v>24.851240648502035</v>
      </c>
      <c r="X54" s="759">
        <f ca="1">Working!X116</f>
        <v>24.851240648502035</v>
      </c>
      <c r="Y54" s="759">
        <f ca="1">Working!Y116</f>
        <v>24.851240648502035</v>
      </c>
      <c r="Z54" s="759">
        <f ca="1">Working!Z116</f>
        <v>24.851240648502035</v>
      </c>
      <c r="AA54" s="759">
        <f ca="1">Working!AA116</f>
        <v>24.851240648502035</v>
      </c>
      <c r="AB54" s="759">
        <f ca="1">Working!AB116</f>
        <v>24.851240648502035</v>
      </c>
      <c r="AC54" s="759">
        <f ca="1">Working!AC116</f>
        <v>24.851240648502035</v>
      </c>
      <c r="AD54" s="759">
        <f ca="1">Working!AD116</f>
        <v>24.851240648502035</v>
      </c>
      <c r="AE54" s="759">
        <f ca="1">Working!AE116</f>
        <v>12.425620324251017</v>
      </c>
    </row>
    <row r="55" spans="1:31" x14ac:dyDescent="0.35">
      <c r="A55" s="759"/>
      <c r="B55" s="759" t="str">
        <f>Working!B117</f>
        <v>Closing</v>
      </c>
      <c r="C55" s="759" t="str">
        <f>Working!C117</f>
        <v>Rs Cr</v>
      </c>
      <c r="D55" s="759"/>
      <c r="E55" s="759">
        <f>Working!E117</f>
        <v>0</v>
      </c>
      <c r="F55" s="759">
        <f ca="1">Working!F117</f>
        <v>28.934333529846327</v>
      </c>
      <c r="G55" s="759">
        <f ca="1">Working!G117</f>
        <v>86.961980444098572</v>
      </c>
      <c r="H55" s="759">
        <f ca="1">Working!H117</f>
        <v>144.98962735835082</v>
      </c>
      <c r="I55" s="759">
        <f ca="1">Working!I117</f>
        <v>203.01727427260306</v>
      </c>
      <c r="J55" s="759">
        <f ca="1">Working!J117</f>
        <v>261.04492118685533</v>
      </c>
      <c r="K55" s="759">
        <f ca="1">Working!K117</f>
        <v>319.07256810110761</v>
      </c>
      <c r="L55" s="759">
        <f ca="1">Working!L117</f>
        <v>377.10021501535988</v>
      </c>
      <c r="M55" s="759">
        <f ca="1">Working!M117</f>
        <v>435.12786192961215</v>
      </c>
      <c r="N55" s="759">
        <f ca="1">Working!N117</f>
        <v>493.15550884386442</v>
      </c>
      <c r="O55" s="759">
        <f ca="1">Working!O117</f>
        <v>551.18315575811664</v>
      </c>
      <c r="P55" s="759">
        <f ca="1">Working!P117</f>
        <v>609.21080267236891</v>
      </c>
      <c r="Q55" s="759">
        <f ca="1">Working!Q117</f>
        <v>667.23844958662119</v>
      </c>
      <c r="R55" s="759">
        <f ca="1">Working!R117</f>
        <v>725.26609650087346</v>
      </c>
      <c r="S55" s="759">
        <f ca="1">Working!S117</f>
        <v>783.29374341512573</v>
      </c>
      <c r="T55" s="759">
        <f ca="1">Working!T117</f>
        <v>841.321390329378</v>
      </c>
      <c r="U55" s="759">
        <f ca="1">Working!U117</f>
        <v>866.17263097788009</v>
      </c>
      <c r="V55" s="759">
        <f ca="1">Working!V117</f>
        <v>891.02387162638217</v>
      </c>
      <c r="W55" s="759">
        <f ca="1">Working!W117</f>
        <v>915.87511227488426</v>
      </c>
      <c r="X55" s="759">
        <f ca="1">Working!X117</f>
        <v>940.72635292338634</v>
      </c>
      <c r="Y55" s="759">
        <f ca="1">Working!Y117</f>
        <v>965.57759357188843</v>
      </c>
      <c r="Z55" s="759">
        <f ca="1">Working!Z117</f>
        <v>990.42883422039051</v>
      </c>
      <c r="AA55" s="759">
        <f ca="1">Working!AA117</f>
        <v>1015.2800748688926</v>
      </c>
      <c r="AB55" s="759">
        <f ca="1">Working!AB117</f>
        <v>1040.1313155173946</v>
      </c>
      <c r="AC55" s="759">
        <f ca="1">Working!AC117</f>
        <v>1064.9825561658965</v>
      </c>
      <c r="AD55" s="759">
        <f ca="1">Working!AD117</f>
        <v>1089.8337968143985</v>
      </c>
      <c r="AE55" s="759">
        <f ca="1">Working!AE117</f>
        <v>1102.2594171386495</v>
      </c>
    </row>
    <row r="56" spans="1:31" x14ac:dyDescent="0.35">
      <c r="A56" s="759"/>
      <c r="B56" s="759"/>
      <c r="C56" s="759"/>
      <c r="D56" s="759"/>
      <c r="E56" s="759"/>
      <c r="F56" s="759"/>
      <c r="G56" s="759"/>
      <c r="H56" s="759"/>
      <c r="I56" s="759"/>
      <c r="J56" s="759"/>
      <c r="K56" s="759"/>
      <c r="L56" s="759"/>
      <c r="M56" s="759"/>
      <c r="N56" s="759"/>
      <c r="O56" s="759"/>
      <c r="P56" s="759"/>
      <c r="Q56" s="759"/>
      <c r="R56" s="759"/>
      <c r="S56" s="759"/>
      <c r="T56" s="759"/>
      <c r="U56" s="759"/>
      <c r="V56" s="759"/>
      <c r="W56" s="759"/>
      <c r="X56" s="759"/>
      <c r="Y56" s="759"/>
      <c r="Z56" s="759"/>
      <c r="AA56" s="759"/>
      <c r="AB56" s="759"/>
      <c r="AC56" s="759"/>
      <c r="AD56" s="759"/>
      <c r="AE56" s="759"/>
    </row>
    <row r="57" spans="1:31" x14ac:dyDescent="0.35">
      <c r="A57" s="759" t="str">
        <f>Working!A119</f>
        <v>Depreciation (Tax)</v>
      </c>
      <c r="B57" s="759"/>
      <c r="C57" s="759"/>
      <c r="D57" s="759"/>
      <c r="E57" s="759"/>
      <c r="F57" s="759"/>
      <c r="G57" s="759"/>
      <c r="H57" s="759"/>
      <c r="I57" s="759"/>
      <c r="J57" s="759"/>
      <c r="K57" s="759"/>
      <c r="L57" s="759"/>
      <c r="M57" s="759"/>
      <c r="N57" s="759"/>
      <c r="O57" s="759"/>
      <c r="P57" s="759"/>
      <c r="Q57" s="759"/>
      <c r="R57" s="759"/>
      <c r="S57" s="759"/>
      <c r="T57" s="759"/>
      <c r="U57" s="759"/>
      <c r="V57" s="759"/>
      <c r="W57" s="759"/>
      <c r="X57" s="759"/>
      <c r="Y57" s="759"/>
      <c r="Z57" s="759"/>
      <c r="AA57" s="759"/>
      <c r="AB57" s="759"/>
      <c r="AC57" s="759"/>
      <c r="AD57" s="759"/>
      <c r="AE57" s="759"/>
    </row>
    <row r="58" spans="1:31" x14ac:dyDescent="0.35">
      <c r="A58" s="759"/>
      <c r="B58" s="759" t="str">
        <f>Working!B120</f>
        <v>GFA Schedule</v>
      </c>
      <c r="C58" s="759"/>
      <c r="D58" s="759"/>
      <c r="E58" s="759"/>
      <c r="F58" s="759"/>
      <c r="G58" s="759"/>
      <c r="H58" s="759"/>
      <c r="I58" s="759"/>
      <c r="J58" s="759"/>
      <c r="K58" s="759"/>
      <c r="L58" s="759"/>
      <c r="M58" s="759"/>
      <c r="N58" s="759"/>
      <c r="O58" s="759"/>
      <c r="P58" s="759"/>
      <c r="Q58" s="759"/>
      <c r="R58" s="759"/>
      <c r="S58" s="759"/>
      <c r="T58" s="759"/>
      <c r="U58" s="759"/>
      <c r="V58" s="759"/>
      <c r="W58" s="759"/>
      <c r="X58" s="759"/>
      <c r="Y58" s="759"/>
      <c r="Z58" s="759"/>
      <c r="AA58" s="759"/>
      <c r="AB58" s="759"/>
      <c r="AC58" s="759"/>
      <c r="AD58" s="759"/>
      <c r="AE58" s="759"/>
    </row>
    <row r="59" spans="1:31" x14ac:dyDescent="0.35">
      <c r="A59" s="759"/>
      <c r="B59" s="759" t="str">
        <f>Working!B121</f>
        <v>Opening GFA</v>
      </c>
      <c r="C59" s="759" t="str">
        <f>Working!C121</f>
        <v>Rs Cr</v>
      </c>
      <c r="D59" s="759"/>
      <c r="E59" s="759">
        <f>Working!E121</f>
        <v>0</v>
      </c>
      <c r="F59" s="759">
        <f>Working!F121</f>
        <v>0</v>
      </c>
      <c r="G59" s="759">
        <f ca="1">Working!G121</f>
        <v>1242.5620324251017</v>
      </c>
      <c r="H59" s="759">
        <f ca="1">Working!H121</f>
        <v>1242.5620324251017</v>
      </c>
      <c r="I59" s="759">
        <f ca="1">Working!I121</f>
        <v>1242.5620324251017</v>
      </c>
      <c r="J59" s="759">
        <f ca="1">Working!J121</f>
        <v>1242.5620324251017</v>
      </c>
      <c r="K59" s="759">
        <f ca="1">Working!K121</f>
        <v>1242.5620324251017</v>
      </c>
      <c r="L59" s="759">
        <f ca="1">Working!L121</f>
        <v>1242.5620324251017</v>
      </c>
      <c r="M59" s="759">
        <f ca="1">Working!M121</f>
        <v>1242.5620324251017</v>
      </c>
      <c r="N59" s="759">
        <f ca="1">Working!N121</f>
        <v>1242.5620324251017</v>
      </c>
      <c r="O59" s="759">
        <f ca="1">Working!O121</f>
        <v>1242.5620324251017</v>
      </c>
      <c r="P59" s="759">
        <f ca="1">Working!P121</f>
        <v>1242.5620324251017</v>
      </c>
      <c r="Q59" s="759">
        <f ca="1">Working!Q121</f>
        <v>1242.5620324251017</v>
      </c>
      <c r="R59" s="759">
        <f ca="1">Working!R121</f>
        <v>1242.5620324251017</v>
      </c>
      <c r="S59" s="759">
        <f ca="1">Working!S121</f>
        <v>1242.5620324251017</v>
      </c>
      <c r="T59" s="759">
        <f ca="1">Working!T121</f>
        <v>1242.5620324251017</v>
      </c>
      <c r="U59" s="759">
        <f ca="1">Working!U121</f>
        <v>1242.5620324251017</v>
      </c>
      <c r="V59" s="759">
        <f ca="1">Working!V121</f>
        <v>1242.5620324251017</v>
      </c>
      <c r="W59" s="759">
        <f ca="1">Working!W121</f>
        <v>1242.5620324251017</v>
      </c>
      <c r="X59" s="759">
        <f ca="1">Working!X121</f>
        <v>1242.5620324251017</v>
      </c>
      <c r="Y59" s="759">
        <f ca="1">Working!Y121</f>
        <v>1242.5620324251017</v>
      </c>
      <c r="Z59" s="759">
        <f ca="1">Working!Z121</f>
        <v>1242.5620324251017</v>
      </c>
      <c r="AA59" s="759">
        <f ca="1">Working!AA121</f>
        <v>1242.5620324251017</v>
      </c>
      <c r="AB59" s="759">
        <f ca="1">Working!AB121</f>
        <v>1242.5620324251017</v>
      </c>
      <c r="AC59" s="759">
        <f ca="1">Working!AC121</f>
        <v>1242.5620324251017</v>
      </c>
      <c r="AD59" s="759">
        <f ca="1">Working!AD121</f>
        <v>1242.5620324251017</v>
      </c>
      <c r="AE59" s="759">
        <f ca="1">Working!AE121</f>
        <v>1242.5620324251017</v>
      </c>
    </row>
    <row r="60" spans="1:31" x14ac:dyDescent="0.35">
      <c r="A60" s="759"/>
      <c r="B60" s="759" t="str">
        <f>Working!B122</f>
        <v>Additions</v>
      </c>
      <c r="C60" s="759" t="str">
        <f>Working!C122</f>
        <v>Rs Cr</v>
      </c>
      <c r="D60" s="759"/>
      <c r="E60" s="759">
        <f>Working!E122</f>
        <v>0</v>
      </c>
      <c r="F60" s="759">
        <f ca="1">Working!F122</f>
        <v>1242.5620324251017</v>
      </c>
      <c r="G60" s="759">
        <f>Working!G122</f>
        <v>0</v>
      </c>
      <c r="H60" s="759">
        <f>Working!H122</f>
        <v>0</v>
      </c>
      <c r="I60" s="759">
        <f>Working!I122</f>
        <v>0</v>
      </c>
      <c r="J60" s="759">
        <f>Working!J122</f>
        <v>0</v>
      </c>
      <c r="K60" s="759">
        <f>Working!K122</f>
        <v>0</v>
      </c>
      <c r="L60" s="759">
        <f>Working!L122</f>
        <v>0</v>
      </c>
      <c r="M60" s="759">
        <f>Working!M122</f>
        <v>0</v>
      </c>
      <c r="N60" s="759">
        <f>Working!N122</f>
        <v>0</v>
      </c>
      <c r="O60" s="759">
        <f>Working!O122</f>
        <v>0</v>
      </c>
      <c r="P60" s="759">
        <f>Working!P122</f>
        <v>0</v>
      </c>
      <c r="Q60" s="759">
        <f>Working!Q122</f>
        <v>0</v>
      </c>
      <c r="R60" s="759">
        <f>Working!R122</f>
        <v>0</v>
      </c>
      <c r="S60" s="759">
        <f>Working!S122</f>
        <v>0</v>
      </c>
      <c r="T60" s="759">
        <f>Working!T122</f>
        <v>0</v>
      </c>
      <c r="U60" s="759">
        <f>Working!U122</f>
        <v>0</v>
      </c>
      <c r="V60" s="759">
        <f>Working!V122</f>
        <v>0</v>
      </c>
      <c r="W60" s="759">
        <f>Working!W122</f>
        <v>0</v>
      </c>
      <c r="X60" s="759">
        <f>Working!X122</f>
        <v>0</v>
      </c>
      <c r="Y60" s="759">
        <f>Working!Y122</f>
        <v>0</v>
      </c>
      <c r="Z60" s="759">
        <f>Working!Z122</f>
        <v>0</v>
      </c>
      <c r="AA60" s="759">
        <f>Working!AA122</f>
        <v>0</v>
      </c>
      <c r="AB60" s="759">
        <f>Working!AB122</f>
        <v>0</v>
      </c>
      <c r="AC60" s="759">
        <f>Working!AC122</f>
        <v>0</v>
      </c>
      <c r="AD60" s="759">
        <f>Working!AD122</f>
        <v>0</v>
      </c>
      <c r="AE60" s="759">
        <f>Working!AE122</f>
        <v>0</v>
      </c>
    </row>
    <row r="61" spans="1:31" x14ac:dyDescent="0.35">
      <c r="A61" s="759"/>
      <c r="B61" s="759" t="str">
        <f>Working!B123</f>
        <v>Depreciation</v>
      </c>
      <c r="C61" s="759" t="str">
        <f>Working!C123</f>
        <v>Rs Cr</v>
      </c>
      <c r="D61" s="759"/>
      <c r="E61" s="759">
        <f>Working!E123</f>
        <v>0</v>
      </c>
      <c r="F61" s="759">
        <f ca="1">Working!F123</f>
        <v>95.55302029349032</v>
      </c>
      <c r="G61" s="759">
        <f ca="1">Working!G123</f>
        <v>95.55302029349032</v>
      </c>
      <c r="H61" s="759">
        <f ca="1">Working!H123</f>
        <v>95.55302029349032</v>
      </c>
      <c r="I61" s="759">
        <f ca="1">Working!I123</f>
        <v>95.55302029349032</v>
      </c>
      <c r="J61" s="759">
        <f ca="1">Working!J123</f>
        <v>95.55302029349032</v>
      </c>
      <c r="K61" s="759">
        <f ca="1">Working!K123</f>
        <v>95.55302029349032</v>
      </c>
      <c r="L61" s="759">
        <f ca="1">Working!L123</f>
        <v>95.55302029349032</v>
      </c>
      <c r="M61" s="759">
        <f ca="1">Working!M123</f>
        <v>95.55302029349032</v>
      </c>
      <c r="N61" s="759">
        <f ca="1">Working!N123</f>
        <v>95.55302029349032</v>
      </c>
      <c r="O61" s="759">
        <f ca="1">Working!O123</f>
        <v>95.55302029349032</v>
      </c>
      <c r="P61" s="759">
        <f ca="1">Working!P123</f>
        <v>95.55302029349032</v>
      </c>
      <c r="Q61" s="759">
        <f ca="1">Working!Q123</f>
        <v>95.55302029349032</v>
      </c>
      <c r="R61" s="759">
        <f ca="1">Working!R123</f>
        <v>95.55302029349032</v>
      </c>
      <c r="S61" s="759">
        <f ca="1">Working!S123</f>
        <v>0</v>
      </c>
      <c r="T61" s="759">
        <f ca="1">Working!T123</f>
        <v>0</v>
      </c>
      <c r="U61" s="759">
        <f ca="1">Working!U123</f>
        <v>0</v>
      </c>
      <c r="V61" s="759">
        <f ca="1">Working!V123</f>
        <v>0</v>
      </c>
      <c r="W61" s="759">
        <f ca="1">Working!W123</f>
        <v>0</v>
      </c>
      <c r="X61" s="759">
        <f ca="1">Working!X123</f>
        <v>0</v>
      </c>
      <c r="Y61" s="759">
        <f ca="1">Working!Y123</f>
        <v>0</v>
      </c>
      <c r="Z61" s="759">
        <f ca="1">Working!Z123</f>
        <v>0</v>
      </c>
      <c r="AA61" s="759">
        <f ca="1">Working!AA123</f>
        <v>0</v>
      </c>
      <c r="AB61" s="759">
        <f ca="1">Working!AB123</f>
        <v>0</v>
      </c>
      <c r="AC61" s="759">
        <f ca="1">Working!AC123</f>
        <v>0</v>
      </c>
      <c r="AD61" s="759">
        <f ca="1">Working!AD123</f>
        <v>0</v>
      </c>
      <c r="AE61" s="759">
        <f ca="1">Working!AE123</f>
        <v>0</v>
      </c>
    </row>
    <row r="62" spans="1:31" x14ac:dyDescent="0.35">
      <c r="A62" s="759"/>
      <c r="B62" s="759" t="str">
        <f>Working!B124</f>
        <v>Accumulated depreciation</v>
      </c>
      <c r="C62" s="759" t="str">
        <f>Working!C124</f>
        <v>Rs Cr</v>
      </c>
      <c r="D62" s="759"/>
      <c r="E62" s="759">
        <f>Working!E124</f>
        <v>0</v>
      </c>
      <c r="F62" s="759">
        <f ca="1">Working!F124</f>
        <v>95.55302029349032</v>
      </c>
      <c r="G62" s="759">
        <f ca="1">Working!G124</f>
        <v>191.10604058698064</v>
      </c>
      <c r="H62" s="759">
        <f ca="1">Working!H124</f>
        <v>286.65906088047097</v>
      </c>
      <c r="I62" s="759">
        <f ca="1">Working!I124</f>
        <v>382.21208117396128</v>
      </c>
      <c r="J62" s="759">
        <f ca="1">Working!J124</f>
        <v>477.76510146745159</v>
      </c>
      <c r="K62" s="759">
        <f ca="1">Working!K124</f>
        <v>573.31812176094195</v>
      </c>
      <c r="L62" s="759">
        <f ca="1">Working!L124</f>
        <v>668.87114205443231</v>
      </c>
      <c r="M62" s="759">
        <f ca="1">Working!M124</f>
        <v>764.42416234792267</v>
      </c>
      <c r="N62" s="759">
        <f ca="1">Working!N124</f>
        <v>859.97718264141304</v>
      </c>
      <c r="O62" s="759">
        <f ca="1">Working!O124</f>
        <v>955.5302029349034</v>
      </c>
      <c r="P62" s="759">
        <f ca="1">Working!P124</f>
        <v>1051.0832232283938</v>
      </c>
      <c r="Q62" s="759">
        <f ca="1">Working!Q124</f>
        <v>1146.6362435218841</v>
      </c>
      <c r="R62" s="759">
        <f ca="1">Working!R124</f>
        <v>1242.1892638153745</v>
      </c>
      <c r="S62" s="759">
        <f ca="1">Working!S124</f>
        <v>1242.1892638153745</v>
      </c>
      <c r="T62" s="759">
        <f ca="1">Working!T124</f>
        <v>1242.1892638153745</v>
      </c>
      <c r="U62" s="759">
        <f ca="1">Working!U124</f>
        <v>1242.1892638153745</v>
      </c>
      <c r="V62" s="759">
        <f ca="1">Working!V124</f>
        <v>1242.1892638153745</v>
      </c>
      <c r="W62" s="759">
        <f ca="1">Working!W124</f>
        <v>1242.1892638153745</v>
      </c>
      <c r="X62" s="759">
        <f ca="1">Working!X124</f>
        <v>1242.1892638153745</v>
      </c>
      <c r="Y62" s="759">
        <f ca="1">Working!Y124</f>
        <v>1242.1892638153745</v>
      </c>
      <c r="Z62" s="759">
        <f ca="1">Working!Z124</f>
        <v>1242.1892638153745</v>
      </c>
      <c r="AA62" s="759">
        <f ca="1">Working!AA124</f>
        <v>1242.1892638153745</v>
      </c>
      <c r="AB62" s="759">
        <f ca="1">Working!AB124</f>
        <v>1242.1892638153745</v>
      </c>
      <c r="AC62" s="759">
        <f ca="1">Working!AC124</f>
        <v>1242.1892638153745</v>
      </c>
      <c r="AD62" s="759">
        <f ca="1">Working!AD124</f>
        <v>1242.1892638153745</v>
      </c>
      <c r="AE62" s="759">
        <f ca="1">Working!AE124</f>
        <v>1242.1892638153745</v>
      </c>
    </row>
    <row r="63" spans="1:31" x14ac:dyDescent="0.35">
      <c r="A63" s="759"/>
      <c r="B63" s="759" t="str">
        <f>Working!B125</f>
        <v>Closing GFA</v>
      </c>
      <c r="C63" s="759" t="str">
        <f>Working!C125</f>
        <v>Rs Cr</v>
      </c>
      <c r="D63" s="759"/>
      <c r="E63" s="759">
        <f>Working!E125</f>
        <v>0</v>
      </c>
      <c r="F63" s="759">
        <f ca="1">Working!F125</f>
        <v>1242.5620324251017</v>
      </c>
      <c r="G63" s="759">
        <f ca="1">Working!G125</f>
        <v>1242.5620324251017</v>
      </c>
      <c r="H63" s="759">
        <f ca="1">Working!H125</f>
        <v>1242.5620324251017</v>
      </c>
      <c r="I63" s="759">
        <f ca="1">Working!I125</f>
        <v>1242.5620324251017</v>
      </c>
      <c r="J63" s="759">
        <f ca="1">Working!J125</f>
        <v>1242.5620324251017</v>
      </c>
      <c r="K63" s="759">
        <f ca="1">Working!K125</f>
        <v>1242.5620324251017</v>
      </c>
      <c r="L63" s="759">
        <f ca="1">Working!L125</f>
        <v>1242.5620324251017</v>
      </c>
      <c r="M63" s="759">
        <f ca="1">Working!M125</f>
        <v>1242.5620324251017</v>
      </c>
      <c r="N63" s="759">
        <f ca="1">Working!N125</f>
        <v>1242.5620324251017</v>
      </c>
      <c r="O63" s="759">
        <f ca="1">Working!O125</f>
        <v>1242.5620324251017</v>
      </c>
      <c r="P63" s="759">
        <f ca="1">Working!P125</f>
        <v>1242.5620324251017</v>
      </c>
      <c r="Q63" s="759">
        <f ca="1">Working!Q125</f>
        <v>1242.5620324251017</v>
      </c>
      <c r="R63" s="759">
        <f ca="1">Working!R125</f>
        <v>1242.5620324251017</v>
      </c>
      <c r="S63" s="759">
        <f ca="1">Working!S125</f>
        <v>1242.5620324251017</v>
      </c>
      <c r="T63" s="759">
        <f ca="1">Working!T125</f>
        <v>1242.5620324251017</v>
      </c>
      <c r="U63" s="759">
        <f ca="1">Working!U125</f>
        <v>1242.5620324251017</v>
      </c>
      <c r="V63" s="759">
        <f ca="1">Working!V125</f>
        <v>1242.5620324251017</v>
      </c>
      <c r="W63" s="759">
        <f ca="1">Working!W125</f>
        <v>1242.5620324251017</v>
      </c>
      <c r="X63" s="759">
        <f ca="1">Working!X125</f>
        <v>1242.5620324251017</v>
      </c>
      <c r="Y63" s="759">
        <f ca="1">Working!Y125</f>
        <v>1242.5620324251017</v>
      </c>
      <c r="Z63" s="759">
        <f ca="1">Working!Z125</f>
        <v>1242.5620324251017</v>
      </c>
      <c r="AA63" s="759">
        <f ca="1">Working!AA125</f>
        <v>1242.5620324251017</v>
      </c>
      <c r="AB63" s="759">
        <f ca="1">Working!AB125</f>
        <v>1242.5620324251017</v>
      </c>
      <c r="AC63" s="759">
        <f ca="1">Working!AC125</f>
        <v>1242.5620324251017</v>
      </c>
      <c r="AD63" s="759">
        <f ca="1">Working!AD125</f>
        <v>1242.5620324251017</v>
      </c>
      <c r="AE63" s="759">
        <f ca="1">Working!AE125</f>
        <v>1242.5620324251017</v>
      </c>
    </row>
    <row r="64" spans="1:31" x14ac:dyDescent="0.35">
      <c r="A64" s="759"/>
      <c r="B64" s="759" t="str">
        <f>Working!B126</f>
        <v>Max depreciation</v>
      </c>
      <c r="C64" s="759" t="str">
        <f>Working!C126</f>
        <v>Rs Cr</v>
      </c>
      <c r="D64" s="759"/>
      <c r="E64" s="759">
        <f>Working!E126</f>
        <v>0</v>
      </c>
      <c r="F64" s="759">
        <f ca="1">Working!F126</f>
        <v>1242.5620324251017</v>
      </c>
      <c r="G64" s="759">
        <f ca="1">Working!G126</f>
        <v>1242.5620324251017</v>
      </c>
      <c r="H64" s="759">
        <f ca="1">Working!H126</f>
        <v>1242.5620324251017</v>
      </c>
      <c r="I64" s="759">
        <f ca="1">Working!I126</f>
        <v>1242.5620324251017</v>
      </c>
      <c r="J64" s="759">
        <f ca="1">Working!J126</f>
        <v>1242.5620324251017</v>
      </c>
      <c r="K64" s="759">
        <f ca="1">Working!K126</f>
        <v>1242.5620324251017</v>
      </c>
      <c r="L64" s="759">
        <f ca="1">Working!L126</f>
        <v>1242.5620324251017</v>
      </c>
      <c r="M64" s="759">
        <f ca="1">Working!M126</f>
        <v>1242.5620324251017</v>
      </c>
      <c r="N64" s="759">
        <f ca="1">Working!N126</f>
        <v>1242.5620324251017</v>
      </c>
      <c r="O64" s="759">
        <f ca="1">Working!O126</f>
        <v>1242.5620324251017</v>
      </c>
      <c r="P64" s="759">
        <f ca="1">Working!P126</f>
        <v>1242.5620324251017</v>
      </c>
      <c r="Q64" s="759">
        <f ca="1">Working!Q126</f>
        <v>1242.5620324251017</v>
      </c>
      <c r="R64" s="759">
        <f ca="1">Working!R126</f>
        <v>1242.5620324251017</v>
      </c>
      <c r="S64" s="759">
        <f ca="1">Working!S126</f>
        <v>1242.5620324251017</v>
      </c>
      <c r="T64" s="759">
        <f ca="1">Working!T126</f>
        <v>1242.5620324251017</v>
      </c>
      <c r="U64" s="759">
        <f ca="1">Working!U126</f>
        <v>1242.5620324251017</v>
      </c>
      <c r="V64" s="759">
        <f ca="1">Working!V126</f>
        <v>1242.5620324251017</v>
      </c>
      <c r="W64" s="759">
        <f ca="1">Working!W126</f>
        <v>1242.5620324251017</v>
      </c>
      <c r="X64" s="759">
        <f ca="1">Working!X126</f>
        <v>1242.5620324251017</v>
      </c>
      <c r="Y64" s="759">
        <f ca="1">Working!Y126</f>
        <v>1242.5620324251017</v>
      </c>
      <c r="Z64" s="759">
        <f ca="1">Working!Z126</f>
        <v>1242.5620324251017</v>
      </c>
      <c r="AA64" s="759">
        <f ca="1">Working!AA126</f>
        <v>1242.5620324251017</v>
      </c>
      <c r="AB64" s="759">
        <f ca="1">Working!AB126</f>
        <v>1242.5620324251017</v>
      </c>
      <c r="AC64" s="759">
        <f ca="1">Working!AC126</f>
        <v>1242.5620324251017</v>
      </c>
      <c r="AD64" s="759">
        <f ca="1">Working!AD126</f>
        <v>1242.5620324251017</v>
      </c>
      <c r="AE64" s="759">
        <f ca="1">Working!AE126</f>
        <v>1242.5620324251017</v>
      </c>
    </row>
    <row r="65" spans="1:31" x14ac:dyDescent="0.35">
      <c r="A65" s="759"/>
      <c r="B65" s="759"/>
      <c r="C65" s="759"/>
      <c r="D65" s="759"/>
      <c r="E65" s="759"/>
      <c r="F65" s="759"/>
      <c r="G65" s="759"/>
      <c r="H65" s="759"/>
      <c r="I65" s="759"/>
      <c r="J65" s="759"/>
      <c r="K65" s="759"/>
      <c r="L65" s="759"/>
      <c r="M65" s="759"/>
      <c r="N65" s="759"/>
      <c r="O65" s="759"/>
      <c r="P65" s="759"/>
      <c r="Q65" s="759"/>
      <c r="R65" s="759"/>
      <c r="S65" s="759"/>
      <c r="T65" s="759"/>
      <c r="U65" s="759"/>
      <c r="V65" s="759"/>
      <c r="W65" s="759"/>
      <c r="X65" s="759"/>
      <c r="Y65" s="759"/>
      <c r="Z65" s="759"/>
      <c r="AA65" s="759"/>
      <c r="AB65" s="759"/>
      <c r="AC65" s="759"/>
      <c r="AD65" s="759"/>
      <c r="AE65" s="759"/>
    </row>
    <row r="66" spans="1:31" x14ac:dyDescent="0.35">
      <c r="A66" s="759" t="str">
        <f>Working!A128</f>
        <v>Accelerated Depreciation</v>
      </c>
      <c r="B66" s="759"/>
      <c r="C66" s="759"/>
      <c r="D66" s="759"/>
      <c r="E66" s="759"/>
      <c r="F66" s="759"/>
      <c r="G66" s="759"/>
      <c r="H66" s="759"/>
      <c r="I66" s="759"/>
      <c r="J66" s="759"/>
      <c r="K66" s="759"/>
      <c r="L66" s="759"/>
      <c r="M66" s="759"/>
      <c r="N66" s="759"/>
      <c r="O66" s="759"/>
      <c r="P66" s="759"/>
      <c r="Q66" s="759"/>
      <c r="R66" s="759"/>
      <c r="S66" s="759"/>
      <c r="T66" s="759"/>
      <c r="U66" s="759"/>
      <c r="V66" s="759"/>
      <c r="W66" s="759"/>
      <c r="X66" s="759"/>
      <c r="Y66" s="759"/>
      <c r="Z66" s="759"/>
      <c r="AA66" s="759"/>
      <c r="AB66" s="759"/>
      <c r="AC66" s="759"/>
      <c r="AD66" s="759"/>
      <c r="AE66" s="759"/>
    </row>
    <row r="67" spans="1:31" x14ac:dyDescent="0.35">
      <c r="A67" s="759"/>
      <c r="B67" s="759" t="str">
        <f>Working!B129</f>
        <v>GFA Schedule</v>
      </c>
      <c r="C67" s="759"/>
      <c r="D67" s="759"/>
      <c r="E67" s="759"/>
      <c r="F67" s="759"/>
      <c r="G67" s="759"/>
      <c r="H67" s="759"/>
      <c r="I67" s="759"/>
      <c r="J67" s="759"/>
      <c r="K67" s="759"/>
      <c r="L67" s="759"/>
      <c r="M67" s="759"/>
      <c r="N67" s="759"/>
      <c r="O67" s="759"/>
      <c r="P67" s="759"/>
      <c r="Q67" s="759"/>
      <c r="R67" s="759"/>
      <c r="S67" s="759"/>
      <c r="T67" s="759"/>
      <c r="U67" s="759"/>
      <c r="V67" s="759"/>
      <c r="W67" s="759"/>
      <c r="X67" s="759"/>
      <c r="Y67" s="759"/>
      <c r="Z67" s="759"/>
      <c r="AA67" s="759"/>
      <c r="AB67" s="759"/>
      <c r="AC67" s="759"/>
      <c r="AD67" s="759"/>
      <c r="AE67" s="759"/>
    </row>
    <row r="68" spans="1:31" x14ac:dyDescent="0.35">
      <c r="A68" s="759"/>
      <c r="B68" s="759" t="str">
        <f>Working!B130</f>
        <v>Opening GFA</v>
      </c>
      <c r="C68" s="759" t="str">
        <f>Working!C130</f>
        <v>Rs Cr</v>
      </c>
      <c r="D68" s="759"/>
      <c r="E68" s="759">
        <f>Working!E130</f>
        <v>0</v>
      </c>
      <c r="F68" s="759">
        <f>Working!F130</f>
        <v>0</v>
      </c>
      <c r="G68" s="759">
        <f ca="1">Working!G130</f>
        <v>1242.5620324251017</v>
      </c>
      <c r="H68" s="759">
        <f ca="1">Working!H130</f>
        <v>1242.5620324251017</v>
      </c>
      <c r="I68" s="759">
        <f ca="1">Working!I130</f>
        <v>1242.5620324251017</v>
      </c>
      <c r="J68" s="759">
        <f ca="1">Working!J130</f>
        <v>1242.5620324251017</v>
      </c>
      <c r="K68" s="759">
        <f ca="1">Working!K130</f>
        <v>1242.5620324251017</v>
      </c>
      <c r="L68" s="759">
        <f ca="1">Working!L130</f>
        <v>1242.5620324251017</v>
      </c>
      <c r="M68" s="759">
        <f ca="1">Working!M130</f>
        <v>1242.5620324251017</v>
      </c>
      <c r="N68" s="759">
        <f ca="1">Working!N130</f>
        <v>1242.5620324251017</v>
      </c>
      <c r="O68" s="759">
        <f ca="1">Working!O130</f>
        <v>1242.5620324251017</v>
      </c>
      <c r="P68" s="759">
        <f ca="1">Working!P130</f>
        <v>1242.5620324251017</v>
      </c>
      <c r="Q68" s="759">
        <f ca="1">Working!Q130</f>
        <v>1242.5620324251017</v>
      </c>
      <c r="R68" s="759">
        <f ca="1">Working!R130</f>
        <v>1242.5620324251017</v>
      </c>
      <c r="S68" s="759">
        <f ca="1">Working!S130</f>
        <v>1242.5620324251017</v>
      </c>
      <c r="T68" s="759">
        <f ca="1">Working!T130</f>
        <v>1242.5620324251017</v>
      </c>
      <c r="U68" s="759">
        <f ca="1">Working!U130</f>
        <v>1242.5620324251017</v>
      </c>
      <c r="V68" s="759">
        <f ca="1">Working!V130</f>
        <v>1242.5620324251017</v>
      </c>
      <c r="W68" s="759">
        <f ca="1">Working!W130</f>
        <v>1242.5620324251017</v>
      </c>
      <c r="X68" s="759">
        <f ca="1">Working!X130</f>
        <v>1242.5620324251017</v>
      </c>
      <c r="Y68" s="759">
        <f ca="1">Working!Y130</f>
        <v>1242.5620324251017</v>
      </c>
      <c r="Z68" s="759">
        <f ca="1">Working!Z130</f>
        <v>1242.5620324251017</v>
      </c>
      <c r="AA68" s="759">
        <f ca="1">Working!AA130</f>
        <v>1242.5620324251017</v>
      </c>
      <c r="AB68" s="759">
        <f ca="1">Working!AB130</f>
        <v>1242.5620324251017</v>
      </c>
      <c r="AC68" s="759">
        <f ca="1">Working!AC130</f>
        <v>1242.5620324251017</v>
      </c>
      <c r="AD68" s="759">
        <f ca="1">Working!AD130</f>
        <v>1242.5620324251017</v>
      </c>
      <c r="AE68" s="759">
        <f ca="1">Working!AE130</f>
        <v>1242.5620324251017</v>
      </c>
    </row>
    <row r="69" spans="1:31" x14ac:dyDescent="0.35">
      <c r="A69" s="759"/>
      <c r="B69" s="759" t="str">
        <f>Working!B131</f>
        <v>Additions</v>
      </c>
      <c r="C69" s="759" t="str">
        <f>Working!C131</f>
        <v>Rs Cr</v>
      </c>
      <c r="D69" s="759"/>
      <c r="E69" s="759">
        <f>Working!E131</f>
        <v>0</v>
      </c>
      <c r="F69" s="759">
        <f ca="1">Working!F131</f>
        <v>1242.5620324251017</v>
      </c>
      <c r="G69" s="759">
        <f>Working!G131</f>
        <v>0</v>
      </c>
      <c r="H69" s="759">
        <f>Working!H131</f>
        <v>0</v>
      </c>
      <c r="I69" s="759">
        <f>Working!I131</f>
        <v>0</v>
      </c>
      <c r="J69" s="759">
        <f>Working!J131</f>
        <v>0</v>
      </c>
      <c r="K69" s="759">
        <f>Working!K131</f>
        <v>0</v>
      </c>
      <c r="L69" s="759">
        <f>Working!L131</f>
        <v>0</v>
      </c>
      <c r="M69" s="759">
        <f>Working!M131</f>
        <v>0</v>
      </c>
      <c r="N69" s="759">
        <f>Working!N131</f>
        <v>0</v>
      </c>
      <c r="O69" s="759">
        <f>Working!O131</f>
        <v>0</v>
      </c>
      <c r="P69" s="759">
        <f>Working!P131</f>
        <v>0</v>
      </c>
      <c r="Q69" s="759">
        <f>Working!Q131</f>
        <v>0</v>
      </c>
      <c r="R69" s="759">
        <f>Working!R131</f>
        <v>0</v>
      </c>
      <c r="S69" s="759">
        <f>Working!S131</f>
        <v>0</v>
      </c>
      <c r="T69" s="759">
        <f>Working!T131</f>
        <v>0</v>
      </c>
      <c r="U69" s="759">
        <f>Working!U131</f>
        <v>0</v>
      </c>
      <c r="V69" s="759">
        <f>Working!V131</f>
        <v>0</v>
      </c>
      <c r="W69" s="759">
        <f>Working!W131</f>
        <v>0</v>
      </c>
      <c r="X69" s="759">
        <f>Working!X131</f>
        <v>0</v>
      </c>
      <c r="Y69" s="759">
        <f>Working!Y131</f>
        <v>0</v>
      </c>
      <c r="Z69" s="759">
        <f>Working!Z131</f>
        <v>0</v>
      </c>
      <c r="AA69" s="759">
        <f>Working!AA131</f>
        <v>0</v>
      </c>
      <c r="AB69" s="759">
        <f>Working!AB131</f>
        <v>0</v>
      </c>
      <c r="AC69" s="759">
        <f>Working!AC131</f>
        <v>0</v>
      </c>
      <c r="AD69" s="759">
        <f>Working!AD131</f>
        <v>0</v>
      </c>
      <c r="AE69" s="759">
        <f>Working!AE131</f>
        <v>0</v>
      </c>
    </row>
    <row r="70" spans="1:31" x14ac:dyDescent="0.35">
      <c r="A70" s="759"/>
      <c r="B70" s="759" t="str">
        <f>Working!B132</f>
        <v>Depreciation</v>
      </c>
      <c r="C70" s="759" t="str">
        <f>Working!C132</f>
        <v>Rs Cr</v>
      </c>
      <c r="D70" s="759"/>
      <c r="E70" s="759">
        <f>Working!E132</f>
        <v>0</v>
      </c>
      <c r="F70" s="759">
        <f ca="1">Working!F132</f>
        <v>0</v>
      </c>
      <c r="G70" s="759">
        <f ca="1">Working!G132</f>
        <v>621.28101621255087</v>
      </c>
      <c r="H70" s="759">
        <f ca="1">Working!H132</f>
        <v>0</v>
      </c>
      <c r="I70" s="759">
        <f ca="1">Working!I132</f>
        <v>497.02481297004078</v>
      </c>
      <c r="J70" s="759">
        <f ca="1">Working!J132</f>
        <v>0</v>
      </c>
      <c r="K70" s="759">
        <f ca="1">Working!K132</f>
        <v>0</v>
      </c>
      <c r="L70" s="759">
        <f ca="1">Working!L132</f>
        <v>0</v>
      </c>
      <c r="M70" s="759">
        <f ca="1">Working!M132</f>
        <v>0</v>
      </c>
      <c r="N70" s="759">
        <f ca="1">Working!N132</f>
        <v>0</v>
      </c>
      <c r="O70" s="759">
        <f ca="1">Working!O132</f>
        <v>0</v>
      </c>
      <c r="P70" s="759">
        <f ca="1">Working!P132</f>
        <v>0</v>
      </c>
      <c r="Q70" s="759">
        <f ca="1">Working!Q132</f>
        <v>0</v>
      </c>
      <c r="R70" s="759">
        <f ca="1">Working!R132</f>
        <v>0</v>
      </c>
      <c r="S70" s="759">
        <f ca="1">Working!S132</f>
        <v>0</v>
      </c>
      <c r="T70" s="759">
        <f ca="1">Working!T132</f>
        <v>0</v>
      </c>
      <c r="U70" s="759">
        <f ca="1">Working!U132</f>
        <v>0</v>
      </c>
      <c r="V70" s="759">
        <f ca="1">Working!V132</f>
        <v>0</v>
      </c>
      <c r="W70" s="759">
        <f ca="1">Working!W132</f>
        <v>0</v>
      </c>
      <c r="X70" s="759">
        <f ca="1">Working!X132</f>
        <v>0</v>
      </c>
      <c r="Y70" s="759">
        <f ca="1">Working!Y132</f>
        <v>0</v>
      </c>
      <c r="Z70" s="759">
        <f ca="1">Working!Z132</f>
        <v>0</v>
      </c>
      <c r="AA70" s="759">
        <f ca="1">Working!AA132</f>
        <v>0</v>
      </c>
      <c r="AB70" s="759">
        <f ca="1">Working!AB132</f>
        <v>0</v>
      </c>
      <c r="AC70" s="759">
        <f ca="1">Working!AC132</f>
        <v>0</v>
      </c>
      <c r="AD70" s="759">
        <f ca="1">Working!AD132</f>
        <v>0</v>
      </c>
      <c r="AE70" s="759">
        <f ca="1">Working!AE132</f>
        <v>0</v>
      </c>
    </row>
    <row r="71" spans="1:31" x14ac:dyDescent="0.35">
      <c r="A71" s="759"/>
      <c r="B71" s="759" t="str">
        <f>Working!B133</f>
        <v>Accumulated depreciation</v>
      </c>
      <c r="C71" s="759" t="str">
        <f>Working!C133</f>
        <v>Rs Cr</v>
      </c>
      <c r="D71" s="759"/>
      <c r="E71" s="759">
        <f>Working!E133</f>
        <v>0</v>
      </c>
      <c r="F71" s="759">
        <f ca="1">Working!F133</f>
        <v>0</v>
      </c>
      <c r="G71" s="759">
        <f ca="1">Working!G133</f>
        <v>621.28101621255087</v>
      </c>
      <c r="H71" s="759">
        <f ca="1">Working!H133</f>
        <v>621.28101621255087</v>
      </c>
      <c r="I71" s="759">
        <f ca="1">Working!I133</f>
        <v>1118.3058291825917</v>
      </c>
      <c r="J71" s="759">
        <f ca="1">Working!J133</f>
        <v>1118.3058291825917</v>
      </c>
      <c r="K71" s="759">
        <f ca="1">Working!K133</f>
        <v>1118.3058291825917</v>
      </c>
      <c r="L71" s="759">
        <f ca="1">Working!L133</f>
        <v>1118.3058291825917</v>
      </c>
      <c r="M71" s="759">
        <f ca="1">Working!M133</f>
        <v>1118.3058291825917</v>
      </c>
      <c r="N71" s="759">
        <f ca="1">Working!N133</f>
        <v>1118.3058291825917</v>
      </c>
      <c r="O71" s="759">
        <f ca="1">Working!O133</f>
        <v>1118.3058291825917</v>
      </c>
      <c r="P71" s="759">
        <f ca="1">Working!P133</f>
        <v>1118.3058291825917</v>
      </c>
      <c r="Q71" s="759">
        <f ca="1">Working!Q133</f>
        <v>1118.3058291825917</v>
      </c>
      <c r="R71" s="759">
        <f ca="1">Working!R133</f>
        <v>1118.3058291825917</v>
      </c>
      <c r="S71" s="759">
        <f ca="1">Working!S133</f>
        <v>1118.3058291825917</v>
      </c>
      <c r="T71" s="759">
        <f ca="1">Working!T133</f>
        <v>1118.3058291825917</v>
      </c>
      <c r="U71" s="759">
        <f ca="1">Working!U133</f>
        <v>1118.3058291825917</v>
      </c>
      <c r="V71" s="759">
        <f ca="1">Working!V133</f>
        <v>1118.3058291825917</v>
      </c>
      <c r="W71" s="759">
        <f ca="1">Working!W133</f>
        <v>1118.3058291825917</v>
      </c>
      <c r="X71" s="759">
        <f ca="1">Working!X133</f>
        <v>1118.3058291825917</v>
      </c>
      <c r="Y71" s="759">
        <f ca="1">Working!Y133</f>
        <v>1118.3058291825917</v>
      </c>
      <c r="Z71" s="759">
        <f ca="1">Working!Z133</f>
        <v>1118.3058291825917</v>
      </c>
      <c r="AA71" s="759">
        <f ca="1">Working!AA133</f>
        <v>1118.3058291825917</v>
      </c>
      <c r="AB71" s="759">
        <f ca="1">Working!AB133</f>
        <v>1118.3058291825917</v>
      </c>
      <c r="AC71" s="759">
        <f ca="1">Working!AC133</f>
        <v>1118.3058291825917</v>
      </c>
      <c r="AD71" s="759">
        <f ca="1">Working!AD133</f>
        <v>1118.3058291825917</v>
      </c>
      <c r="AE71" s="759">
        <f ca="1">Working!AE133</f>
        <v>1118.3058291825917</v>
      </c>
    </row>
    <row r="72" spans="1:31" x14ac:dyDescent="0.35">
      <c r="A72" s="759"/>
      <c r="B72" s="759" t="str">
        <f>Working!B134</f>
        <v>Closing GFA</v>
      </c>
      <c r="C72" s="759" t="str">
        <f>Working!C134</f>
        <v>Rs Cr</v>
      </c>
      <c r="D72" s="759"/>
      <c r="E72" s="759">
        <f>Working!E134</f>
        <v>0</v>
      </c>
      <c r="F72" s="759">
        <f ca="1">Working!F134</f>
        <v>1242.5620324251017</v>
      </c>
      <c r="G72" s="759">
        <f ca="1">Working!G134</f>
        <v>1242.5620324251017</v>
      </c>
      <c r="H72" s="759">
        <f ca="1">Working!H134</f>
        <v>1242.5620324251017</v>
      </c>
      <c r="I72" s="759">
        <f ca="1">Working!I134</f>
        <v>1242.5620324251017</v>
      </c>
      <c r="J72" s="759">
        <f ca="1">Working!J134</f>
        <v>1242.5620324251017</v>
      </c>
      <c r="K72" s="759">
        <f ca="1">Working!K134</f>
        <v>1242.5620324251017</v>
      </c>
      <c r="L72" s="759">
        <f ca="1">Working!L134</f>
        <v>1242.5620324251017</v>
      </c>
      <c r="M72" s="759">
        <f ca="1">Working!M134</f>
        <v>1242.5620324251017</v>
      </c>
      <c r="N72" s="759">
        <f ca="1">Working!N134</f>
        <v>1242.5620324251017</v>
      </c>
      <c r="O72" s="759">
        <f ca="1">Working!O134</f>
        <v>1242.5620324251017</v>
      </c>
      <c r="P72" s="759">
        <f ca="1">Working!P134</f>
        <v>1242.5620324251017</v>
      </c>
      <c r="Q72" s="759">
        <f ca="1">Working!Q134</f>
        <v>1242.5620324251017</v>
      </c>
      <c r="R72" s="759">
        <f ca="1">Working!R134</f>
        <v>1242.5620324251017</v>
      </c>
      <c r="S72" s="759">
        <f ca="1">Working!S134</f>
        <v>1242.5620324251017</v>
      </c>
      <c r="T72" s="759">
        <f ca="1">Working!T134</f>
        <v>1242.5620324251017</v>
      </c>
      <c r="U72" s="759">
        <f ca="1">Working!U134</f>
        <v>1242.5620324251017</v>
      </c>
      <c r="V72" s="759">
        <f ca="1">Working!V134</f>
        <v>1242.5620324251017</v>
      </c>
      <c r="W72" s="759">
        <f ca="1">Working!W134</f>
        <v>1242.5620324251017</v>
      </c>
      <c r="X72" s="759">
        <f ca="1">Working!X134</f>
        <v>1242.5620324251017</v>
      </c>
      <c r="Y72" s="759">
        <f ca="1">Working!Y134</f>
        <v>1242.5620324251017</v>
      </c>
      <c r="Z72" s="759">
        <f ca="1">Working!Z134</f>
        <v>1242.5620324251017</v>
      </c>
      <c r="AA72" s="759">
        <f ca="1">Working!AA134</f>
        <v>1242.5620324251017</v>
      </c>
      <c r="AB72" s="759">
        <f ca="1">Working!AB134</f>
        <v>1242.5620324251017</v>
      </c>
      <c r="AC72" s="759">
        <f ca="1">Working!AC134</f>
        <v>1242.5620324251017</v>
      </c>
      <c r="AD72" s="759">
        <f ca="1">Working!AD134</f>
        <v>1242.5620324251017</v>
      </c>
      <c r="AE72" s="759">
        <f ca="1">Working!AE134</f>
        <v>1242.5620324251017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2C851-6BFE-41B8-9254-B9912B3F2D36}">
  <dimension ref="B2:F13"/>
  <sheetViews>
    <sheetView workbookViewId="0">
      <selection activeCell="E13" sqref="E13"/>
    </sheetView>
  </sheetViews>
  <sheetFormatPr defaultRowHeight="14.5" x14ac:dyDescent="0.35"/>
  <cols>
    <col min="2" max="2" width="40.7265625" customWidth="1"/>
    <col min="3" max="3" width="13.90625" style="1203" customWidth="1"/>
    <col min="4" max="4" width="16.08984375" customWidth="1"/>
    <col min="5" max="5" width="21.08984375" customWidth="1"/>
  </cols>
  <sheetData>
    <row r="2" spans="2:6" x14ac:dyDescent="0.35">
      <c r="B2" s="758" t="s">
        <v>1205</v>
      </c>
      <c r="C2" s="1004"/>
      <c r="D2" s="1219" t="s">
        <v>1206</v>
      </c>
      <c r="E2" s="1219" t="s">
        <v>1207</v>
      </c>
    </row>
    <row r="3" spans="2:6" x14ac:dyDescent="0.35">
      <c r="B3" t="s">
        <v>1199</v>
      </c>
      <c r="C3" s="1203" t="s">
        <v>0</v>
      </c>
      <c r="D3" s="892">
        <v>0</v>
      </c>
      <c r="E3" s="1211">
        <v>7.4999999999999997E-3</v>
      </c>
    </row>
    <row r="4" spans="2:6" x14ac:dyDescent="0.35">
      <c r="B4" t="s">
        <v>116</v>
      </c>
      <c r="C4" s="1203" t="s">
        <v>1208</v>
      </c>
      <c r="D4">
        <v>3</v>
      </c>
      <c r="E4">
        <v>5.5</v>
      </c>
    </row>
    <row r="5" spans="2:6" x14ac:dyDescent="0.35">
      <c r="B5" t="s">
        <v>1209</v>
      </c>
      <c r="C5" s="1203" t="s">
        <v>0</v>
      </c>
      <c r="D5" s="1211">
        <v>3.2000000000000001E-2</v>
      </c>
      <c r="E5" s="1211">
        <v>5.2499999999999998E-2</v>
      </c>
    </row>
    <row r="6" spans="2:6" x14ac:dyDescent="0.35">
      <c r="B6" t="s">
        <v>1210</v>
      </c>
      <c r="C6" s="1203" t="s">
        <v>49</v>
      </c>
      <c r="D6">
        <v>12</v>
      </c>
      <c r="E6">
        <v>15</v>
      </c>
    </row>
    <row r="7" spans="2:6" ht="29" x14ac:dyDescent="0.35">
      <c r="B7" s="1223" t="s">
        <v>129</v>
      </c>
      <c r="D7" s="1205" t="s">
        <v>1211</v>
      </c>
      <c r="E7" s="1205" t="s">
        <v>1212</v>
      </c>
    </row>
    <row r="8" spans="2:6" x14ac:dyDescent="0.35">
      <c r="B8" s="758" t="s">
        <v>1106</v>
      </c>
      <c r="C8" s="1004" t="s">
        <v>528</v>
      </c>
      <c r="D8" s="758">
        <v>1045</v>
      </c>
      <c r="E8" s="758">
        <v>1068</v>
      </c>
      <c r="F8" s="758"/>
    </row>
    <row r="9" spans="2:6" x14ac:dyDescent="0.35">
      <c r="B9" t="s">
        <v>1217</v>
      </c>
      <c r="C9" s="1004" t="s">
        <v>528</v>
      </c>
      <c r="D9">
        <v>19.7</v>
      </c>
      <c r="E9">
        <v>25.7</v>
      </c>
    </row>
    <row r="10" spans="2:6" x14ac:dyDescent="0.35">
      <c r="B10" s="1222" t="s">
        <v>1218</v>
      </c>
      <c r="C10" s="1004" t="s">
        <v>528</v>
      </c>
      <c r="D10">
        <v>16</v>
      </c>
      <c r="E10">
        <v>33.1</v>
      </c>
      <c r="F10" s="1224"/>
    </row>
    <row r="11" spans="2:6" x14ac:dyDescent="0.35">
      <c r="B11" s="1222" t="s">
        <v>1220</v>
      </c>
      <c r="C11" s="1004" t="s">
        <v>528</v>
      </c>
      <c r="D11">
        <v>0</v>
      </c>
      <c r="E11">
        <v>1.2</v>
      </c>
      <c r="F11" s="1224"/>
    </row>
    <row r="13" spans="2:6" x14ac:dyDescent="0.35">
      <c r="B13" t="s">
        <v>1222</v>
      </c>
      <c r="D13">
        <v>4.09</v>
      </c>
      <c r="E13">
        <v>4.75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EABACCD3B39C49923CC76F9A3899B0" ma:contentTypeVersion="10" ma:contentTypeDescription="Create a new document." ma:contentTypeScope="" ma:versionID="888edbca11eac38050b29462c56b3d83">
  <xsd:schema xmlns:xsd="http://www.w3.org/2001/XMLSchema" xmlns:xs="http://www.w3.org/2001/XMLSchema" xmlns:p="http://schemas.microsoft.com/office/2006/metadata/properties" xmlns:ns2="88ac10d5-d499-482e-8b56-6ab71e10844d" xmlns:ns3="b34fac16-a9a4-4d97-96d6-3d67277b3bbb" targetNamespace="http://schemas.microsoft.com/office/2006/metadata/properties" ma:root="true" ma:fieldsID="b2578cae4076c3a00574eaa070b195d6" ns2:_="" ns3:_="">
    <xsd:import namespace="88ac10d5-d499-482e-8b56-6ab71e10844d"/>
    <xsd:import namespace="b34fac16-a9a4-4d97-96d6-3d67277b3b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ac10d5-d499-482e-8b56-6ab71e1084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4fac16-a9a4-4d97-96d6-3d67277b3bb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26a010e-ed09-4f8f-afe2-969c013c94e7}" ma:internalName="TaxCatchAll" ma:showField="CatchAllData" ma:web="b34fac16-a9a4-4d97-96d6-3d67277b3b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ac10d5-d499-482e-8b56-6ab71e10844d">
      <Terms xmlns="http://schemas.microsoft.com/office/infopath/2007/PartnerControls"/>
    </lcf76f155ced4ddcb4097134ff3c332f>
    <TaxCatchAll xmlns="b34fac16-a9a4-4d97-96d6-3d67277b3bbb" xsi:nil="true"/>
  </documentManagement>
</p:properties>
</file>

<file path=customXml/itemProps1.xml><?xml version="1.0" encoding="utf-8"?>
<ds:datastoreItem xmlns:ds="http://schemas.openxmlformats.org/officeDocument/2006/customXml" ds:itemID="{C6991B91-B22C-4AB0-9033-379E7F5E9E65}"/>
</file>

<file path=customXml/itemProps2.xml><?xml version="1.0" encoding="utf-8"?>
<ds:datastoreItem xmlns:ds="http://schemas.openxmlformats.org/officeDocument/2006/customXml" ds:itemID="{B8BD749F-1FFF-4C93-BFF6-E83F50CBC2AC}"/>
</file>

<file path=customXml/itemProps3.xml><?xml version="1.0" encoding="utf-8"?>
<ds:datastoreItem xmlns:ds="http://schemas.openxmlformats.org/officeDocument/2006/customXml" ds:itemID="{F300AE4C-421D-44E6-B76D-3AD327C4F66D}"/>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 Page</vt:lpstr>
      <vt:lpstr>RA</vt:lpstr>
      <vt:lpstr>Input</vt:lpstr>
      <vt:lpstr>BOQ_G</vt:lpstr>
      <vt:lpstr>BOQ_T</vt:lpstr>
      <vt:lpstr>BOQ_I</vt:lpstr>
      <vt:lpstr>Working</vt:lpstr>
      <vt:lpstr>Output</vt:lpstr>
      <vt:lpstr>Tables</vt:lpstr>
      <vt:lpstr>Assumptions</vt:lpstr>
      <vt:lpstr>Tariff</vt:lpstr>
      <vt:lpstr>IDC_Q</vt:lpstr>
      <vt:lpstr>FS</vt:lpstr>
      <vt:lpstr>IDC Schedule</vt:lpstr>
      <vt:lpstr>Schedule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Goinka, Pankaj Kumar</dc:creator>
  <cp:lastModifiedBy>Mukherjee, Shouvik</cp:lastModifiedBy>
  <dcterms:created xsi:type="dcterms:W3CDTF">2021-09-13T02:23:54Z</dcterms:created>
  <dcterms:modified xsi:type="dcterms:W3CDTF">2025-12-08T17:40:53Z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2021-09-13T02:23:55Z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f1e2f6d4-ffc0-4c3e-9599-61856eb0d9c0</vt:lpwstr>
  </property>
  <property fmtid="{D5CDD505-2E9C-101B-9397-08002B2CF9AE}" pid="8" name="MSIP_Label_ea60d57e-af5b-4752-ac57-3e4f28ca11dc_ContentBits">
    <vt:lpwstr>0</vt:lpwstr>
  </property>
  <property fmtid="{D5CDD505-2E9C-101B-9397-08002B2CF9AE}" pid="9" name="ContentTypeId">
    <vt:lpwstr>0x01010046EABACCD3B39C49923CC76F9A3899B0</vt:lpwstr>
  </property>
</Properties>
</file>